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151" documentId="11_3F1B0241D209AC148933DD10FC386072DE9FA22D" xr6:coauthVersionLast="47" xr6:coauthVersionMax="47" xr10:uidLastSave="{F7E554ED-DC00-4F7D-99F3-6F21B159AAA1}"/>
  <bookViews>
    <workbookView xWindow="-108" yWindow="-108" windowWidth="4149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5" i="41" l="1"/>
  <c r="D264" i="41"/>
  <c r="D263" i="41"/>
  <c r="D262" i="41"/>
  <c r="D261" i="41"/>
  <c r="D260" i="41"/>
  <c r="D259" i="41"/>
  <c r="D258" i="41"/>
  <c r="D257" i="41"/>
  <c r="C257" i="41"/>
  <c r="D256" i="41"/>
  <c r="C256" i="41"/>
  <c r="D255" i="41"/>
  <c r="C255" i="41"/>
  <c r="D254" i="41"/>
  <c r="C254" i="41"/>
  <c r="D253" i="41"/>
  <c r="C253" i="41"/>
  <c r="D252" i="41"/>
  <c r="C252" i="41"/>
  <c r="D251" i="41"/>
  <c r="C251" i="41"/>
  <c r="D250" i="41"/>
  <c r="C250" i="41"/>
  <c r="D249" i="41"/>
  <c r="C249" i="41"/>
  <c r="D248" i="41"/>
  <c r="C248" i="41"/>
  <c r="D247" i="41"/>
  <c r="C247" i="41"/>
  <c r="D246" i="41"/>
  <c r="C246" i="41"/>
  <c r="D245" i="41"/>
  <c r="C245" i="41"/>
  <c r="D244" i="41"/>
  <c r="C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C257" i="40"/>
  <c r="D256" i="40"/>
  <c r="C256" i="40"/>
  <c r="D255" i="40"/>
  <c r="C255" i="40"/>
  <c r="D254" i="40"/>
  <c r="C254" i="40"/>
  <c r="D253" i="40"/>
  <c r="C253" i="40"/>
  <c r="D252" i="40"/>
  <c r="C252" i="40"/>
  <c r="D251" i="40"/>
  <c r="C251" i="40"/>
  <c r="D250" i="40"/>
  <c r="C250" i="40"/>
  <c r="D249" i="40"/>
  <c r="C249" i="40"/>
  <c r="D248" i="40"/>
  <c r="C248" i="40"/>
  <c r="D247" i="40"/>
  <c r="C247" i="40"/>
  <c r="D246" i="40"/>
  <c r="C246" i="40"/>
  <c r="D245" i="40"/>
  <c r="C245" i="40"/>
  <c r="D244" i="40"/>
  <c r="C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G232" i="40" l="1"/>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9"/>
  <c r="D264" i="39"/>
  <c r="D263" i="39"/>
  <c r="D262" i="39"/>
  <c r="D261" i="39"/>
  <c r="D260" i="39"/>
  <c r="D259" i="39"/>
  <c r="D258" i="39"/>
  <c r="D257" i="39"/>
  <c r="C257" i="39"/>
  <c r="D256" i="39"/>
  <c r="C256" i="39"/>
  <c r="D255" i="39"/>
  <c r="C255" i="39"/>
  <c r="D254" i="39"/>
  <c r="C254" i="39"/>
  <c r="D253" i="39"/>
  <c r="C253" i="39"/>
  <c r="D252" i="39"/>
  <c r="C252" i="39"/>
  <c r="D251" i="39"/>
  <c r="C251" i="39"/>
  <c r="D250" i="39"/>
  <c r="C250" i="39"/>
  <c r="D249" i="39"/>
  <c r="C249" i="39"/>
  <c r="D248" i="39"/>
  <c r="C248" i="39"/>
  <c r="D247" i="39"/>
  <c r="C247" i="39"/>
  <c r="D246" i="39"/>
  <c r="C246" i="39"/>
  <c r="D245" i="39"/>
  <c r="C245" i="39"/>
  <c r="D244" i="39"/>
  <c r="C244" i="39"/>
  <c r="D243" i="39"/>
  <c r="D242" i="39"/>
  <c r="D241" i="39"/>
  <c r="D240" i="39"/>
  <c r="D239" i="39"/>
  <c r="D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38"/>
  <c r="D264" i="38"/>
  <c r="D263" i="38"/>
  <c r="D262" i="38"/>
  <c r="D261" i="38"/>
  <c r="D260" i="38"/>
  <c r="D259" i="38"/>
  <c r="D258" i="38"/>
  <c r="D257" i="38"/>
  <c r="C257" i="38"/>
  <c r="D256" i="38"/>
  <c r="C256" i="38"/>
  <c r="D255" i="38"/>
  <c r="C255" i="38"/>
  <c r="D254" i="38"/>
  <c r="C254" i="38"/>
  <c r="D253" i="38"/>
  <c r="C253" i="38"/>
  <c r="D252" i="38"/>
  <c r="C252" i="38"/>
  <c r="D251" i="38"/>
  <c r="C251" i="38"/>
  <c r="D250" i="38"/>
  <c r="C250" i="38"/>
  <c r="D249" i="38"/>
  <c r="C249" i="38"/>
  <c r="D248" i="38"/>
  <c r="C248" i="38"/>
  <c r="D247" i="38"/>
  <c r="C247" i="38"/>
  <c r="D246" i="38"/>
  <c r="C246" i="38"/>
  <c r="D245" i="38"/>
  <c r="C245" i="38"/>
  <c r="D244" i="38"/>
  <c r="C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C257" i="37"/>
  <c r="D256" i="37"/>
  <c r="C256" i="37"/>
  <c r="D255" i="37"/>
  <c r="C255" i="37"/>
  <c r="D254" i="37"/>
  <c r="C254" i="37"/>
  <c r="D253" i="37"/>
  <c r="C253" i="37"/>
  <c r="D252" i="37"/>
  <c r="C252" i="37"/>
  <c r="D251" i="37"/>
  <c r="C251" i="37"/>
  <c r="D250" i="37"/>
  <c r="C250" i="37"/>
  <c r="D249" i="37"/>
  <c r="C249" i="37"/>
  <c r="D248" i="37"/>
  <c r="C248" i="37"/>
  <c r="D247" i="37"/>
  <c r="C247" i="37"/>
  <c r="D246" i="37"/>
  <c r="C246" i="37"/>
  <c r="D245" i="37"/>
  <c r="C245" i="37"/>
  <c r="D244" i="37"/>
  <c r="C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C257" i="36"/>
  <c r="D256" i="36"/>
  <c r="C256" i="36"/>
  <c r="D255" i="36"/>
  <c r="C255" i="36"/>
  <c r="D254" i="36"/>
  <c r="C254" i="36"/>
  <c r="D253" i="36"/>
  <c r="C253" i="36"/>
  <c r="D252" i="36"/>
  <c r="C252" i="36"/>
  <c r="D251" i="36"/>
  <c r="C251" i="36"/>
  <c r="D250" i="36"/>
  <c r="C250" i="36"/>
  <c r="D249" i="36"/>
  <c r="C249" i="36"/>
  <c r="D248" i="36"/>
  <c r="C248" i="36"/>
  <c r="D247" i="36"/>
  <c r="C247" i="36"/>
  <c r="D246" i="36"/>
  <c r="C246" i="36"/>
  <c r="D245" i="36"/>
  <c r="C245" i="36"/>
  <c r="D244" i="36"/>
  <c r="C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9" l="1"/>
  <c r="H232" i="39"/>
  <c r="B154" i="39"/>
  <c r="G232" i="37"/>
  <c r="H232" i="37"/>
  <c r="H232" i="36"/>
  <c r="G232" i="38"/>
  <c r="H232" i="38"/>
  <c r="G232" i="36"/>
  <c r="B154" i="36"/>
  <c r="B155" i="36"/>
  <c r="B155" i="39"/>
  <c r="B154" i="38"/>
  <c r="B155" i="38"/>
  <c r="B154" i="37"/>
  <c r="B155" i="37"/>
  <c r="T90" i="39"/>
  <c r="X100" i="39"/>
  <c r="Y90" i="39" a="1"/>
  <c r="AA90" i="39" a="1"/>
  <c r="AL43" i="39" a="1"/>
  <c r="AK43" i="39" a="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R112" i="39" s="1"/>
  <c r="X112" i="39" a="1"/>
  <c r="X112" i="39" s="1"/>
  <c r="W112" i="39" a="1"/>
  <c r="W112" i="39" s="1"/>
  <c r="U112" i="39" a="1"/>
  <c r="U112" i="39" s="1"/>
  <c r="V112" i="39" a="1"/>
  <c r="V112" i="39" s="1"/>
  <c r="AN87" i="38" l="1"/>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C257" i="35"/>
  <c r="D256" i="35"/>
  <c r="C256" i="35"/>
  <c r="D255" i="35"/>
  <c r="C255" i="35"/>
  <c r="D254" i="35"/>
  <c r="C254" i="35"/>
  <c r="D253" i="35"/>
  <c r="C253" i="35"/>
  <c r="D252" i="35"/>
  <c r="C252" i="35"/>
  <c r="D251" i="35"/>
  <c r="C251" i="35"/>
  <c r="D250" i="35"/>
  <c r="C250" i="35"/>
  <c r="D249" i="35"/>
  <c r="C249" i="35"/>
  <c r="D248" i="35"/>
  <c r="C248" i="35"/>
  <c r="D247" i="35"/>
  <c r="C247" i="35"/>
  <c r="D246" i="35"/>
  <c r="C246" i="35"/>
  <c r="D245" i="35"/>
  <c r="C245" i="35"/>
  <c r="D244" i="35"/>
  <c r="C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C257" i="34"/>
  <c r="D256" i="34"/>
  <c r="C256" i="34"/>
  <c r="D255" i="34"/>
  <c r="C255" i="34"/>
  <c r="D254" i="34"/>
  <c r="C254" i="34"/>
  <c r="D253" i="34"/>
  <c r="C253" i="34"/>
  <c r="D252" i="34"/>
  <c r="C252" i="34"/>
  <c r="D251" i="34"/>
  <c r="C251" i="34"/>
  <c r="D250" i="34"/>
  <c r="C250" i="34"/>
  <c r="D249" i="34"/>
  <c r="C249" i="34"/>
  <c r="D248" i="34"/>
  <c r="C248" i="34"/>
  <c r="D247" i="34"/>
  <c r="C247" i="34"/>
  <c r="D246" i="34"/>
  <c r="C246" i="34"/>
  <c r="D245" i="34"/>
  <c r="C245" i="34"/>
  <c r="D244" i="34"/>
  <c r="C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C257" i="30"/>
  <c r="D256" i="30"/>
  <c r="C256" i="30"/>
  <c r="D255" i="30"/>
  <c r="C255" i="30"/>
  <c r="D254" i="30"/>
  <c r="C254" i="30"/>
  <c r="D253" i="30"/>
  <c r="C253" i="30"/>
  <c r="D252" i="30"/>
  <c r="C252" i="30"/>
  <c r="D251" i="30"/>
  <c r="C251" i="30"/>
  <c r="D250" i="30"/>
  <c r="C250" i="30"/>
  <c r="D249" i="30"/>
  <c r="C249" i="30"/>
  <c r="D248" i="30"/>
  <c r="C248" i="30"/>
  <c r="D247" i="30"/>
  <c r="C247" i="30"/>
  <c r="D246" i="30"/>
  <c r="C246" i="30"/>
  <c r="D245" i="30"/>
  <c r="C245" i="30"/>
  <c r="D244" i="30"/>
  <c r="C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C257" i="33"/>
  <c r="D256" i="33"/>
  <c r="C256" i="33"/>
  <c r="D255" i="33"/>
  <c r="C255" i="33"/>
  <c r="D254" i="33"/>
  <c r="C254" i="33"/>
  <c r="D253" i="33"/>
  <c r="C253" i="33"/>
  <c r="D252" i="33"/>
  <c r="C252" i="33"/>
  <c r="D251" i="33"/>
  <c r="C251" i="33"/>
  <c r="D250" i="33"/>
  <c r="C250" i="33"/>
  <c r="D249" i="33"/>
  <c r="C249" i="33"/>
  <c r="D248" i="33"/>
  <c r="C248" i="33"/>
  <c r="D247" i="33"/>
  <c r="C247" i="33"/>
  <c r="D246" i="33"/>
  <c r="C246" i="33"/>
  <c r="D245" i="33"/>
  <c r="C245" i="33"/>
  <c r="D244" i="33"/>
  <c r="C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C257" i="32"/>
  <c r="D256" i="32"/>
  <c r="C256" i="32"/>
  <c r="D255" i="32"/>
  <c r="C255" i="32"/>
  <c r="D254" i="32"/>
  <c r="C254" i="32"/>
  <c r="D253" i="32"/>
  <c r="C253" i="32"/>
  <c r="D252" i="32"/>
  <c r="C252" i="32"/>
  <c r="D251" i="32"/>
  <c r="C251" i="32"/>
  <c r="D250" i="32"/>
  <c r="C250" i="32"/>
  <c r="D249" i="32"/>
  <c r="C249" i="32"/>
  <c r="D248" i="32"/>
  <c r="C248" i="32"/>
  <c r="D247" i="32"/>
  <c r="C247" i="32"/>
  <c r="D246" i="32"/>
  <c r="C246" i="32"/>
  <c r="D245" i="32"/>
  <c r="C245" i="32"/>
  <c r="D244" i="32"/>
  <c r="C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C257" i="31"/>
  <c r="D256" i="31"/>
  <c r="C256" i="31"/>
  <c r="D255" i="31"/>
  <c r="C255" i="31"/>
  <c r="D254" i="31"/>
  <c r="C254" i="31"/>
  <c r="D253" i="31"/>
  <c r="C253" i="31"/>
  <c r="D252" i="31"/>
  <c r="C252" i="31"/>
  <c r="D251" i="31"/>
  <c r="C251" i="31"/>
  <c r="D250" i="31"/>
  <c r="C250" i="31"/>
  <c r="D249" i="31"/>
  <c r="C249" i="31"/>
  <c r="D248" i="31"/>
  <c r="C248" i="31"/>
  <c r="D247" i="31"/>
  <c r="C247" i="31"/>
  <c r="D246" i="31"/>
  <c r="C246" i="31"/>
  <c r="D245" i="31"/>
  <c r="C245" i="31"/>
  <c r="D244" i="31"/>
  <c r="C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C257" i="29"/>
  <c r="D256" i="29"/>
  <c r="C256" i="29"/>
  <c r="D255" i="29"/>
  <c r="C255" i="29"/>
  <c r="D254" i="29"/>
  <c r="C254" i="29"/>
  <c r="D253" i="29"/>
  <c r="C253" i="29"/>
  <c r="D252" i="29"/>
  <c r="C252" i="29"/>
  <c r="D251" i="29"/>
  <c r="C251" i="29"/>
  <c r="D250" i="29"/>
  <c r="C250" i="29"/>
  <c r="D249" i="29"/>
  <c r="C249" i="29"/>
  <c r="D248" i="29"/>
  <c r="C248" i="29"/>
  <c r="D247" i="29"/>
  <c r="C247" i="29"/>
  <c r="D246" i="29"/>
  <c r="C246" i="29"/>
  <c r="D245" i="29"/>
  <c r="C245" i="29"/>
  <c r="D244" i="29"/>
  <c r="C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40" i="2" s="1"/>
  <c r="AE34" i="2"/>
  <c r="AK34" i="2"/>
  <c r="AL34" i="2"/>
  <c r="D37" i="2"/>
  <c r="E37" i="2"/>
  <c r="F37" i="2" s="1"/>
  <c r="K37" i="2"/>
  <c r="L37" i="2"/>
  <c r="R37" i="2"/>
  <c r="S37" i="2"/>
  <c r="Y37" i="2"/>
  <c r="Z37" i="2"/>
  <c r="AA37" i="2" s="1"/>
  <c r="AF37" i="2"/>
  <c r="AG37" i="2"/>
  <c r="AM37" i="2"/>
  <c r="AN37" i="2"/>
  <c r="D38" i="2"/>
  <c r="E38" i="2"/>
  <c r="K38" i="2"/>
  <c r="L38" i="2"/>
  <c r="R38" i="2"/>
  <c r="S38" i="2"/>
  <c r="Y38" i="2"/>
  <c r="Z38" i="2"/>
  <c r="AF38" i="2"/>
  <c r="AG38" i="2"/>
  <c r="AH38" i="2"/>
  <c r="AM38" i="2"/>
  <c r="AN38" i="2"/>
  <c r="AO38" i="2" s="1"/>
  <c r="D39" i="2"/>
  <c r="E39" i="2"/>
  <c r="K39" i="2"/>
  <c r="L39" i="2"/>
  <c r="R39" i="2"/>
  <c r="S39" i="2"/>
  <c r="Y39" i="2"/>
  <c r="Z39" i="2"/>
  <c r="AF39" i="2"/>
  <c r="AG39" i="2"/>
  <c r="AM39" i="2"/>
  <c r="AN39" i="2"/>
  <c r="AO39" i="2" s="1"/>
  <c r="D40" i="2"/>
  <c r="E40" i="2"/>
  <c r="F40" i="2" s="1"/>
  <c r="K40" i="2"/>
  <c r="L40" i="2"/>
  <c r="R40" i="2"/>
  <c r="S40" i="2"/>
  <c r="Y40" i="2"/>
  <c r="Z40" i="2"/>
  <c r="AF40" i="2"/>
  <c r="AG40" i="2"/>
  <c r="AH40" i="2"/>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87" i="2" s="1"/>
  <c r="X76" i="2"/>
  <c r="AD76" i="2"/>
  <c r="AE76" i="2"/>
  <c r="AE84" i="2" s="1"/>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H84" i="2" s="1"/>
  <c r="AG84" i="2"/>
  <c r="AM84" i="2"/>
  <c r="AN84" i="2"/>
  <c r="D85" i="2"/>
  <c r="E85" i="2"/>
  <c r="K85" i="2"/>
  <c r="L85" i="2"/>
  <c r="R85" i="2"/>
  <c r="S85" i="2"/>
  <c r="Y85" i="2"/>
  <c r="Z85" i="2"/>
  <c r="AA85" i="2" s="1"/>
  <c r="AF85" i="2"/>
  <c r="AG85" i="2"/>
  <c r="AM85" i="2"/>
  <c r="AN85" i="2"/>
  <c r="D86" i="2"/>
  <c r="E86" i="2"/>
  <c r="K86" i="2"/>
  <c r="L86" i="2"/>
  <c r="M86" i="2" s="1"/>
  <c r="R86" i="2"/>
  <c r="S86" i="2"/>
  <c r="Y86" i="2"/>
  <c r="Z86" i="2"/>
  <c r="AF86" i="2"/>
  <c r="AG86" i="2"/>
  <c r="AM86" i="2"/>
  <c r="AN86" i="2"/>
  <c r="D87" i="2"/>
  <c r="E87" i="2"/>
  <c r="J87" i="2"/>
  <c r="K87" i="2"/>
  <c r="L87" i="2"/>
  <c r="R87" i="2"/>
  <c r="S87" i="2"/>
  <c r="Y87" i="2"/>
  <c r="AA87" i="2" s="1"/>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D9" i="1"/>
  <c r="C19" i="1"/>
  <c r="D15" i="1"/>
  <c r="C12" i="1"/>
  <c r="C9" i="1"/>
  <c r="C13" i="1"/>
  <c r="C18" i="1"/>
  <c r="D12" i="1"/>
  <c r="D17" i="1"/>
  <c r="D18" i="1"/>
  <c r="D11" i="1"/>
  <c r="C11" i="1"/>
  <c r="D14" i="1"/>
  <c r="D16" i="1"/>
  <c r="D20" i="1"/>
  <c r="C17" i="1"/>
  <c r="D13" i="1"/>
  <c r="C14" i="1"/>
  <c r="C20" i="1"/>
  <c r="D19" i="1"/>
  <c r="C10" i="1"/>
  <c r="D10" i="1"/>
  <c r="C15" i="1"/>
  <c r="C16" i="1"/>
  <c r="T39" i="2" l="1"/>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N90" i="2" s="1" a="1"/>
  <c r="AE86" i="2"/>
  <c r="AL87" i="2"/>
  <c r="AE39" i="2"/>
  <c r="AG43" i="2" s="1" a="1"/>
  <c r="AL38" i="2"/>
  <c r="AK43" i="2" s="1" a="1"/>
  <c r="Q85" i="2"/>
  <c r="AH39" i="2"/>
  <c r="X84" i="2"/>
  <c r="X90" i="2" s="1" a="1"/>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AM90" i="2" s="1" a="1"/>
  <c r="C84" i="2"/>
  <c r="C90" i="2" s="1" a="1"/>
  <c r="J86" i="2"/>
  <c r="Q84" i="2"/>
  <c r="T90" i="2" s="1" a="1"/>
  <c r="M87" i="2"/>
  <c r="AO84" i="2"/>
  <c r="C87" i="2"/>
  <c r="F90" i="2" s="1" a="1"/>
  <c r="J84" i="2"/>
  <c r="T40" i="2"/>
  <c r="F87" i="2"/>
  <c r="X40" i="2"/>
  <c r="AE38" i="2"/>
  <c r="AO86" i="2"/>
  <c r="AH85" i="2"/>
  <c r="AH90" i="2" s="1" a="1"/>
  <c r="M40" i="2"/>
  <c r="AO87" i="2"/>
  <c r="AA84" i="2"/>
  <c r="C38" i="2"/>
  <c r="B43" i="2" s="1" a="1"/>
  <c r="J40" i="2"/>
  <c r="L43" i="2" s="1" a="1"/>
  <c r="M43" i="2" a="1"/>
  <c r="E43" i="2" a="1"/>
  <c r="G232" i="28"/>
  <c r="G232" i="25"/>
  <c r="H232" i="27"/>
  <c r="T37" i="2"/>
  <c r="B155" i="24"/>
  <c r="AG90" i="2" a="1"/>
  <c r="AF90" i="2" a="1"/>
  <c r="AE90" i="2" a="1"/>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D5" i="1"/>
  <c r="D7" i="1"/>
  <c r="C4" i="1"/>
  <c r="C6" i="1"/>
  <c r="C5" i="1"/>
  <c r="C7" i="1"/>
  <c r="D8" i="1"/>
  <c r="D6" i="1"/>
  <c r="C8" i="1"/>
  <c r="AA43" i="2" l="1" a="1"/>
  <c r="AA45" i="2" s="1"/>
  <c r="X107" i="2" s="1"/>
  <c r="I43" i="2" a="1"/>
  <c r="I43" i="2"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AH43" i="2" a="1"/>
  <c r="AH43" i="2" s="1"/>
  <c r="R90" i="2" a="1"/>
  <c r="AL40" i="25"/>
  <c r="J39" i="25"/>
  <c r="Q37" i="25"/>
  <c r="P90" i="2" a="1"/>
  <c r="X43" i="2" a="1"/>
  <c r="X43" i="2" s="1"/>
  <c r="Y90" i="2" a="1"/>
  <c r="AO86" i="24"/>
  <c r="F40" i="24"/>
  <c r="M40" i="25"/>
  <c r="AO86" i="27"/>
  <c r="AA85" i="27"/>
  <c r="AD43" i="2" a="1"/>
  <c r="AD43" i="2" s="1"/>
  <c r="Q87" i="24"/>
  <c r="AE40" i="24"/>
  <c r="J37" i="24"/>
  <c r="Q86" i="25"/>
  <c r="AE40" i="25"/>
  <c r="AL38" i="25"/>
  <c r="J37" i="25"/>
  <c r="AH86" i="27"/>
  <c r="J87" i="27"/>
  <c r="I90" i="27" s="1" a="1"/>
  <c r="D249" i="27" s="1"/>
  <c r="AE84" i="27"/>
  <c r="T37" i="27"/>
  <c r="M84" i="28"/>
  <c r="AE39" i="28"/>
  <c r="AL90" i="2" a="1"/>
  <c r="I90" i="2" a="1"/>
  <c r="I91" i="2" s="1"/>
  <c r="M87" i="25"/>
  <c r="AO40" i="28"/>
  <c r="T38" i="28"/>
  <c r="M37" i="28"/>
  <c r="C39" i="28"/>
  <c r="Q38" i="28"/>
  <c r="AF43" i="2" a="1"/>
  <c r="AF44" i="2" s="1"/>
  <c r="AK90" i="2" a="1"/>
  <c r="C37" i="24"/>
  <c r="X85" i="25"/>
  <c r="C87" i="27"/>
  <c r="AO90" i="2" a="1"/>
  <c r="AM43" i="2" a="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H92" i="2"/>
  <c r="X102" i="2" s="1"/>
  <c r="AH91" i="2"/>
  <c r="AH90" i="2"/>
  <c r="AH93" i="2"/>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Z90" i="2"/>
  <c r="Z92" i="2"/>
  <c r="W101" i="2" s="1"/>
  <c r="Z93" i="2"/>
  <c r="AF92" i="2"/>
  <c r="V102" i="2" s="1"/>
  <c r="AF91" i="2"/>
  <c r="AF90" i="2"/>
  <c r="AF93" i="2"/>
  <c r="I90" i="2"/>
  <c r="I93" i="2"/>
  <c r="I92" i="2"/>
  <c r="R99" i="2" s="1"/>
  <c r="AK92" i="2"/>
  <c r="R103" i="2" s="1"/>
  <c r="AK91" i="2"/>
  <c r="C257" i="27" s="1"/>
  <c r="AK90" i="2"/>
  <c r="AK93" i="2"/>
  <c r="AO93" i="2"/>
  <c r="AO92" i="2"/>
  <c r="X103" i="2" s="1"/>
  <c r="AO91" i="2"/>
  <c r="AO90" i="2"/>
  <c r="AM45" i="2"/>
  <c r="V109" i="2" s="1"/>
  <c r="AM44" i="2"/>
  <c r="AM43" i="2"/>
  <c r="AM46" i="2"/>
  <c r="E92" i="2"/>
  <c r="W98" i="2" s="1"/>
  <c r="E91" i="2"/>
  <c r="E93" i="2"/>
  <c r="AL45" i="2"/>
  <c r="U109" i="2" s="1"/>
  <c r="AL44" i="2"/>
  <c r="AL43" i="2"/>
  <c r="AL46" i="2"/>
  <c r="D90" i="2"/>
  <c r="D92" i="2"/>
  <c r="V98" i="2" s="1"/>
  <c r="D93" i="2"/>
  <c r="D91" i="2"/>
  <c r="AK45" i="2"/>
  <c r="R109" i="2" s="1"/>
  <c r="AK44" i="2"/>
  <c r="C245" i="25" s="1"/>
  <c r="AK43" i="2"/>
  <c r="AK46" i="2"/>
  <c r="W46" i="2"/>
  <c r="W45" i="2"/>
  <c r="R107" i="2" s="1"/>
  <c r="W44" i="2"/>
  <c r="W43" i="2"/>
  <c r="C92" i="2"/>
  <c r="U98" i="2" s="1"/>
  <c r="C93" i="2"/>
  <c r="C91" i="2"/>
  <c r="C90" i="2"/>
  <c r="AO45" i="2"/>
  <c r="X109" i="2" s="1"/>
  <c r="B44" i="2"/>
  <c r="C235" i="41" s="1"/>
  <c r="B46" i="2"/>
  <c r="B45" i="2"/>
  <c r="R104" i="2" s="1"/>
  <c r="B43" i="2"/>
  <c r="C234" i="41" s="1"/>
  <c r="AL92" i="2"/>
  <c r="U103" i="2" s="1"/>
  <c r="AL91" i="2"/>
  <c r="AL90" i="2"/>
  <c r="AL93" i="2"/>
  <c r="X92" i="2"/>
  <c r="U101" i="2" s="1"/>
  <c r="X93" i="2"/>
  <c r="X91" i="2"/>
  <c r="X90" i="2"/>
  <c r="Q92" i="2"/>
  <c r="U100" i="2" s="1"/>
  <c r="Q91" i="2"/>
  <c r="Q90" i="2"/>
  <c r="Q93" i="2"/>
  <c r="AM92" i="2"/>
  <c r="V103" i="2" s="1"/>
  <c r="AM91" i="2"/>
  <c r="AM90" i="2"/>
  <c r="AM93" i="2"/>
  <c r="S93" i="2"/>
  <c r="S92" i="2"/>
  <c r="W100" i="2" s="1"/>
  <c r="S91" i="2"/>
  <c r="S90" i="2"/>
  <c r="S43" i="2" a="1"/>
  <c r="P92" i="2"/>
  <c r="R100" i="2" s="1"/>
  <c r="P91" i="2"/>
  <c r="C251" i="24" s="1"/>
  <c r="P90" i="2"/>
  <c r="P93" i="2"/>
  <c r="AN93" i="2"/>
  <c r="AN90" i="2"/>
  <c r="AN92" i="2"/>
  <c r="W103" i="2" s="1"/>
  <c r="AN91" i="2"/>
  <c r="AG92" i="2"/>
  <c r="W102" i="2" s="1"/>
  <c r="AG91" i="2"/>
  <c r="AG90" i="2"/>
  <c r="AG93" i="2"/>
  <c r="D46" i="2"/>
  <c r="D44" i="2"/>
  <c r="D43" i="2"/>
  <c r="T93" i="2"/>
  <c r="T92" i="2"/>
  <c r="X100" i="2" s="1"/>
  <c r="T91" i="2"/>
  <c r="T90" i="2"/>
  <c r="AD91" i="2"/>
  <c r="C255" i="28" s="1"/>
  <c r="AD93" i="2"/>
  <c r="AD90" i="2"/>
  <c r="AD92" i="2"/>
  <c r="R102" i="2" s="1"/>
  <c r="F91" i="2"/>
  <c r="F93" i="2"/>
  <c r="F90" i="2"/>
  <c r="F92" i="2"/>
  <c r="X98" i="2" s="1"/>
  <c r="R43" i="2" a="1"/>
  <c r="Q43" i="2" a="1"/>
  <c r="I44" i="2"/>
  <c r="P43" i="2" a="1"/>
  <c r="R93" i="2"/>
  <c r="R90" i="2"/>
  <c r="R92" i="2"/>
  <c r="V100" i="2" s="1"/>
  <c r="R91" i="2"/>
  <c r="AE91" i="2"/>
  <c r="AE90" i="2"/>
  <c r="AE93" i="2"/>
  <c r="AE92" i="2"/>
  <c r="U102" i="2" s="1"/>
  <c r="L45" i="2"/>
  <c r="W105" i="2" s="1"/>
  <c r="L44" i="2"/>
  <c r="L43" i="2"/>
  <c r="L46" i="2"/>
  <c r="W92" i="2"/>
  <c r="R101" i="2" s="1"/>
  <c r="W91" i="2"/>
  <c r="Y92" i="2"/>
  <c r="V101" i="2" s="1"/>
  <c r="Y93" i="2"/>
  <c r="Y91" i="2"/>
  <c r="Y90" i="2"/>
  <c r="AG44" i="2"/>
  <c r="AG43" i="2"/>
  <c r="AG46" i="2"/>
  <c r="AG45" i="2"/>
  <c r="W108" i="2" s="1"/>
  <c r="J91" i="2"/>
  <c r="J90" i="2"/>
  <c r="J93" i="2"/>
  <c r="K45" i="2"/>
  <c r="V105" i="2" s="1"/>
  <c r="E45" i="2"/>
  <c r="W104" i="2" s="1"/>
  <c r="E44" i="2"/>
  <c r="E46" i="2"/>
  <c r="E43" i="2"/>
  <c r="M45" i="2"/>
  <c r="X105" i="2" s="1"/>
  <c r="M44" i="2"/>
  <c r="M43" i="2"/>
  <c r="M46" i="2"/>
  <c r="B154" i="2"/>
  <c r="C251" i="25"/>
  <c r="C255" i="24"/>
  <c r="C253" i="25"/>
  <c r="C253" i="24"/>
  <c r="C253" i="28"/>
  <c r="C253" i="27"/>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C242" i="40" l="1"/>
  <c r="C242" i="41"/>
  <c r="C242" i="39"/>
  <c r="C242" i="38"/>
  <c r="C242" i="37"/>
  <c r="C242" i="36"/>
  <c r="C242" i="34"/>
  <c r="C242" i="35"/>
  <c r="C242" i="29"/>
  <c r="C242" i="30"/>
  <c r="C242" i="33"/>
  <c r="C242" i="32"/>
  <c r="C242" i="31"/>
  <c r="AE44" i="2"/>
  <c r="AE45" i="2"/>
  <c r="U108" i="2" s="1"/>
  <c r="AH46" i="2"/>
  <c r="AE43" i="2"/>
  <c r="AH44" i="2"/>
  <c r="AD46" i="2"/>
  <c r="AH45" i="2"/>
  <c r="X108" i="2" s="1"/>
  <c r="AD44" i="2"/>
  <c r="AD45" i="2"/>
  <c r="R108" i="2" s="1"/>
  <c r="AA43" i="2"/>
  <c r="AA46" i="2"/>
  <c r="AA44" i="2"/>
  <c r="X46" i="2"/>
  <c r="C240" i="40"/>
  <c r="C240" i="41"/>
  <c r="C240" i="39"/>
  <c r="C240" i="38"/>
  <c r="C240" i="37"/>
  <c r="C240" i="36"/>
  <c r="C240" i="35"/>
  <c r="C240" i="34"/>
  <c r="C240" i="31"/>
  <c r="C240" i="29"/>
  <c r="C240" i="33"/>
  <c r="C240" i="32"/>
  <c r="C240" i="30"/>
  <c r="C241" i="27"/>
  <c r="C241" i="41"/>
  <c r="C241" i="40"/>
  <c r="C241" i="39"/>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7" i="25"/>
  <c r="C237" i="41"/>
  <c r="C237" i="40"/>
  <c r="C237" i="38"/>
  <c r="C237" i="36"/>
  <c r="C237" i="37"/>
  <c r="C237" i="39"/>
  <c r="C237" i="35"/>
  <c r="C237" i="34"/>
  <c r="C237" i="30"/>
  <c r="C237" i="31"/>
  <c r="C237" i="33"/>
  <c r="C237" i="29"/>
  <c r="C237" i="32"/>
  <c r="C236" i="41"/>
  <c r="C236" i="40"/>
  <c r="C236" i="36"/>
  <c r="C236" i="38"/>
  <c r="C236" i="39"/>
  <c r="C236" i="37"/>
  <c r="C236" i="35"/>
  <c r="C236" i="34"/>
  <c r="C236" i="30"/>
  <c r="C236" i="31"/>
  <c r="C236" i="29"/>
  <c r="C236" i="33"/>
  <c r="C236" i="32"/>
  <c r="J46" i="2"/>
  <c r="J43" i="2"/>
  <c r="F43" i="2"/>
  <c r="C46" i="2"/>
  <c r="C43" i="2"/>
  <c r="C44" i="2"/>
  <c r="F46" i="2"/>
  <c r="C234" i="40"/>
  <c r="C234" i="39"/>
  <c r="C234" i="38"/>
  <c r="C234" i="37"/>
  <c r="C234" i="36"/>
  <c r="C234" i="35"/>
  <c r="C234" i="34"/>
  <c r="C234" i="30"/>
  <c r="C234" i="33"/>
  <c r="C234" i="29"/>
  <c r="C234" i="32"/>
  <c r="C234" i="31"/>
  <c r="C235" i="40"/>
  <c r="C235" i="38"/>
  <c r="C235" i="37"/>
  <c r="C235" i="36"/>
  <c r="C235" i="39"/>
  <c r="C235" i="35"/>
  <c r="C235" i="34"/>
  <c r="C235" i="33"/>
  <c r="C235" i="32"/>
  <c r="C235" i="31"/>
  <c r="C235" i="29"/>
  <c r="C235" i="30"/>
  <c r="F44" i="2"/>
  <c r="AG90" i="25"/>
  <c r="W102" i="25"/>
  <c r="C249" i="28"/>
  <c r="C249" i="27"/>
  <c r="C249" i="25"/>
  <c r="C249" i="24"/>
  <c r="AM90" i="25" a="1"/>
  <c r="AL90" i="27" a="1"/>
  <c r="AL90" i="27" s="1"/>
  <c r="AF43" i="27" a="1"/>
  <c r="AE90" i="27" a="1"/>
  <c r="C257" i="28"/>
  <c r="Y43" i="2"/>
  <c r="W43" i="24" a="1"/>
  <c r="D241" i="24" s="1"/>
  <c r="AK90" i="25" a="1"/>
  <c r="D257" i="25" s="1"/>
  <c r="T43" i="25" a="1"/>
  <c r="M90" i="27" a="1"/>
  <c r="AD43" i="27" a="1"/>
  <c r="D243" i="27" s="1"/>
  <c r="C255" i="25"/>
  <c r="Y46" i="2"/>
  <c r="J90" i="25" a="1"/>
  <c r="I43" i="24" a="1"/>
  <c r="D237" i="24" s="1"/>
  <c r="AA90" i="25" a="1"/>
  <c r="AH43" i="24" a="1"/>
  <c r="AG43" i="24" a="1"/>
  <c r="R43" i="25" a="1"/>
  <c r="L90" i="27" a="1"/>
  <c r="C255" i="27"/>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C257" i="24"/>
  <c r="B90" i="2"/>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P43" i="2"/>
  <c r="P46" i="2"/>
  <c r="C245" i="28"/>
  <c r="Q45" i="2"/>
  <c r="U106" i="2" s="1"/>
  <c r="Q44" i="2"/>
  <c r="Q43" i="2"/>
  <c r="Q46" i="2"/>
  <c r="C245" i="24"/>
  <c r="C242" i="28"/>
  <c r="C242" i="27"/>
  <c r="C242" i="25"/>
  <c r="C242" i="24"/>
  <c r="C235" i="27"/>
  <c r="C235" i="25"/>
  <c r="C235" i="24"/>
  <c r="C235" i="28"/>
  <c r="C254" i="24"/>
  <c r="C254" i="28"/>
  <c r="C254" i="27"/>
  <c r="C254" i="25"/>
  <c r="C244" i="25"/>
  <c r="C244" i="24"/>
  <c r="C244" i="28"/>
  <c r="C244" i="27"/>
  <c r="C236" i="25"/>
  <c r="C236" i="24"/>
  <c r="C236" i="28"/>
  <c r="C236" i="27"/>
  <c r="C246" i="24"/>
  <c r="C246" i="28"/>
  <c r="C246" i="27"/>
  <c r="C246" i="25"/>
  <c r="C256" i="28"/>
  <c r="C256" i="27"/>
  <c r="C256" i="25"/>
  <c r="C256" i="24"/>
  <c r="C250" i="28"/>
  <c r="C250" i="27"/>
  <c r="C250" i="25"/>
  <c r="C250" i="24"/>
  <c r="C240" i="28"/>
  <c r="C240" i="27"/>
  <c r="C240" i="25"/>
  <c r="C240" i="24"/>
  <c r="C252" i="25"/>
  <c r="C252" i="24"/>
  <c r="C252" i="28"/>
  <c r="C252" i="27"/>
  <c r="C248" i="28"/>
  <c r="C248" i="27"/>
  <c r="C248" i="25"/>
  <c r="C248" i="24"/>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43" i="27" l="1"/>
  <c r="C243" i="40"/>
  <c r="C243" i="41"/>
  <c r="C243" i="39"/>
  <c r="C243" i="38"/>
  <c r="C243" i="37"/>
  <c r="C243" i="36"/>
  <c r="C243" i="34"/>
  <c r="C243" i="35"/>
  <c r="C243" i="30"/>
  <c r="C243" i="33"/>
  <c r="C243" i="32"/>
  <c r="C243" i="31"/>
  <c r="C243" i="29"/>
  <c r="X112" i="2" a="1"/>
  <c r="X121" i="2" s="1"/>
  <c r="C238" i="24"/>
  <c r="C238" i="41"/>
  <c r="C238" i="40"/>
  <c r="C238" i="37"/>
  <c r="C238" i="36"/>
  <c r="C238" i="39"/>
  <c r="C238" i="38"/>
  <c r="C238" i="35"/>
  <c r="C238" i="34"/>
  <c r="C238" i="33"/>
  <c r="C238" i="32"/>
  <c r="C238" i="31"/>
  <c r="C238" i="29"/>
  <c r="C238" i="30"/>
  <c r="C239" i="40"/>
  <c r="C239" i="41"/>
  <c r="C239" i="37"/>
  <c r="C239" i="36"/>
  <c r="C239" i="39"/>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63" i="41"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X114" i="2" l="1"/>
  <c r="X120" i="2"/>
  <c r="X113" i="2"/>
  <c r="X116" i="2"/>
  <c r="X119" i="2"/>
  <c r="X112" i="2"/>
  <c r="X122" i="2"/>
  <c r="X117" i="2"/>
  <c r="X123" i="2"/>
  <c r="X115" i="2"/>
  <c r="X118" i="2"/>
  <c r="W121" i="2"/>
  <c r="U116" i="2"/>
  <c r="W116" i="2"/>
  <c r="W115" i="2"/>
  <c r="U112" i="2"/>
  <c r="U117" i="2"/>
  <c r="W122" i="2"/>
  <c r="C263" i="40"/>
  <c r="C263" i="39"/>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C259" i="41" s="1"/>
  <c r="U121" i="2"/>
  <c r="W123" i="2"/>
  <c r="U120" i="2"/>
  <c r="V117" i="2"/>
  <c r="V119" i="2"/>
  <c r="C263" i="24"/>
  <c r="C263" i="28"/>
  <c r="C263" i="25"/>
  <c r="C263" i="27"/>
  <c r="U112" i="28" a="1"/>
  <c r="U112" i="28" s="1"/>
  <c r="R123" i="2"/>
  <c r="W112" i="24" a="1"/>
  <c r="W112" i="24" s="1"/>
  <c r="R112" i="2"/>
  <c r="C258" i="41" s="1"/>
  <c r="U114" i="2"/>
  <c r="V115" i="2"/>
  <c r="W117" i="2"/>
  <c r="W120" i="2"/>
  <c r="R116" i="2"/>
  <c r="C262" i="41" s="1"/>
  <c r="R119" i="2"/>
  <c r="C265" i="41" s="1"/>
  <c r="U123" i="2"/>
  <c r="R115" i="2"/>
  <c r="C261" i="41" s="1"/>
  <c r="W113" i="2"/>
  <c r="R112" i="27"/>
  <c r="D258" i="27" s="1"/>
  <c r="D259" i="27"/>
  <c r="D265" i="27"/>
  <c r="D264" i="27"/>
  <c r="D263" i="27"/>
  <c r="D262" i="27"/>
  <c r="D261" i="27"/>
  <c r="D260" i="27"/>
  <c r="R118" i="2"/>
  <c r="C264" i="41" s="1"/>
  <c r="R112" i="25" a="1"/>
  <c r="R121" i="2"/>
  <c r="R112" i="28" a="1"/>
  <c r="R122" i="2"/>
  <c r="V112" i="25" a="1"/>
  <c r="V112" i="25" s="1"/>
  <c r="W112" i="28" a="1"/>
  <c r="W112" i="28" s="1"/>
  <c r="R114" i="2"/>
  <c r="C260" i="41" s="1"/>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E262" i="41" l="1"/>
  <c r="E260" i="41"/>
  <c r="E261" i="41"/>
  <c r="E265" i="41"/>
  <c r="C265" i="27"/>
  <c r="E259" i="41"/>
  <c r="E264" i="41"/>
  <c r="E258" i="41"/>
  <c r="E252" i="41"/>
  <c r="E250" i="41"/>
  <c r="E249" i="41"/>
  <c r="E234" i="41"/>
  <c r="E237" i="41"/>
  <c r="E240" i="41"/>
  <c r="E253" i="41"/>
  <c r="E257" i="41"/>
  <c r="E236" i="41"/>
  <c r="E248" i="41"/>
  <c r="E246" i="41"/>
  <c r="E241" i="41"/>
  <c r="E256" i="41"/>
  <c r="E242" i="41"/>
  <c r="E238" i="41"/>
  <c r="E245" i="41"/>
  <c r="E235" i="41"/>
  <c r="E243" i="41"/>
  <c r="E239" i="41"/>
  <c r="E251" i="41"/>
  <c r="E255" i="41"/>
  <c r="E247" i="41"/>
  <c r="E244" i="41"/>
  <c r="E254" i="41"/>
  <c r="E263" i="41"/>
  <c r="C260" i="40"/>
  <c r="C260" i="36"/>
  <c r="C260" i="39"/>
  <c r="C260" i="38"/>
  <c r="C260" i="37"/>
  <c r="C260" i="35"/>
  <c r="C260" i="34"/>
  <c r="C260" i="31"/>
  <c r="C260" i="29"/>
  <c r="C260" i="30"/>
  <c r="C260" i="33"/>
  <c r="C260" i="32"/>
  <c r="C261" i="40"/>
  <c r="C261" i="39"/>
  <c r="C261" i="38"/>
  <c r="C261" i="37"/>
  <c r="C261" i="36"/>
  <c r="C261" i="34"/>
  <c r="C261" i="35"/>
  <c r="C261" i="29"/>
  <c r="C261" i="32"/>
  <c r="C261" i="31"/>
  <c r="C261" i="30"/>
  <c r="C261" i="33"/>
  <c r="C265" i="25"/>
  <c r="C265" i="40"/>
  <c r="C265" i="39"/>
  <c r="C265" i="38"/>
  <c r="C265" i="37"/>
  <c r="C265" i="36"/>
  <c r="C265" i="35"/>
  <c r="C265" i="34"/>
  <c r="C265" i="30"/>
  <c r="C265" i="33"/>
  <c r="C265" i="32"/>
  <c r="C265" i="31"/>
  <c r="C265" i="29"/>
  <c r="C262" i="40"/>
  <c r="C262" i="37"/>
  <c r="C262" i="39"/>
  <c r="C262" i="36"/>
  <c r="C262" i="38"/>
  <c r="C262" i="35"/>
  <c r="C262" i="34"/>
  <c r="C262" i="30"/>
  <c r="C262" i="33"/>
  <c r="C262" i="31"/>
  <c r="C262" i="29"/>
  <c r="C262" i="32"/>
  <c r="C259" i="40"/>
  <c r="C259" i="37"/>
  <c r="C259" i="36"/>
  <c r="C259" i="39"/>
  <c r="C259" i="38"/>
  <c r="C259" i="35"/>
  <c r="C259" i="34"/>
  <c r="C259" i="32"/>
  <c r="C259" i="31"/>
  <c r="C259" i="30"/>
  <c r="C259" i="29"/>
  <c r="C259" i="33"/>
  <c r="C264" i="40"/>
  <c r="C264" i="39"/>
  <c r="C264" i="38"/>
  <c r="C264" i="37"/>
  <c r="C264" i="36"/>
  <c r="C264" i="35"/>
  <c r="C264" i="34"/>
  <c r="C264" i="30"/>
  <c r="C264" i="33"/>
  <c r="C264" i="32"/>
  <c r="C264" i="31"/>
  <c r="C264" i="29"/>
  <c r="C258" i="40"/>
  <c r="C258" i="38"/>
  <c r="C258" i="37"/>
  <c r="C258" i="36"/>
  <c r="C258" i="39"/>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2" i="28" l="1"/>
  <c r="E263" i="34"/>
  <c r="E264" i="39"/>
  <c r="E261" i="40"/>
  <c r="E238" i="28"/>
  <c r="B156" i="41"/>
  <c r="E263" i="37"/>
  <c r="E263" i="36"/>
  <c r="E266" i="41"/>
  <c r="E263" i="39"/>
  <c r="E248" i="28"/>
  <c r="E265" i="40"/>
  <c r="E262" i="38"/>
  <c r="E262" i="36"/>
  <c r="E259" i="31"/>
  <c r="E256" i="28"/>
  <c r="E265" i="28"/>
  <c r="E259" i="32"/>
  <c r="E259" i="39"/>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5" i="39"/>
  <c r="E261" i="39"/>
  <c r="E264" i="36"/>
  <c r="E259" i="34"/>
  <c r="E262" i="39"/>
  <c r="E263" i="40"/>
  <c r="E260" i="33"/>
  <c r="E259" i="35"/>
  <c r="E262" i="37"/>
  <c r="E260" i="30"/>
  <c r="E264" i="38"/>
  <c r="E259" i="38"/>
  <c r="E262" i="40"/>
  <c r="E260" i="29"/>
  <c r="E252" i="28"/>
  <c r="E261" i="33"/>
  <c r="E260" i="31"/>
  <c r="E258" i="39"/>
  <c r="E244" i="39"/>
  <c r="E256" i="39"/>
  <c r="E238" i="39"/>
  <c r="E257" i="39"/>
  <c r="E255" i="39"/>
  <c r="E253" i="39"/>
  <c r="E241" i="39"/>
  <c r="E239" i="39"/>
  <c r="E252" i="39"/>
  <c r="E240" i="39"/>
  <c r="E242" i="39"/>
  <c r="E235" i="39"/>
  <c r="E245" i="39"/>
  <c r="E246" i="39"/>
  <c r="E243" i="39"/>
  <c r="E248" i="39"/>
  <c r="E236" i="39"/>
  <c r="E251" i="39"/>
  <c r="E237" i="39"/>
  <c r="E249" i="39"/>
  <c r="E250" i="39"/>
  <c r="E234" i="39"/>
  <c r="E254" i="39"/>
  <c r="E247" i="39"/>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60" i="39"/>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E20" i="1"/>
  <c r="B157" i="41" l="1"/>
  <c r="B156" i="33"/>
  <c r="E266" i="37"/>
  <c r="E266" i="32"/>
  <c r="B156" i="32"/>
  <c r="E266" i="31"/>
  <c r="B156" i="31"/>
  <c r="B156" i="34"/>
  <c r="E266" i="38"/>
  <c r="E266" i="35"/>
  <c r="E266" i="30"/>
  <c r="B156" i="35"/>
  <c r="E266" i="39"/>
  <c r="B156" i="40"/>
  <c r="B157" i="40" s="1"/>
  <c r="E266" i="33"/>
  <c r="B156" i="37"/>
  <c r="B156" i="36"/>
  <c r="E266" i="36"/>
  <c r="E266" i="40"/>
  <c r="B156" i="39"/>
  <c r="E266" i="29"/>
  <c r="B156" i="29"/>
  <c r="E266" i="34"/>
  <c r="B156" i="30"/>
  <c r="B156" i="38"/>
  <c r="E266" i="28"/>
  <c r="B156" i="25"/>
  <c r="B157" i="25" s="1"/>
  <c r="B156" i="27"/>
  <c r="B156" i="28"/>
  <c r="B157" i="28" s="1"/>
  <c r="E266" i="27"/>
  <c r="E266" i="24"/>
  <c r="E266" i="25"/>
  <c r="B156" i="24"/>
  <c r="B157" i="24" s="1"/>
  <c r="B156" i="2"/>
  <c r="B157" i="2" s="1"/>
  <c r="E266" i="2"/>
  <c r="E6" i="1"/>
  <c r="F20" i="1"/>
  <c r="E19" i="1"/>
  <c r="E7" i="1"/>
  <c r="E12" i="1"/>
  <c r="E8" i="1"/>
  <c r="E16" i="1"/>
  <c r="E14" i="1"/>
  <c r="E9" i="1"/>
  <c r="E18" i="1"/>
  <c r="F6" i="1"/>
  <c r="F4" i="1"/>
  <c r="E17" i="1"/>
  <c r="F8" i="1"/>
  <c r="E13" i="1"/>
  <c r="E11" i="1"/>
  <c r="E15" i="1"/>
  <c r="F5" i="1"/>
  <c r="E5" i="1"/>
  <c r="E4" i="1"/>
  <c r="E10" i="1"/>
  <c r="B157" i="37" l="1"/>
  <c r="B157" i="36"/>
  <c r="B157" i="29"/>
  <c r="B157" i="30"/>
  <c r="B157" i="32"/>
  <c r="B157" i="39"/>
  <c r="B157" i="38"/>
  <c r="B157" i="31"/>
  <c r="B157" i="35"/>
  <c r="B157" i="34"/>
  <c r="B157" i="33"/>
  <c r="B157" i="27"/>
  <c r="F15" i="1"/>
  <c r="F12" i="1"/>
  <c r="F7" i="1"/>
  <c r="F19" i="1"/>
  <c r="F16" i="1"/>
  <c r="F11" i="1"/>
  <c r="F17" i="1"/>
  <c r="F18" i="1"/>
  <c r="F9" i="1"/>
  <c r="F10" i="1"/>
  <c r="F13" i="1"/>
  <c r="F14"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<sst xmlns="http://schemas.openxmlformats.org/spreadsheetml/2006/main" count="10778" uniqueCount="380">
  <si>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</si>
  <si>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</si>
  <si>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</si>
  <si>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</si>
  <si>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</si>
  <si>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</si>
  <si>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</si>
  <si>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</si>
  <si>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</si>
  <si>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</si>
  <si>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</si>
  <si>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</si>
  <si>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</si>
  <si>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</si>
  <si>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</si>
  <si>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</si>
  <si>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</si>
  <si>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</si>
  <si>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</si>
  <si>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</si>
  <si>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</si>
  <si>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</si>
  <si>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</si>
  <si>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</si>
  <si>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</si>
  <si>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</si>
  <si>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</si>
  <si>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</si>
  <si>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</si>
  <si>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</si>
  <si>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</si>
  <si>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</si>
  <si>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</si>
  <si>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</si>
  <si>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</si>
  <si>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</si>
  <si>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</si>
  <si>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</si>
  <si>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</si>
  <si>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</si>
  <si>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</si>
  <si>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</si>
  <si>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</si>
  <si>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</si>
  <si>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</si>
  <si>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</si>
  <si>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</si>
  <si>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</si>
  <si>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</si>
  <si>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</si>
  <si>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</si>
  <si>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</si>
  <si>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</si>
  <si>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</si>
  <si>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</si>
  <si>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</si>
  <si>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</si>
  <si>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</si>
  <si>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</si>
  <si>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</si>
  <si>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</si>
  <si>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</si>
  <si>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</si>
  <si>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</si>
  <si>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</si>
  <si>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</si>
  <si>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</si>
  <si>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</si>
  <si>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</si>
  <si>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</si>
  <si>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</si>
  <si>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</si>
  <si>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</si>
  <si>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</si>
  <si>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</si>
  <si>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</si>
  <si>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</si>
  <si>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</si>
  <si>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</si>
  <si>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</si>
  <si>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</si>
  <si>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</si>
  <si>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</si>
  <si>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</si>
  <si>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</si>
  <si>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</si>
  <si>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</si>
  <si>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</si>
  <si>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</si>
  <si>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</si>
  <si>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</si>
  <si>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</si>
  <si>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</si>
  <si>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</si>
  <si>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</si>
  <si>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</si>
  <si>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</si>
  <si>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</si>
  <si>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</si>
  <si>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</si>
  <si>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</si>
  <si>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</si>
  <si>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</si>
  <si>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</si>
  <si>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</si>
  <si>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</si>
  <si>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</si>
  <si>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</si>
  <si>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</si>
  <si>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</si>
  <si>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</si>
  <si>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</si>
  <si>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</si>
  <si>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</si>
  <si>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</si>
  <si>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</si>
  <si>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</si>
  <si>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</si>
  <si>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</si>
  <si>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</si>
  <si>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</si>
  <si>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</si>
  <si>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</si>
  <si>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</si>
  <si>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</si>
  <si>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</si>
  <si>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</si>
  <si>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</si>
  <si>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</si>
  <si>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</si>
  <si>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</si>
  <si>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</si>
  <si>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</si>
  <si>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</si>
  <si>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</si>
  <si>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</si>
  <si>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</si>
  <si>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</si>
  <si>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</si>
  <si>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</si>
  <si>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</si>
  <si>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</si>
  <si>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</si>
  <si>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</si>
  <si>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</si>
  <si>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</si>
  <si>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</si>
  <si>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</si>
  <si>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</si>
  <si>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</si>
  <si>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</si>
  <si>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</si>
  <si>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</si>
  <si>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</si>
  <si>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</si>
  <si>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</si>
  <si>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</si>
  <si>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</si>
  <si>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</si>
  <si>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</si>
  <si>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</si>
  <si>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</si>
  <si>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</si>
  <si>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</si>
  <si>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</si>
  <si>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</si>
  <si>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</si>
  <si>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</si>
  <si>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</si>
  <si>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</si>
  <si>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</si>
  <si>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</si>
  <si>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</si>
  <si>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</si>
  <si>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</si>
  <si>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</si>
  <si>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</si>
  <si>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</si>
  <si>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</si>
  <si>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</si>
  <si>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</si>
  <si>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</si>
  <si>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</si>
  <si>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</si>
  <si>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</si>
  <si>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</si>
  <si>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</si>
  <si>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</si>
  <si>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</si>
  <si>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</si>
  <si>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</si>
  <si>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</si>
  <si>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</si>
  <si>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</si>
  <si>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</si>
  <si>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</si>
  <si>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</si>
  <si>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</si>
  <si>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</si>
  <si>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</si>
  <si>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</si>
  <si>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</si>
  <si>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</si>
  <si>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</si>
  <si>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</si>
  <si>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</si>
  <si>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</si>
  <si>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</si>
  <si>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</si>
  <si>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</si>
  <si>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</si>
  <si>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</si>
  <si>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</si>
  <si>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</si>
  <si>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</si>
  <si>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</si>
  <si>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</si>
  <si>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</si>
  <si>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</si>
  <si>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</si>
  <si>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</si>
  <si>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</si>
  <si>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</si>
  <si>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</si>
  <si>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</si>
  <si>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</si>
  <si>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</si>
  <si>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</si>
  <si>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</si>
  <si>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</si>
  <si>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</si>
  <si>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</si>
  <si>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</si>
  <si>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</si>
  <si>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</si>
  <si>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</si>
  <si>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</si>
  <si>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</si>
  <si>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</si>
  <si>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</si>
  <si>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</si>
  <si>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</si>
  <si>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</si>
  <si>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</si>
  <si>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</si>
  <si>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</si>
  <si>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</si>
  <si>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</si>
  <si>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</si>
  <si>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</si>
  <si>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</si>
  <si>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</si>
  <si>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</si>
  <si>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</si>
  <si>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</si>
  <si>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</si>
  <si>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</si>
  <si>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</si>
  <si>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</si>
  <si>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</si>
  <si>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</si>
  <si>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</si>
  <si>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</si>
  <si>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</si>
  <si>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</si>
  <si>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</si>
  <si>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</si>
  <si>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</si>
  <si>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</si>
  <si>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</si>
  <si>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</si>
  <si>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</si>
  <si>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</si>
  <si>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</si>
  <si>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</si>
  <si>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</si>
  <si>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</si>
  <si>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</si>
  <si>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</si>
  <si>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</si>
  <si>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</si>
  <si>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</si>
  <si>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</si>
  <si>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</si>
  <si>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</si>
  <si>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</si>
  <si>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</si>
  <si>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</si>
  <si>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</si>
  <si>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</si>
  <si>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</si>
  <si>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</si>
  <si>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</si>
  <si>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</si>
  <si>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</si>
  <si>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</si>
  <si>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</si>
  <si>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</si>
  <si>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</si>
  <si>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</si>
  <si>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</si>
  <si>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</si>
  <si>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</si>
  <si>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</si>
  <si>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</si>
  <si>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</si>
  <si>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</si>
  <si>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</si>
  <si>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</si>
  <si>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</si>
  <si>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</si>
  <si>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</si>
  <si>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</si>
  <si>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</si>
  <si>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</si>
  <si>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</si>
  <si>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</si>
  <si>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</si>
  <si>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</si>
  <si>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</si>
  <si>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</si>
  <si>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</si>
  <si>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</si>
  <si>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</si>
  <si>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</si>
  <si>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</si>
  <si>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</si>
  <si>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</si>
  <si>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</si>
  <si>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</si>
  <si>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</si>
  <si>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</si>
  <si>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</si>
  <si>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</si>
  <si>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</si>
  <si>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</si>
  <si>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</si>
  <si>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</si>
  <si>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</si>
  <si>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</si>
  <si>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</si>
  <si>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</si>
  <si>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</si>
  <si>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</si>
  <si>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</si>
  <si>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</si>
  <si>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</si>
  <si>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</si>
  <si>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</si>
  <si>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</si>
  <si>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</si>
  <si>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</si>
  <si>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</si>
  <si>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</si>
  <si>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</si>
  <si>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</si>
  <si>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</si>
  <si>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</si>
  <si>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</si>
  <si>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</si>
  <si>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</si>
  <si>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</si>
  <si>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</si>
  <si>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</si>
  <si>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</si>
  <si>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</si>
  <si>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</si>
  <si>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</si>
  <si>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</si>
  <si>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</si>
  <si>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</si>
  <si>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</si>
  <si>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</si>
  <si>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</si>
  <si>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0'</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</si>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</sst>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11" fillId="0" borderId="0" xfId="0" applyFont="1"/>
    <xf numFmtId="0" fontId="0" fillId="0" borderId="0" xfId="0"/>
    <xf numFmtId="0" fontId="19" fillId="0" borderId="0" xfId="0" applyFont="1"/>
    <xf numFmtId="0" fontId="12" fillId="0" borderId="0" xfId="0" applyFont="1"/>
    <xf numFmtId="0" fontId="3" fillId="4" borderId="0" xfId="0" applyFont="1" applyFill="1" applyAlignment="1">
      <alignment horizontal="center"/>
    </xf>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2" fillId="0" borderId="0" xfId="0" applyFont="1"/>
    <xf numFmtId="0" fontId="2" fillId="4" borderId="0" xfId="0" applyFont="1" applyFill="1" applyAlignment="1">
      <alignment horizontal="center"/>
    </xf>
    <xf numFmtId="0" fontId="24" fillId="0" borderId="0" xfId="9" applyFont="1" applyAlignment="1">
      <alignment horizontal="center"/>
    </xf>
    <xf numFmtId="0" fontId="22" fillId="0" borderId="0" xfId="9" applyFont="1"/>
    <xf numFmtId="0" fontId="23"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4" fillId="0" borderId="0" xfId="9" applyFont="1" applyAlignment="1">
      <alignment horizontal="left"/>
    </xf>
    <xf numFmtId="0" fontId="36" fillId="0" borderId="0" xfId="10" applyFont="1" applyAlignment="1">
      <alignment horizontal="left"/>
    </xf>
    <xf numFmtId="0" fontId="36" fillId="0" borderId="0" xfId="10" applyFont="1" applyAlignment="1">
      <alignment horizontal="center"/>
    </xf>
    <xf numFmtId="0" fontId="36" fillId="17" borderId="2" xfId="10" applyFont="1" applyFill="1" applyBorder="1" applyAlignment="1">
      <alignment horizontal="center"/>
    </xf>
    <xf numFmtId="0" fontId="35" fillId="15" borderId="0" xfId="10" applyFont="1" applyFill="1" applyAlignment="1">
      <alignment horizontal="center"/>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AE16" sqref="AE16"/>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75" t="s">
        <v>0</v>
      </c>
      <c r="B1" s="76"/>
      <c r="C1" s="76"/>
      <c r="D1" s="76"/>
      <c r="E1" s="76"/>
      <c r="F1" s="76"/>
    </row>
    <row r="3" spans="1:6" ht="27" x14ac:dyDescent="0.3">
      <c r="A3" s="19" t="s">
        <v>1</v>
      </c>
      <c r="B3" s="19" t="s">
        <v>2</v>
      </c>
      <c r="C3" s="19" t="s">
        <v>3</v>
      </c>
      <c r="D3" s="19" t="s">
        <v>4</v>
      </c>
      <c r="E3" s="19" t="s">
        <v>5</v>
      </c>
      <c r="F3" s="19" t="s">
        <v>6</v>
      </c>
    </row>
    <row r="4" spans="1:6" x14ac:dyDescent="0.3">
      <c r="A4" s="20">
        <f t="shared" ref="A4" ca="1" si="0">IF(B4="","",RANK(F4,$F$4:$F$43))</f>
        <v>8</v>
      </c>
      <c r="B4" s="21" t="s">
        <v>10</v>
      </c>
      <c r="C4" s="22">
        <f t="shared" ref="C4:C43" ca="1" si="1">IF(B4="","",INDIRECT("'"&amp;B4&amp;"'!B154"))</f>
        <v>20</v>
      </c>
      <c r="D4" s="22">
        <f t="shared" ref="D4" ca="1" si="2">IF(B4="","",INDIRECT("'"&amp;B4&amp;"'!B155"))</f>
        <v>29</v>
      </c>
      <c r="E4" s="22">
        <f t="shared" ref="E4" ca="1" si="3">IF(B4="","",INDIRECT("'"&amp;B4&amp;"'!B156"))</f>
        <v>120</v>
      </c>
      <c r="F4" s="20">
        <f t="shared" ref="F4" ca="1" si="4">IF(B4="","",INDIRECT("'"&amp;B4&amp;"'!B157"))</f>
        <v>169</v>
      </c>
    </row>
    <row r="5" spans="1:6" x14ac:dyDescent="0.3">
      <c r="A5" s="20">
        <f t="shared" ref="A5" ca="1" si="5">IF(B5="","",RANK(F5,$F$4:$F$43))</f>
        <v>15</v>
      </c>
      <c r="B5" s="21" t="s">
        <v>9</v>
      </c>
      <c r="C5" s="22">
        <f t="shared" ca="1" si="1"/>
        <v>20</v>
      </c>
      <c r="D5" s="22">
        <f t="shared" ref="D5" ca="1" si="6">IF(B5="","",INDIRECT("'"&amp;B5&amp;"'!B155"))</f>
        <v>29</v>
      </c>
      <c r="E5" s="22">
        <f t="shared" ref="E5" ca="1" si="7">IF(B5="","",INDIRECT("'"&amp;B5&amp;"'!B156"))</f>
        <v>115</v>
      </c>
      <c r="F5" s="20">
        <f t="shared" ref="F5" ca="1" si="8">IF(B5="","",INDIRECT("'"&amp;B5&amp;"'!B157"))</f>
        <v>164</v>
      </c>
    </row>
    <row r="6" spans="1:6" x14ac:dyDescent="0.3">
      <c r="A6" s="20">
        <f t="shared" ref="A6:A9" ca="1" si="9">IF(B6="","",RANK(F6,$F$4:$F$43))</f>
        <v>3</v>
      </c>
      <c r="B6" s="21" t="s">
        <v>7</v>
      </c>
      <c r="C6" s="22">
        <f t="shared" ca="1" si="1"/>
        <v>25</v>
      </c>
      <c r="D6" s="22">
        <f t="shared" ref="D6:D9" ca="1" si="10">IF(B6="","",INDIRECT("'"&amp;B6&amp;"'!B155"))</f>
        <v>30</v>
      </c>
      <c r="E6" s="22">
        <f t="shared" ref="E6:E9" ca="1" si="11">IF(B6="","",INDIRECT("'"&amp;B6&amp;"'!B156"))</f>
        <v>125</v>
      </c>
      <c r="F6" s="20">
        <f t="shared" ref="F6:F9" ca="1" si="12">IF(B6="","",INDIRECT("'"&amp;B6&amp;"'!B157"))</f>
        <v>180</v>
      </c>
    </row>
    <row r="7" spans="1:6" x14ac:dyDescent="0.3">
      <c r="A7" s="20">
        <f t="shared" ca="1" si="9"/>
        <v>17</v>
      </c>
      <c r="B7" s="21" t="s">
        <v>8</v>
      </c>
      <c r="C7" s="22">
        <f t="shared" ca="1" si="1"/>
        <v>15</v>
      </c>
      <c r="D7" s="22">
        <f t="shared" ca="1" si="10"/>
        <v>20</v>
      </c>
      <c r="E7" s="22">
        <f t="shared" ca="1" si="11"/>
        <v>110</v>
      </c>
      <c r="F7" s="20">
        <f t="shared" ca="1" si="12"/>
        <v>145</v>
      </c>
    </row>
    <row r="8" spans="1:6" x14ac:dyDescent="0.3">
      <c r="A8" s="20">
        <f t="shared" ca="1" si="9"/>
        <v>8</v>
      </c>
      <c r="B8" s="21" t="s">
        <v>366</v>
      </c>
      <c r="C8" s="22">
        <f t="shared" ca="1" si="1"/>
        <v>25</v>
      </c>
      <c r="D8" s="22">
        <f t="shared" ca="1" si="10"/>
        <v>29</v>
      </c>
      <c r="E8" s="22">
        <f t="shared" ca="1" si="11"/>
        <v>115</v>
      </c>
      <c r="F8" s="20">
        <f t="shared" ca="1" si="12"/>
        <v>169</v>
      </c>
    </row>
    <row r="9" spans="1:6" x14ac:dyDescent="0.3">
      <c r="A9" s="20">
        <f t="shared" ca="1" si="9"/>
        <v>6</v>
      </c>
      <c r="B9" s="21" t="s">
        <v>367</v>
      </c>
      <c r="C9" s="22">
        <f t="shared" ca="1" si="1"/>
        <v>25</v>
      </c>
      <c r="D9" s="22">
        <f t="shared" ca="1" si="10"/>
        <v>35</v>
      </c>
      <c r="E9" s="22">
        <f t="shared" ca="1" si="11"/>
        <v>115</v>
      </c>
      <c r="F9" s="20">
        <f t="shared" ca="1" si="12"/>
        <v>175</v>
      </c>
    </row>
    <row r="10" spans="1:6" x14ac:dyDescent="0.3">
      <c r="A10" s="20">
        <f t="shared" ref="A10:A43" ca="1" si="13">IF(B10="","",RANK(F10,$F$4:$F$43))</f>
        <v>8</v>
      </c>
      <c r="B10" s="21" t="s">
        <v>368</v>
      </c>
      <c r="C10" s="22">
        <f t="shared" ca="1" si="1"/>
        <v>15</v>
      </c>
      <c r="D10" s="22">
        <f t="shared" ref="D10:D43" ca="1" si="14">IF(B10="","",INDIRECT("'"&amp;B10&amp;"'!B155"))</f>
        <v>29</v>
      </c>
      <c r="E10" s="22">
        <f t="shared" ref="E10:E43" ca="1" si="15">IF(B10="","",INDIRECT("'"&amp;B10&amp;"'!B156"))</f>
        <v>125</v>
      </c>
      <c r="F10" s="20">
        <f t="shared" ref="F10:F43" ca="1" si="16">IF(B10="","",INDIRECT("'"&amp;B10&amp;"'!B157"))</f>
        <v>169</v>
      </c>
    </row>
    <row r="11" spans="1:6" x14ac:dyDescent="0.3">
      <c r="A11" s="20">
        <f t="shared" ca="1" si="13"/>
        <v>12</v>
      </c>
      <c r="B11" s="21" t="s">
        <v>369</v>
      </c>
      <c r="C11" s="22">
        <f t="shared" ca="1" si="1"/>
        <v>25</v>
      </c>
      <c r="D11" s="22">
        <f t="shared" ca="1" si="14"/>
        <v>32</v>
      </c>
      <c r="E11" s="22">
        <f t="shared" ca="1" si="15"/>
        <v>110</v>
      </c>
      <c r="F11" s="20">
        <f t="shared" ca="1" si="16"/>
        <v>167</v>
      </c>
    </row>
    <row r="12" spans="1:6" x14ac:dyDescent="0.3">
      <c r="A12" s="20">
        <f t="shared" ca="1" si="13"/>
        <v>4</v>
      </c>
      <c r="B12" s="21" t="s">
        <v>370</v>
      </c>
      <c r="C12" s="22">
        <f t="shared" ca="1" si="1"/>
        <v>25</v>
      </c>
      <c r="D12" s="22">
        <f t="shared" ca="1" si="14"/>
        <v>31</v>
      </c>
      <c r="E12" s="22">
        <f t="shared" ca="1" si="15"/>
        <v>120</v>
      </c>
      <c r="F12" s="20">
        <f t="shared" ca="1" si="16"/>
        <v>176</v>
      </c>
    </row>
    <row r="13" spans="1:6" x14ac:dyDescent="0.3">
      <c r="A13" s="20">
        <f t="shared" ca="1" si="13"/>
        <v>1</v>
      </c>
      <c r="B13" s="21" t="s">
        <v>371</v>
      </c>
      <c r="C13" s="22">
        <f t="shared" ca="1" si="1"/>
        <v>30</v>
      </c>
      <c r="D13" s="22">
        <f t="shared" ca="1" si="14"/>
        <v>34</v>
      </c>
      <c r="E13" s="22">
        <f t="shared" ca="1" si="15"/>
        <v>120</v>
      </c>
      <c r="F13" s="20">
        <f t="shared" ca="1" si="16"/>
        <v>184</v>
      </c>
    </row>
    <row r="14" spans="1:6" x14ac:dyDescent="0.3">
      <c r="A14" s="20">
        <f t="shared" ca="1" si="13"/>
        <v>7</v>
      </c>
      <c r="B14" s="21" t="s">
        <v>372</v>
      </c>
      <c r="C14" s="22">
        <f t="shared" ca="1" si="1"/>
        <v>25</v>
      </c>
      <c r="D14" s="22">
        <f t="shared" ca="1" si="14"/>
        <v>34</v>
      </c>
      <c r="E14" s="22">
        <f t="shared" ca="1" si="15"/>
        <v>115</v>
      </c>
      <c r="F14" s="20">
        <f t="shared" ca="1" si="16"/>
        <v>174</v>
      </c>
    </row>
    <row r="15" spans="1:6" x14ac:dyDescent="0.3">
      <c r="A15" s="20">
        <f t="shared" ca="1" si="13"/>
        <v>2</v>
      </c>
      <c r="B15" s="21" t="s">
        <v>373</v>
      </c>
      <c r="C15" s="22">
        <f t="shared" ca="1" si="1"/>
        <v>35</v>
      </c>
      <c r="D15" s="22">
        <f t="shared" ca="1" si="14"/>
        <v>33</v>
      </c>
      <c r="E15" s="22">
        <f t="shared" ca="1" si="15"/>
        <v>115</v>
      </c>
      <c r="F15" s="20">
        <f t="shared" ca="1" si="16"/>
        <v>183</v>
      </c>
    </row>
    <row r="16" spans="1:6" x14ac:dyDescent="0.3">
      <c r="A16" s="20">
        <f t="shared" ca="1" si="13"/>
        <v>12</v>
      </c>
      <c r="B16" s="21" t="s">
        <v>375</v>
      </c>
      <c r="C16" s="22">
        <f t="shared" ca="1" si="1"/>
        <v>20</v>
      </c>
      <c r="D16" s="22">
        <f t="shared" ca="1" si="14"/>
        <v>32</v>
      </c>
      <c r="E16" s="22">
        <f t="shared" ca="1" si="15"/>
        <v>115</v>
      </c>
      <c r="F16" s="20">
        <f t="shared" ca="1" si="16"/>
        <v>167</v>
      </c>
    </row>
    <row r="17" spans="1:6" x14ac:dyDescent="0.3">
      <c r="A17" s="20">
        <f t="shared" ca="1" si="13"/>
        <v>8</v>
      </c>
      <c r="B17" s="21" t="s">
        <v>376</v>
      </c>
      <c r="C17" s="22">
        <f t="shared" ca="1" si="1"/>
        <v>20</v>
      </c>
      <c r="D17" s="22">
        <f t="shared" ca="1" si="14"/>
        <v>29</v>
      </c>
      <c r="E17" s="22">
        <f t="shared" ca="1" si="15"/>
        <v>120</v>
      </c>
      <c r="F17" s="20">
        <f t="shared" ca="1" si="16"/>
        <v>169</v>
      </c>
    </row>
    <row r="18" spans="1:6" x14ac:dyDescent="0.3">
      <c r="A18" s="20">
        <f t="shared" ca="1" si="13"/>
        <v>4</v>
      </c>
      <c r="B18" s="21" t="s">
        <v>377</v>
      </c>
      <c r="C18" s="22">
        <f t="shared" ca="1" si="1"/>
        <v>25</v>
      </c>
      <c r="D18" s="22">
        <f t="shared" ca="1" si="14"/>
        <v>26</v>
      </c>
      <c r="E18" s="22">
        <f t="shared" ca="1" si="15"/>
        <v>125</v>
      </c>
      <c r="F18" s="20">
        <f t="shared" ca="1" si="16"/>
        <v>176</v>
      </c>
    </row>
    <row r="19" spans="1:6" x14ac:dyDescent="0.3">
      <c r="A19" s="20">
        <f t="shared" ca="1" si="13"/>
        <v>16</v>
      </c>
      <c r="B19" s="21" t="s">
        <v>378</v>
      </c>
      <c r="C19" s="22">
        <f t="shared" ca="1" si="1"/>
        <v>15</v>
      </c>
      <c r="D19" s="22">
        <f t="shared" ca="1" si="14"/>
        <v>26</v>
      </c>
      <c r="E19" s="22">
        <f t="shared" ca="1" si="15"/>
        <v>115</v>
      </c>
      <c r="F19" s="20">
        <f t="shared" ca="1" si="16"/>
        <v>156</v>
      </c>
    </row>
    <row r="20" spans="1:6" x14ac:dyDescent="0.3">
      <c r="A20" s="20">
        <f t="shared" ca="1" si="13"/>
        <v>14</v>
      </c>
      <c r="B20" s="21" t="s">
        <v>379</v>
      </c>
      <c r="C20" s="22">
        <f t="shared" ca="1" si="1"/>
        <v>20</v>
      </c>
      <c r="D20" s="22">
        <f t="shared" ca="1" si="14"/>
        <v>31</v>
      </c>
      <c r="E20" s="22">
        <f t="shared" ca="1" si="15"/>
        <v>115</v>
      </c>
      <c r="F20" s="20">
        <f t="shared" ca="1" si="16"/>
        <v>166</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78" t="s">
        <v>11</v>
      </c>
      <c r="B46" s="76"/>
      <c r="C46" s="76"/>
      <c r="D46" s="76"/>
      <c r="E46" s="76"/>
      <c r="F46" s="76"/>
    </row>
    <row r="47" spans="1:6" x14ac:dyDescent="0.3">
      <c r="A47" s="77" t="s">
        <v>12</v>
      </c>
      <c r="B47" s="76"/>
      <c r="C47" s="76"/>
      <c r="D47" s="76"/>
      <c r="E47" s="76"/>
      <c r="F47" s="76"/>
    </row>
    <row r="48" spans="1:6" x14ac:dyDescent="0.3">
      <c r="A48" s="77" t="s">
        <v>13</v>
      </c>
      <c r="B48" s="76"/>
      <c r="C48" s="76"/>
      <c r="D48" s="76"/>
      <c r="E48" s="76"/>
      <c r="F48" s="76"/>
    </row>
    <row r="49" spans="1:6" x14ac:dyDescent="0.3">
      <c r="A49" s="77" t="s">
        <v>14</v>
      </c>
      <c r="B49" s="76"/>
      <c r="C49" s="76"/>
      <c r="D49" s="76"/>
      <c r="E49" s="76"/>
      <c r="F49" s="76"/>
    </row>
    <row r="50" spans="1:6" x14ac:dyDescent="0.3">
      <c r="A50" s="77"/>
      <c r="B50" s="76"/>
      <c r="C50" s="76"/>
      <c r="D50" s="76"/>
      <c r="E50" s="76"/>
      <c r="F50" s="76"/>
    </row>
    <row r="51" spans="1:6" x14ac:dyDescent="0.3">
      <c r="A51" s="77" t="s">
        <v>15</v>
      </c>
      <c r="B51" s="76"/>
      <c r="C51" s="76"/>
      <c r="D51" s="76"/>
      <c r="E51" s="76"/>
      <c r="F51" s="76"/>
    </row>
    <row r="52" spans="1:6" x14ac:dyDescent="0.3">
      <c r="A52" s="77" t="s">
        <v>16</v>
      </c>
      <c r="B52" s="76"/>
      <c r="C52" s="76"/>
      <c r="D52" s="76"/>
      <c r="E52" s="76"/>
      <c r="F52" s="76"/>
    </row>
    <row r="53" spans="1:6" x14ac:dyDescent="0.3">
      <c r="A53" s="77" t="s">
        <v>17</v>
      </c>
      <c r="B53" s="76"/>
      <c r="C53" s="76"/>
      <c r="D53" s="76"/>
      <c r="E53" s="76"/>
      <c r="F53" s="76"/>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workbookViewId="0">
      <selection activeCell="AD8" sqref="AD8"/>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9" t="s">
        <v>18</v>
      </c>
      <c r="C1" s="79"/>
      <c r="D1" s="4"/>
      <c r="E1" s="6"/>
      <c r="F1" s="6"/>
      <c r="G1" s="4"/>
      <c r="H1" s="79" t="s">
        <v>19</v>
      </c>
      <c r="I1" s="79"/>
      <c r="J1" s="79"/>
      <c r="K1" s="79"/>
      <c r="L1" s="6"/>
      <c r="M1" s="6"/>
      <c r="N1" s="4"/>
      <c r="O1" s="79" t="s">
        <v>20</v>
      </c>
      <c r="P1" s="79"/>
      <c r="Q1" s="79"/>
      <c r="R1" s="79"/>
      <c r="S1" s="6"/>
      <c r="T1" s="6"/>
      <c r="U1" s="4"/>
      <c r="V1" s="79" t="s">
        <v>21</v>
      </c>
      <c r="W1" s="79"/>
      <c r="X1" s="79"/>
      <c r="Y1" s="79"/>
      <c r="Z1" s="6"/>
      <c r="AA1" s="6"/>
      <c r="AB1" s="4"/>
      <c r="AC1" s="79" t="s">
        <v>22</v>
      </c>
      <c r="AD1" s="79"/>
      <c r="AE1" s="79"/>
      <c r="AF1" s="79"/>
      <c r="AG1" s="6"/>
      <c r="AH1" s="6"/>
      <c r="AI1" s="4"/>
      <c r="AJ1" s="79" t="s">
        <v>23</v>
      </c>
      <c r="AK1" s="79"/>
      <c r="AL1" s="79"/>
      <c r="AM1" s="79"/>
      <c r="AN1" s="6"/>
      <c r="AO1" s="6"/>
      <c r="AP1" s="4"/>
    </row>
    <row r="2" spans="1:42" ht="17.399999999999999" customHeight="1"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c r="AL5" s="3"/>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c r="AE10" s="3"/>
      <c r="AF10" s="4"/>
      <c r="AG10" s="4"/>
      <c r="AH10" s="4"/>
      <c r="AI10" s="4"/>
      <c r="AJ10" s="4"/>
      <c r="AK10" s="3"/>
      <c r="AL10" s="3"/>
      <c r="AM10" s="4"/>
      <c r="AN10" s="4"/>
      <c r="AO10" s="4"/>
      <c r="AP10" s="4"/>
    </row>
    <row r="11" spans="1:42" x14ac:dyDescent="0.45">
      <c r="A11" s="4"/>
      <c r="B11" s="80" t="str">
        <f>IF(B10=C10,"Unentschieden",IF(B10&gt;C10,B9,C9))</f>
        <v>Südkorea</v>
      </c>
      <c r="C11" s="80"/>
      <c r="D11" s="4"/>
      <c r="E11" s="4"/>
      <c r="F11" s="4"/>
      <c r="G11" s="4"/>
      <c r="H11" s="4"/>
      <c r="I11" s="80" t="str">
        <f>IF(I10=J10,"Unentschieden",IF(I10&gt;J10,I9,J9))</f>
        <v>Unentschieden</v>
      </c>
      <c r="J11" s="80"/>
      <c r="K11" s="4"/>
      <c r="L11" s="4"/>
      <c r="M11" s="4"/>
      <c r="N11" s="4"/>
      <c r="O11" s="4"/>
      <c r="P11" s="80" t="str">
        <f>IF(P10=Q10,"Unentschieden",IF(P10&gt;Q10,P9,Q9))</f>
        <v>Schottland</v>
      </c>
      <c r="Q11" s="80"/>
      <c r="R11" s="4"/>
      <c r="S11" s="4"/>
      <c r="T11" s="4"/>
      <c r="U11" s="4"/>
      <c r="V11" s="4"/>
      <c r="W11" s="80" t="str">
        <f>IF(W10=X10,"Unentschieden",IF(W10&gt;X10,W9,X9))</f>
        <v>Australien</v>
      </c>
      <c r="X11" s="80"/>
      <c r="Y11" s="4"/>
      <c r="Z11" s="4"/>
      <c r="AA11" s="4"/>
      <c r="AB11" s="4"/>
      <c r="AC11" s="4"/>
      <c r="AD11" s="80" t="str">
        <f>IF(AD10=AE10,"Unentschieden",IF(AD10&gt;AE10,AD9,AE9))</f>
        <v>Unentschieden</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1</v>
      </c>
      <c r="AE12" s="1">
        <f>IF(AE10=AD10,1,IF(AE10&gt;AD10,3,0))</f>
        <v>1</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2</v>
      </c>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Unentschieden</v>
      </c>
      <c r="X17" s="80"/>
      <c r="Y17" s="4"/>
      <c r="Z17" s="4"/>
      <c r="AA17" s="4"/>
      <c r="AB17" s="4"/>
      <c r="AC17" s="4"/>
      <c r="AD17" s="80" t="str">
        <f>IF(AD16=AE16,"Unentschieden",IF(AD16&gt;AE16,AD15,AE15))</f>
        <v>Unentschieden</v>
      </c>
      <c r="AE17" s="80"/>
      <c r="AF17" s="4"/>
      <c r="AG17" s="4"/>
      <c r="AH17" s="4"/>
      <c r="AI17" s="4"/>
      <c r="AJ17" s="4"/>
      <c r="AK17" s="80" t="str">
        <f>IF(AK16=AL16,"Unentschieden",IF(AK16&gt;AL16,AK15,AL15))</f>
        <v>Unentschieden</v>
      </c>
      <c r="AL17" s="80"/>
      <c r="AM17" s="4"/>
      <c r="AN17" s="4"/>
      <c r="AO17" s="4"/>
      <c r="AP17" s="4"/>
    </row>
    <row r="18" spans="1:42" x14ac:dyDescent="0.45">
      <c r="A18" s="4"/>
      <c r="B18" s="1">
        <f>IF(B16=C16,1,IF(B16&gt;C16,3,0))</f>
        <v>0</v>
      </c>
      <c r="C18" s="1">
        <f>IF(C16=B16,1,IF(C16&gt;B16,3,0))</f>
        <v>3</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Unentschieden</v>
      </c>
      <c r="J22" s="80"/>
      <c r="K22" s="4"/>
      <c r="L22" s="4"/>
      <c r="M22" s="4"/>
      <c r="N22" s="4"/>
      <c r="O22" s="4"/>
      <c r="P22" s="80" t="str">
        <f>IF(P21=Q21,"Unentschieden",IF(P21&gt;Q21,P20,Q20))</f>
        <v>Unentschieden</v>
      </c>
      <c r="Q22" s="80"/>
      <c r="R22" s="4"/>
      <c r="S22" s="4"/>
      <c r="T22" s="4"/>
      <c r="U22" s="4"/>
      <c r="V22" s="4"/>
      <c r="W22" s="80" t="str">
        <f>IF(W21=X21,"Unentschieden",IF(W21&gt;X21,W20,X20))</f>
        <v>Unentschieden</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Unentschieden</v>
      </c>
      <c r="AL22" s="80"/>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80" t="str">
        <f>IF(B27=C27,"Unentschieden",IF(B27&gt;C27,B26,C26))</f>
        <v>Unentschieden</v>
      </c>
      <c r="C28" s="80"/>
      <c r="D28" s="4"/>
      <c r="E28" s="4"/>
      <c r="F28" s="4"/>
      <c r="G28" s="4"/>
      <c r="H28" s="4"/>
      <c r="I28" s="80" t="str">
        <f>IF(I27=J27,"Unentschieden",IF(I27&gt;J27,I26,J26))</f>
        <v>Unentschieden</v>
      </c>
      <c r="J28" s="80"/>
      <c r="K28" s="4"/>
      <c r="L28" s="4"/>
      <c r="M28" s="4"/>
      <c r="N28" s="4"/>
      <c r="O28" s="4"/>
      <c r="P28" s="80" t="str">
        <f>IF(P27=Q27,"Unentschieden",IF(P27&gt;Q27,P26,Q26))</f>
        <v>Unentschieden</v>
      </c>
      <c r="Q28" s="80"/>
      <c r="R28" s="4"/>
      <c r="S28" s="4"/>
      <c r="T28" s="4"/>
      <c r="U28" s="4"/>
      <c r="V28" s="4"/>
      <c r="W28" s="80" t="str">
        <f>IF(W27=X27,"Unentschieden",IF(W27&gt;X27,W26,X26))</f>
        <v>Unentschieden</v>
      </c>
      <c r="X28" s="80"/>
      <c r="Y28" s="4"/>
      <c r="Z28" s="4"/>
      <c r="AA28" s="4"/>
      <c r="AB28" s="4"/>
      <c r="AC28" s="4"/>
      <c r="AD28" s="80" t="str">
        <f>IF(AD27=AE27,"Unentschieden",IF(AD27&gt;AE27,AD26,AE26))</f>
        <v>Unentschieden</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Unentschieden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Unentschieden</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1</v>
      </c>
      <c r="L37" s="1">
        <f>J5+J21+I32</f>
        <v>1</v>
      </c>
      <c r="M37" s="1">
        <f>K37-L37</f>
        <v>0</v>
      </c>
      <c r="N37" s="4"/>
      <c r="O37" s="13"/>
      <c r="P37" s="2" t="s">
        <v>29</v>
      </c>
      <c r="Q37" s="1">
        <f>P7+P23+Q34</f>
        <v>3</v>
      </c>
      <c r="R37" s="1">
        <f>P5+P21+Q32</f>
        <v>1</v>
      </c>
      <c r="S37" s="1">
        <f>Q5+Q21+P32</f>
        <v>1</v>
      </c>
      <c r="T37" s="1">
        <f>R37-S37</f>
        <v>0</v>
      </c>
      <c r="U37" s="4"/>
      <c r="V37" s="13"/>
      <c r="W37" s="2" t="s">
        <v>31</v>
      </c>
      <c r="X37" s="1">
        <f>W7+W23+X34</f>
        <v>5</v>
      </c>
      <c r="Y37" s="1">
        <f>W5+W21+X32</f>
        <v>4</v>
      </c>
      <c r="Z37" s="1">
        <f>X5+X21+W32</f>
        <v>1</v>
      </c>
      <c r="AA37" s="1">
        <f>Y37-Z37</f>
        <v>3</v>
      </c>
      <c r="AB37" s="4"/>
      <c r="AC37" s="13"/>
      <c r="AD37" s="2" t="s">
        <v>33</v>
      </c>
      <c r="AE37" s="1">
        <f>AD7+AD23+AE34</f>
        <v>5</v>
      </c>
      <c r="AF37" s="1">
        <f>AD5+AD21+AE32</f>
        <v>7</v>
      </c>
      <c r="AG37" s="1">
        <f>AE5+AE21+AD32</f>
        <v>1</v>
      </c>
      <c r="AH37" s="1">
        <f>AF37-AG37</f>
        <v>6</v>
      </c>
      <c r="AI37" s="4"/>
      <c r="AJ37" s="4"/>
      <c r="AK37" s="2" t="s">
        <v>35</v>
      </c>
      <c r="AL37" s="1">
        <f>AK7+AK23+AL34</f>
        <v>3</v>
      </c>
      <c r="AM37" s="1">
        <f>AK5+AK21+AL32</f>
        <v>0</v>
      </c>
      <c r="AN37" s="1">
        <f>AL5+AL21+AK32</f>
        <v>0</v>
      </c>
      <c r="AO37" s="1">
        <f>AM37-AN37</f>
        <v>0</v>
      </c>
      <c r="AP37" s="4"/>
    </row>
    <row r="38" spans="1:42" x14ac:dyDescent="0.45">
      <c r="A38" s="7"/>
      <c r="B38" s="2" t="s">
        <v>26</v>
      </c>
      <c r="C38" s="1">
        <f>C7+C18+B29</f>
        <v>4</v>
      </c>
      <c r="D38" s="1">
        <f>C5+C16+B27</f>
        <v>2</v>
      </c>
      <c r="E38" s="1">
        <f>B5+B16+C27</f>
        <v>3</v>
      </c>
      <c r="F38" s="1">
        <f>D38-E38</f>
        <v>-1</v>
      </c>
      <c r="G38" s="4"/>
      <c r="H38" s="7"/>
      <c r="I38" s="2" t="s">
        <v>28</v>
      </c>
      <c r="J38" s="1">
        <f>J7+J18+I29</f>
        <v>3</v>
      </c>
      <c r="K38" s="1">
        <f>J5+J16+I27</f>
        <v>1</v>
      </c>
      <c r="L38" s="1">
        <f>I5+I16+J27</f>
        <v>1</v>
      </c>
      <c r="M38" s="1">
        <f>K38-L38</f>
        <v>0</v>
      </c>
      <c r="N38" s="4"/>
      <c r="O38" s="13"/>
      <c r="P38" s="2" t="s">
        <v>30</v>
      </c>
      <c r="Q38" s="1">
        <f>Q7+Q18+P29</f>
        <v>3</v>
      </c>
      <c r="R38" s="1">
        <f>Q5+Q16+P27</f>
        <v>1</v>
      </c>
      <c r="S38" s="1">
        <f>P5+P16+Q27</f>
        <v>1</v>
      </c>
      <c r="T38" s="1">
        <f>R38-S38</f>
        <v>0</v>
      </c>
      <c r="U38" s="4"/>
      <c r="V38" s="13"/>
      <c r="W38" s="2" t="s">
        <v>32</v>
      </c>
      <c r="X38" s="1">
        <f>X7+X18+W29</f>
        <v>2</v>
      </c>
      <c r="Y38" s="1">
        <f>X5+X16+W27</f>
        <v>1</v>
      </c>
      <c r="Z38" s="1">
        <f>W5+W16+X27</f>
        <v>4</v>
      </c>
      <c r="AA38" s="1">
        <f>Y38-Z38</f>
        <v>-3</v>
      </c>
      <c r="AB38" s="4"/>
      <c r="AC38" s="13"/>
      <c r="AD38" s="2" t="s">
        <v>34</v>
      </c>
      <c r="AE38" s="1">
        <f>AE7+AE18+AD29</f>
        <v>2</v>
      </c>
      <c r="AF38" s="1">
        <f>AE5+AE16+AD27</f>
        <v>1</v>
      </c>
      <c r="AG38" s="1">
        <f>AD5+AD16+AE27</f>
        <v>7</v>
      </c>
      <c r="AH38" s="1">
        <f>AF38-AG38</f>
        <v>-6</v>
      </c>
      <c r="AI38" s="4"/>
      <c r="AJ38" s="4"/>
      <c r="AK38" s="2" t="s">
        <v>36</v>
      </c>
      <c r="AL38" s="1">
        <f>AL7+AL18+AK29</f>
        <v>3</v>
      </c>
      <c r="AM38" s="1">
        <f>AL5+AL16+AK27</f>
        <v>0</v>
      </c>
      <c r="AN38" s="1">
        <f>AK5+AK16+AL27</f>
        <v>0</v>
      </c>
      <c r="AO38" s="1">
        <f>AM38-AN38</f>
        <v>0</v>
      </c>
      <c r="AP38" s="4"/>
    </row>
    <row r="39" spans="1:42" x14ac:dyDescent="0.45">
      <c r="A39" s="8"/>
      <c r="B39" s="2" t="s">
        <v>37</v>
      </c>
      <c r="C39" s="1">
        <f>B12+C23+C29</f>
        <v>5</v>
      </c>
      <c r="D39" s="1">
        <f>B10+C21+C27</f>
        <v>2</v>
      </c>
      <c r="E39" s="1">
        <f>C10+B21+B27</f>
        <v>1</v>
      </c>
      <c r="F39" s="1">
        <f>D39-E39</f>
        <v>1</v>
      </c>
      <c r="G39" s="4"/>
      <c r="H39" s="8"/>
      <c r="I39" s="2" t="s">
        <v>39</v>
      </c>
      <c r="J39" s="1">
        <f>I12+J23+J29</f>
        <v>3</v>
      </c>
      <c r="K39" s="1">
        <f>I10+J21+J27</f>
        <v>1</v>
      </c>
      <c r="L39" s="1">
        <f>J10+I21+I27</f>
        <v>1</v>
      </c>
      <c r="M39" s="1">
        <f>K39-L39</f>
        <v>0</v>
      </c>
      <c r="N39" s="4"/>
      <c r="O39" s="13"/>
      <c r="P39" s="2" t="s">
        <v>41</v>
      </c>
      <c r="Q39" s="1">
        <f>P12+Q23+Q29</f>
        <v>2</v>
      </c>
      <c r="R39" s="1">
        <f>P10+Q21+Q27</f>
        <v>0</v>
      </c>
      <c r="S39" s="1">
        <f>Q10+P21+P27</f>
        <v>1</v>
      </c>
      <c r="T39" s="1">
        <f>R39-S39</f>
        <v>-1</v>
      </c>
      <c r="U39" s="4"/>
      <c r="V39" s="13"/>
      <c r="W39" s="2" t="s">
        <v>43</v>
      </c>
      <c r="X39" s="1">
        <f>W12+X23+X29</f>
        <v>5</v>
      </c>
      <c r="Y39" s="1">
        <f>W10+X21+X27</f>
        <v>2</v>
      </c>
      <c r="Z39" s="1">
        <f>X10+W21+W27</f>
        <v>0</v>
      </c>
      <c r="AA39" s="1">
        <f>Y39-Z39</f>
        <v>2</v>
      </c>
      <c r="AB39" s="4"/>
      <c r="AC39" s="13"/>
      <c r="AD39" s="2" t="s">
        <v>45</v>
      </c>
      <c r="AE39" s="1">
        <f>AD12+AE23+AE29</f>
        <v>3</v>
      </c>
      <c r="AF39" s="1">
        <f>AD10+AE21+AE27</f>
        <v>0</v>
      </c>
      <c r="AG39" s="1">
        <f>AE10+AD21+AD27</f>
        <v>0</v>
      </c>
      <c r="AH39" s="1">
        <f>AF39-AG39</f>
        <v>0</v>
      </c>
      <c r="AI39" s="4"/>
      <c r="AJ39" s="4"/>
      <c r="AK39" s="2" t="s">
        <v>47</v>
      </c>
      <c r="AL39" s="1">
        <f>AK12+AL23+AL29</f>
        <v>3</v>
      </c>
      <c r="AM39" s="1">
        <f>AK10+AL21+AL27</f>
        <v>0</v>
      </c>
      <c r="AN39" s="1">
        <f>AL10+AK21+AK27</f>
        <v>0</v>
      </c>
      <c r="AO39" s="1">
        <f>AM39-AN39</f>
        <v>0</v>
      </c>
      <c r="AP39" s="4"/>
    </row>
    <row r="40" spans="1:42" x14ac:dyDescent="0.45">
      <c r="A40" s="9"/>
      <c r="B40" s="2" t="s">
        <v>38</v>
      </c>
      <c r="C40" s="1">
        <f>C12+B18+B34</f>
        <v>1</v>
      </c>
      <c r="D40" s="1">
        <f>C10+B16+B32</f>
        <v>2</v>
      </c>
      <c r="E40" s="1">
        <f>B10+C16+C32</f>
        <v>4</v>
      </c>
      <c r="F40" s="1">
        <f>D40-E40</f>
        <v>-2</v>
      </c>
      <c r="G40" s="4"/>
      <c r="H40" s="9"/>
      <c r="I40" s="2" t="s">
        <v>40</v>
      </c>
      <c r="J40" s="1">
        <f>J12+I18+I34</f>
        <v>3</v>
      </c>
      <c r="K40" s="1">
        <f>J10+I16+I32</f>
        <v>1</v>
      </c>
      <c r="L40" s="1">
        <f>I10+J16+J32</f>
        <v>1</v>
      </c>
      <c r="M40" s="1">
        <f>K40-L40</f>
        <v>0</v>
      </c>
      <c r="N40" s="4"/>
      <c r="O40" s="13"/>
      <c r="P40" s="2" t="s">
        <v>42</v>
      </c>
      <c r="Q40" s="1">
        <f>Q12+P18+P34</f>
        <v>5</v>
      </c>
      <c r="R40" s="1">
        <f>Q10+P16+P32</f>
        <v>1</v>
      </c>
      <c r="S40" s="1">
        <f>P10+Q16+Q32</f>
        <v>0</v>
      </c>
      <c r="T40" s="1">
        <f>R40-S40</f>
        <v>1</v>
      </c>
      <c r="U40" s="4"/>
      <c r="V40" s="13"/>
      <c r="W40" s="2" t="s">
        <v>44</v>
      </c>
      <c r="X40" s="1">
        <f>X12+W18+W34</f>
        <v>2</v>
      </c>
      <c r="Y40" s="1">
        <f>X10+W16+W32</f>
        <v>0</v>
      </c>
      <c r="Z40" s="1">
        <f>W10+X16+X32</f>
        <v>2</v>
      </c>
      <c r="AA40" s="1">
        <f>Y40-Z40</f>
        <v>-2</v>
      </c>
      <c r="AB40" s="4"/>
      <c r="AC40" s="13"/>
      <c r="AD40" s="2" t="s">
        <v>46</v>
      </c>
      <c r="AE40" s="1">
        <f>AE12+AD18+AD34</f>
        <v>3</v>
      </c>
      <c r="AF40" s="1">
        <f>AE10+AD16+AD32</f>
        <v>0</v>
      </c>
      <c r="AG40" s="1">
        <f>AD10+AE16+AE32</f>
        <v>0</v>
      </c>
      <c r="AH40" s="1">
        <f>AF40-AG40</f>
        <v>0</v>
      </c>
      <c r="AI40" s="4"/>
      <c r="AJ40" s="4"/>
      <c r="AK40" s="2" t="s">
        <v>48</v>
      </c>
      <c r="AL40" s="1">
        <f>AL12+AK18+AK34</f>
        <v>3</v>
      </c>
      <c r="AM40" s="1">
        <f>AL10+AK16+AK32</f>
        <v>0</v>
      </c>
      <c r="AN40" s="1">
        <f>AK10+AL16+AL32</f>
        <v>0</v>
      </c>
      <c r="AO40" s="1">
        <f>AM40-AN40</f>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1</v>
      </c>
      <c r="L43" s="1">
        <f t="array" ref="L43:L46">_xlfn.SORTBY(L37:L40,J37:J40,-1,M37:M40,-1,K37:K40,-1)</f>
        <v>1</v>
      </c>
      <c r="M43" s="1">
        <f t="array" ref="M43:M46">_xlfn.SORTBY(M37:M40,J37:J40,-1,M37:M40,-1,K37:K40,-1)</f>
        <v>0</v>
      </c>
      <c r="N43" s="4"/>
      <c r="O43" s="10">
        <v>1</v>
      </c>
      <c r="P43" s="2" t="str">
        <f t="array" ref="P43:P46">_xlfn.SORTBY(P37:P40,Q37:Q40,-1,T37:T40,-1,R37:R40,-1)</f>
        <v>Schottland</v>
      </c>
      <c r="Q43" s="1">
        <f t="array" ref="Q43:Q46">_xlfn.SORTBY(Q37:Q40,Q37:Q40,-1,T37:T40,-1,R37:R40,-1)</f>
        <v>5</v>
      </c>
      <c r="R43" s="1">
        <f t="array" ref="R43:R46">_xlfn.SORTBY(R37:R40,Q37:Q40,-1,T37:T40,-1,R37:R40,-1)</f>
        <v>1</v>
      </c>
      <c r="S43" s="1">
        <f t="array" ref="S43:S46">_xlfn.SORTBY(S37:S40,Q37:Q40,-1,T37:T40,-1,R37:R40,-1)</f>
        <v>0</v>
      </c>
      <c r="T43" s="1">
        <f t="array" ref="T43:T46">_xlfn.SORTBY(T37:T40,Q37:Q40,-1,T37:T40,-1,R37:R40,-1)</f>
        <v>1</v>
      </c>
      <c r="U43" s="4"/>
      <c r="V43" s="10">
        <v>1</v>
      </c>
      <c r="W43" s="2" t="str">
        <f t="array" ref="W43:W46">_xlfn.SORTBY(W37:W40,X37:X40,-1,AA37:AA40,-1,Y37:Y40,-1)</f>
        <v>USA</v>
      </c>
      <c r="X43" s="1">
        <f t="array" ref="X43:X46">_xlfn.SORTBY(X37:X40,X37:X40,-1,AA37:AA40,-1,Y37:Y40,-1)</f>
        <v>5</v>
      </c>
      <c r="Y43" s="1">
        <f t="array" ref="Y43:Y46">_xlfn.SORTBY(Y37:Y40,X37:X40,-1,AA37:AA40,-1,Y37:Y40,-1)</f>
        <v>4</v>
      </c>
      <c r="Z43" s="1">
        <f t="array" ref="Z43:Z46">_xlfn.SORTBY(Z37:Z40,X37:X40,-1,AA37:AA40,-1,Y37:Y40,-1)</f>
        <v>1</v>
      </c>
      <c r="AA43" s="1">
        <f t="array" ref="AA43:AA46">_xlfn.SORTBY(AA37:AA40,X37:X40,-1,AA37:AA40,-1,Y37:Y40,-1)</f>
        <v>3</v>
      </c>
      <c r="AB43" s="4"/>
      <c r="AC43" s="10">
        <v>1</v>
      </c>
      <c r="AD43" s="2" t="str">
        <f t="array" ref="AD43:AD46">_xlfn.SORTBY(AD37:AD40,AE37:AE40,-1,AH37:AH40,-1,AF37:AF40,-1)</f>
        <v>Deutschland</v>
      </c>
      <c r="AE43" s="1">
        <f t="array" ref="AE43:AE46">_xlfn.SORTBY(AE37:AE40,AE37:AE40,-1,AH37:AH40,-1,AF37:AF40,-1)</f>
        <v>5</v>
      </c>
      <c r="AF43" s="1">
        <f t="array" ref="AF43:AF46">_xlfn.SORTBY(AF37:AF40,AE37:AE40,-1,AH37:AH40,-1,AF37:AF40,-1)</f>
        <v>7</v>
      </c>
      <c r="AG43" s="1">
        <f t="array" ref="AG43:AG46">_xlfn.SORTBY(AG37:AG40,AE37:AE40,-1,AH37:AH40,-1,AF37:AF40,-1)</f>
        <v>1</v>
      </c>
      <c r="AH43" s="1">
        <f t="array" ref="AH43:AH46">_xlfn.SORTBY(AH37:AH40,AE37:AE40,-1,AH37:AH40,-1,AF37:AF40,-1)</f>
        <v>6</v>
      </c>
      <c r="AI43" s="4"/>
      <c r="AJ43" s="10">
        <v>1</v>
      </c>
      <c r="AK43" s="2" t="str">
        <f t="array" ref="AK43:AK46">_xlfn.SORTBY(AK37:AK40,AL37:AL40,-1,AO37:AO40,-1,AM37:AM40,-1)</f>
        <v>Niederlande</v>
      </c>
      <c r="AL43" s="1">
        <f t="array" ref="AL43:AL46">_xlfn.SORTBY(AL37:AL40,AL37:AL40,-1,AO37:AO40,-1,AM37:AM40,-1)</f>
        <v>3</v>
      </c>
      <c r="AM43" s="1">
        <f t="array" ref="AM43:AM46">_xlfn.SORTBY(AM37:AM40,AL37:AL40,-1,AO37:AO40,-1,AM37:AM40,-1)</f>
        <v>0</v>
      </c>
      <c r="AN43" s="1">
        <f t="array" ref="AN43:AN46">_xlfn.SORTBY(AN37:AN40,AL37:AL40,-1,AO37:AO40,-1,AM37:AM40,-1)</f>
        <v>0</v>
      </c>
      <c r="AO43" s="1">
        <f t="array" ref="AO43:AO46">_xlfn.SORTBY(AO37:AO40,AL37:AL40,-1,AO37:AO40,-1,AM37:AM40,-1)</f>
        <v>0</v>
      </c>
      <c r="AP43" s="4"/>
    </row>
    <row r="44" spans="1:42" x14ac:dyDescent="0.45">
      <c r="A44" s="10">
        <v>2</v>
      </c>
      <c r="B44" s="2" t="str">
        <v>Südkorea</v>
      </c>
      <c r="C44" s="1">
        <v>5</v>
      </c>
      <c r="D44" s="1">
        <v>2</v>
      </c>
      <c r="E44" s="1">
        <v>1</v>
      </c>
      <c r="F44" s="1">
        <v>1</v>
      </c>
      <c r="G44" s="4"/>
      <c r="H44" s="10">
        <v>2</v>
      </c>
      <c r="I44" s="2" t="str">
        <v>Bosnien-Herz.</v>
      </c>
      <c r="J44" s="1">
        <v>3</v>
      </c>
      <c r="K44" s="1">
        <v>1</v>
      </c>
      <c r="L44" s="1">
        <v>1</v>
      </c>
      <c r="M44" s="1">
        <v>0</v>
      </c>
      <c r="N44" s="4"/>
      <c r="O44" s="10">
        <v>2</v>
      </c>
      <c r="P44" s="2" t="str">
        <v>Brasilien</v>
      </c>
      <c r="Q44" s="1">
        <v>3</v>
      </c>
      <c r="R44" s="1">
        <v>1</v>
      </c>
      <c r="S44" s="1">
        <v>1</v>
      </c>
      <c r="T44" s="1">
        <v>0</v>
      </c>
      <c r="U44" s="4"/>
      <c r="V44" s="10">
        <v>2</v>
      </c>
      <c r="W44" s="2" t="str">
        <v>Australien</v>
      </c>
      <c r="X44" s="1">
        <v>5</v>
      </c>
      <c r="Y44" s="1">
        <v>2</v>
      </c>
      <c r="Z44" s="1">
        <v>0</v>
      </c>
      <c r="AA44" s="1">
        <v>2</v>
      </c>
      <c r="AB44" s="4"/>
      <c r="AC44" s="10">
        <v>2</v>
      </c>
      <c r="AD44" s="2" t="str">
        <v>Elfenbeinküste</v>
      </c>
      <c r="AE44" s="1">
        <v>3</v>
      </c>
      <c r="AF44" s="1">
        <v>0</v>
      </c>
      <c r="AG44" s="1">
        <v>0</v>
      </c>
      <c r="AH44" s="1">
        <v>0</v>
      </c>
      <c r="AI44" s="4"/>
      <c r="AJ44" s="10">
        <v>2</v>
      </c>
      <c r="AK44" s="2" t="str">
        <v>Japan</v>
      </c>
      <c r="AL44" s="1">
        <v>3</v>
      </c>
      <c r="AM44" s="1">
        <v>0</v>
      </c>
      <c r="AN44" s="1">
        <v>0</v>
      </c>
      <c r="AO44" s="1">
        <v>0</v>
      </c>
      <c r="AP44" s="4"/>
    </row>
    <row r="45" spans="1:42" x14ac:dyDescent="0.45">
      <c r="A45" s="11">
        <v>3</v>
      </c>
      <c r="B45" s="2" t="str">
        <v>Südafrika</v>
      </c>
      <c r="C45" s="1">
        <v>4</v>
      </c>
      <c r="D45" s="1">
        <v>2</v>
      </c>
      <c r="E45" s="1">
        <v>3</v>
      </c>
      <c r="F45" s="1">
        <v>-1</v>
      </c>
      <c r="G45" s="4"/>
      <c r="H45" s="11">
        <v>3</v>
      </c>
      <c r="I45" s="2" t="str">
        <v>Katar</v>
      </c>
      <c r="J45" s="1">
        <v>3</v>
      </c>
      <c r="K45" s="1">
        <v>1</v>
      </c>
      <c r="L45" s="1">
        <v>1</v>
      </c>
      <c r="M45" s="1">
        <v>0</v>
      </c>
      <c r="N45" s="4"/>
      <c r="O45" s="11">
        <v>3</v>
      </c>
      <c r="P45" s="2" t="str">
        <v>Marokko</v>
      </c>
      <c r="Q45" s="1">
        <v>3</v>
      </c>
      <c r="R45" s="1">
        <v>1</v>
      </c>
      <c r="S45" s="1">
        <v>1</v>
      </c>
      <c r="T45" s="1">
        <v>0</v>
      </c>
      <c r="U45" s="4"/>
      <c r="V45" s="11">
        <v>3</v>
      </c>
      <c r="W45" s="2" t="str">
        <v>Türkei</v>
      </c>
      <c r="X45" s="1">
        <v>2</v>
      </c>
      <c r="Y45" s="1">
        <v>0</v>
      </c>
      <c r="Z45" s="1">
        <v>2</v>
      </c>
      <c r="AA45" s="1">
        <v>-2</v>
      </c>
      <c r="AB45" s="4"/>
      <c r="AC45" s="11">
        <v>3</v>
      </c>
      <c r="AD45" s="2" t="str">
        <v>Ecuador</v>
      </c>
      <c r="AE45" s="1">
        <v>3</v>
      </c>
      <c r="AF45" s="1">
        <v>0</v>
      </c>
      <c r="AG45" s="1">
        <v>0</v>
      </c>
      <c r="AH45" s="1">
        <v>0</v>
      </c>
      <c r="AI45" s="4"/>
      <c r="AJ45" s="11">
        <v>3</v>
      </c>
      <c r="AK45" s="2" t="str">
        <v>Schweden</v>
      </c>
      <c r="AL45" s="1">
        <v>3</v>
      </c>
      <c r="AM45" s="1">
        <v>0</v>
      </c>
      <c r="AN45" s="1">
        <v>0</v>
      </c>
      <c r="AO45" s="1">
        <v>0</v>
      </c>
      <c r="AP45" s="4"/>
    </row>
    <row r="46" spans="1:42" x14ac:dyDescent="0.45">
      <c r="A46" s="12">
        <v>4</v>
      </c>
      <c r="B46" s="2" t="str">
        <v>Tschechien</v>
      </c>
      <c r="C46" s="1">
        <v>1</v>
      </c>
      <c r="D46" s="1">
        <v>2</v>
      </c>
      <c r="E46" s="1">
        <v>4</v>
      </c>
      <c r="F46" s="1">
        <v>-2</v>
      </c>
      <c r="G46" s="4"/>
      <c r="H46" s="12">
        <v>4</v>
      </c>
      <c r="I46" s="2" t="str">
        <v>Schweiz</v>
      </c>
      <c r="J46" s="1">
        <v>3</v>
      </c>
      <c r="K46" s="1">
        <v>1</v>
      </c>
      <c r="L46" s="1">
        <v>1</v>
      </c>
      <c r="M46" s="1">
        <v>0</v>
      </c>
      <c r="N46" s="4"/>
      <c r="O46" s="12">
        <v>4</v>
      </c>
      <c r="P46" s="2" t="str">
        <v>Haiti</v>
      </c>
      <c r="Q46" s="1">
        <v>2</v>
      </c>
      <c r="R46" s="1">
        <v>0</v>
      </c>
      <c r="S46" s="1">
        <v>1</v>
      </c>
      <c r="T46" s="1">
        <v>-1</v>
      </c>
      <c r="U46" s="4"/>
      <c r="V46" s="12">
        <v>4</v>
      </c>
      <c r="W46" s="2" t="str">
        <v>Paraguay</v>
      </c>
      <c r="X46" s="1">
        <v>2</v>
      </c>
      <c r="Y46" s="1">
        <v>1</v>
      </c>
      <c r="Z46" s="1">
        <v>4</v>
      </c>
      <c r="AA46" s="1">
        <v>-3</v>
      </c>
      <c r="AB46" s="4"/>
      <c r="AC46" s="12">
        <v>4</v>
      </c>
      <c r="AD46" s="2" t="str">
        <v>Curacao</v>
      </c>
      <c r="AE46" s="1">
        <v>2</v>
      </c>
      <c r="AF46" s="1">
        <v>1</v>
      </c>
      <c r="AG46" s="1">
        <v>7</v>
      </c>
      <c r="AH46" s="1">
        <v>-6</v>
      </c>
      <c r="AI46" s="4"/>
      <c r="AJ46" s="12">
        <v>4</v>
      </c>
      <c r="AK46" s="2" t="str">
        <v>Tunesien</v>
      </c>
      <c r="AL46" s="1">
        <v>3</v>
      </c>
      <c r="AM46" s="1">
        <v>0</v>
      </c>
      <c r="AN46" s="1">
        <v>0</v>
      </c>
      <c r="AO46" s="1">
        <v>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79"/>
      <c r="C48" s="79"/>
      <c r="D48" s="79"/>
      <c r="E48" s="6"/>
      <c r="F48" s="6"/>
      <c r="G48" s="4"/>
      <c r="H48" s="79" t="s">
        <v>58</v>
      </c>
      <c r="I48" s="79"/>
      <c r="J48" s="79"/>
      <c r="K48" s="79"/>
      <c r="L48" s="6"/>
      <c r="M48" s="6"/>
      <c r="N48" s="4"/>
      <c r="O48" s="79" t="s">
        <v>59</v>
      </c>
      <c r="P48" s="79"/>
      <c r="Q48" s="79"/>
      <c r="R48" s="79"/>
      <c r="S48" s="6"/>
      <c r="T48" s="6"/>
      <c r="U48" s="4"/>
      <c r="V48" s="79" t="s">
        <v>60</v>
      </c>
      <c r="W48" s="79"/>
      <c r="X48" s="79"/>
      <c r="Y48" s="79"/>
      <c r="Z48" s="6"/>
      <c r="AA48" s="6"/>
      <c r="AB48" s="4"/>
      <c r="AC48" s="79" t="s">
        <v>61</v>
      </c>
      <c r="AD48" s="79"/>
      <c r="AE48" s="79"/>
      <c r="AF48" s="79"/>
      <c r="AG48" s="6"/>
      <c r="AH48" s="6"/>
      <c r="AI48" s="4"/>
      <c r="AJ48" s="79" t="s">
        <v>62</v>
      </c>
      <c r="AK48" s="79"/>
      <c r="AL48" s="79"/>
      <c r="AM48" s="79"/>
      <c r="AN48" s="6"/>
      <c r="AO48" s="6"/>
      <c r="AP48" s="4"/>
    </row>
    <row r="49" spans="1:42"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c r="C52" s="3"/>
      <c r="D52" s="4"/>
      <c r="E52" s="4"/>
      <c r="F52" s="4"/>
      <c r="G52" s="4"/>
      <c r="H52" s="4"/>
      <c r="I52" s="3"/>
      <c r="J52" s="3"/>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Unentschieden</v>
      </c>
      <c r="J53" s="80"/>
      <c r="K53" s="4"/>
      <c r="L53" s="4"/>
      <c r="M53" s="4"/>
      <c r="N53" s="4"/>
      <c r="O53" s="4"/>
      <c r="P53" s="80" t="str">
        <f>IF(P52=Q52,"Unentschieden",IF(P52&gt;Q52,P51,Q51))</f>
        <v>Unentschieden</v>
      </c>
      <c r="Q53" s="80"/>
      <c r="R53" s="4"/>
      <c r="S53" s="4"/>
      <c r="T53" s="4"/>
      <c r="U53" s="4"/>
      <c r="V53" s="4"/>
      <c r="W53" s="80" t="str">
        <f>IF(W52=X52,"Unentschieden",IF(W52&gt;X52,W51,X51))</f>
        <v>Unentschieden</v>
      </c>
      <c r="X53" s="80"/>
      <c r="Y53" s="4"/>
      <c r="Z53" s="4"/>
      <c r="AA53" s="4"/>
      <c r="AB53" s="4"/>
      <c r="AC53" s="4"/>
      <c r="AD53" s="80" t="str">
        <f>IF(AD52=AE52,"Unentschieden",IF(AD52&gt;AE52,AD51,AE51))</f>
        <v>Unentschieden</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Unentschieden</v>
      </c>
      <c r="J58" s="80"/>
      <c r="K58" s="4"/>
      <c r="L58" s="4"/>
      <c r="M58" s="4"/>
      <c r="N58" s="4"/>
      <c r="O58" s="4"/>
      <c r="P58" s="80" t="str">
        <f>IF(P57=Q57,"Unentschieden",IF(P57&gt;Q57,P56,Q56))</f>
        <v>Unentschieden</v>
      </c>
      <c r="Q58" s="80"/>
      <c r="R58" s="4"/>
      <c r="S58" s="4"/>
      <c r="T58" s="4"/>
      <c r="U58" s="4"/>
      <c r="V58" s="4"/>
      <c r="W58" s="80" t="str">
        <f>IF(W57=X57,"Unentschieden",IF(W57&gt;X57,W56,X56))</f>
        <v>Unentschieden</v>
      </c>
      <c r="X58" s="80"/>
      <c r="Y58" s="4"/>
      <c r="Z58" s="4"/>
      <c r="AA58" s="4"/>
      <c r="AB58" s="4"/>
      <c r="AC58" s="4"/>
      <c r="AD58" s="80" t="str">
        <f>IF(AD57=AE57,"Unentschieden",IF(AD57&gt;AE57,AD56,AE56))</f>
        <v>Unentschieden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80" t="str">
        <f>IF(B63=C63,"Unentschieden",IF(B63&gt;C63,B62,C62))</f>
        <v>Unentschieden</v>
      </c>
      <c r="C64" s="80"/>
      <c r="D64" s="4"/>
      <c r="E64" s="4"/>
      <c r="F64" s="4"/>
      <c r="G64" s="4"/>
      <c r="H64" s="4"/>
      <c r="I64" s="80" t="str">
        <f>IF(I63=J63,"Unentschieden",IF(I63&gt;J63,I62,J62))</f>
        <v>Unentschieden</v>
      </c>
      <c r="J64" s="80"/>
      <c r="K64" s="4"/>
      <c r="L64" s="4"/>
      <c r="M64" s="4"/>
      <c r="N64" s="4"/>
      <c r="O64" s="4"/>
      <c r="P64" s="80" t="str">
        <f>IF(P63=Q63,"Unentschieden",IF(P63&gt;Q63,P62,Q62))</f>
        <v>Unentschieden</v>
      </c>
      <c r="Q64" s="80"/>
      <c r="R64" s="4"/>
      <c r="S64" s="4"/>
      <c r="T64" s="4"/>
      <c r="U64" s="4"/>
      <c r="V64" s="4"/>
      <c r="W64" s="80" t="str">
        <f>IF(W63=X63,"Unentschieden",IF(W63&gt;X63,W62,X62))</f>
        <v>Unentschieden</v>
      </c>
      <c r="X64" s="80"/>
      <c r="Y64" s="4"/>
      <c r="Z64" s="4"/>
      <c r="AA64" s="4"/>
      <c r="AB64" s="4"/>
      <c r="AC64" s="4"/>
      <c r="AD64" s="80" t="str">
        <f>IF(AD63=AE63,"Unentschieden",IF(AD63&gt;AE63,AD62,AE62))</f>
        <v>Unentschieden</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80" t="str">
        <f>IF(B68=C68,"Unentschieden",IF(B68&gt;C68,B67,C67))</f>
        <v>Unentschieden</v>
      </c>
      <c r="C69" s="80"/>
      <c r="D69" s="4"/>
      <c r="E69" s="4"/>
      <c r="F69" s="4"/>
      <c r="G69" s="4"/>
      <c r="H69" s="4"/>
      <c r="I69" s="80" t="str">
        <f>IF(I68=J68,"Unentschieden",IF(I68&gt;J68,I67,J67))</f>
        <v>Unentschieden</v>
      </c>
      <c r="J69" s="80"/>
      <c r="K69" s="4"/>
      <c r="L69" s="4"/>
      <c r="M69" s="4"/>
      <c r="N69" s="4"/>
      <c r="O69" s="4"/>
      <c r="P69" s="80" t="str">
        <f>IF(P68=Q68,"Unentschieden",IF(P68&gt;Q68,P67,Q67))</f>
        <v>Unentschieden</v>
      </c>
      <c r="Q69" s="80"/>
      <c r="R69" s="4"/>
      <c r="S69" s="4"/>
      <c r="T69" s="4"/>
      <c r="U69" s="4"/>
      <c r="V69" s="4"/>
      <c r="W69" s="80" t="str">
        <f>IF(W68=X68,"Unentschieden",IF(W68&gt;X68,W67,X67))</f>
        <v>Unentschieden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80" t="str">
        <f>IF(B74=C74,"Unentschieden",IF(B74&gt;C74,B73,C73))</f>
        <v>Unentschieden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Unentschieden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Unentschieden</v>
      </c>
      <c r="AL75" s="80"/>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Unentschieden</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Unentschieden</v>
      </c>
      <c r="AL80" s="80"/>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0</v>
      </c>
      <c r="E84" s="1">
        <f>C52+C63+B74</f>
        <v>0</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0</v>
      </c>
      <c r="E85" s="1">
        <f>B52+B68+C79</f>
        <v>0</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0</v>
      </c>
      <c r="E90" s="1">
        <f t="array" ref="E90:E93">_xlfn.SORTBY(E84:E87,C84:C87,-1,F84:F87,-1,D84:D87,-1)</f>
        <v>0</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0</v>
      </c>
      <c r="E91" s="1">
        <v>0</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R98" s="82" t="str">
        <f>B92</f>
        <v>Iran</v>
      </c>
      <c r="S98" s="82"/>
      <c r="T98" s="82"/>
      <c r="U98" s="2">
        <f>C92</f>
        <v>3</v>
      </c>
      <c r="V98" s="2">
        <f>D92</f>
        <v>0</v>
      </c>
      <c r="W98" s="2">
        <f>E92</f>
        <v>0</v>
      </c>
      <c r="X98" s="2">
        <f>F92</f>
        <v>0</v>
      </c>
    </row>
    <row r="99" spans="17:24" x14ac:dyDescent="0.45">
      <c r="R99" s="82" t="str">
        <f>I92</f>
        <v>Saudi-Arabien</v>
      </c>
      <c r="S99" s="82"/>
      <c r="T99" s="82"/>
      <c r="U99" s="2">
        <f>J92</f>
        <v>3</v>
      </c>
      <c r="V99" s="2">
        <f>K92</f>
        <v>0</v>
      </c>
      <c r="W99" s="2">
        <f>L92</f>
        <v>0</v>
      </c>
      <c r="X99" s="2">
        <f>M92</f>
        <v>0</v>
      </c>
    </row>
    <row r="100" spans="17:24" x14ac:dyDescent="0.45">
      <c r="R100" s="82" t="str">
        <f>P92</f>
        <v>Irak</v>
      </c>
      <c r="S100" s="82"/>
      <c r="T100" s="82"/>
      <c r="U100" s="2">
        <f>Q92</f>
        <v>3</v>
      </c>
      <c r="V100" s="2">
        <f>R92</f>
        <v>0</v>
      </c>
      <c r="W100" s="2">
        <f>S92</f>
        <v>0</v>
      </c>
      <c r="X100" s="2">
        <f>T92</f>
        <v>0</v>
      </c>
    </row>
    <row r="101" spans="17:24" x14ac:dyDescent="0.45">
      <c r="R101" s="82" t="str">
        <f>W92</f>
        <v>Österreich</v>
      </c>
      <c r="S101" s="82"/>
      <c r="T101" s="82"/>
      <c r="U101" s="2">
        <f>X92</f>
        <v>3</v>
      </c>
      <c r="V101" s="2">
        <f>Y92</f>
        <v>0</v>
      </c>
      <c r="W101" s="2">
        <f>Z92</f>
        <v>0</v>
      </c>
      <c r="X101" s="2">
        <f>AA92</f>
        <v>0</v>
      </c>
    </row>
    <row r="102" spans="17:24" x14ac:dyDescent="0.45">
      <c r="R102" s="82" t="str">
        <f>AD92</f>
        <v>Usbekistan</v>
      </c>
      <c r="S102" s="82"/>
      <c r="T102" s="82"/>
      <c r="U102" s="2">
        <f>AE92</f>
        <v>3</v>
      </c>
      <c r="V102" s="2">
        <f>AF92</f>
        <v>0</v>
      </c>
      <c r="W102" s="2">
        <f>AG92</f>
        <v>0</v>
      </c>
      <c r="X102" s="2">
        <f>AH92</f>
        <v>0</v>
      </c>
    </row>
    <row r="103" spans="17:24" x14ac:dyDescent="0.45">
      <c r="R103" s="82" t="str">
        <f>AK92</f>
        <v>Ghana</v>
      </c>
      <c r="S103" s="82"/>
      <c r="T103" s="82"/>
      <c r="U103" s="2">
        <f>AL92</f>
        <v>3</v>
      </c>
      <c r="V103" s="2">
        <f>AM92</f>
        <v>0</v>
      </c>
      <c r="W103" s="2">
        <f>AN92</f>
        <v>0</v>
      </c>
      <c r="X103" s="2">
        <f>AO92</f>
        <v>0</v>
      </c>
    </row>
    <row r="104" spans="17:24" x14ac:dyDescent="0.45">
      <c r="R104" s="82" t="str">
        <f>B45</f>
        <v>Südafrika</v>
      </c>
      <c r="S104" s="82"/>
      <c r="T104" s="82"/>
      <c r="U104" s="2">
        <f>C45</f>
        <v>4</v>
      </c>
      <c r="V104" s="2">
        <f>D45</f>
        <v>2</v>
      </c>
      <c r="W104" s="2">
        <f>E45</f>
        <v>3</v>
      </c>
      <c r="X104" s="2">
        <f>F45</f>
        <v>-1</v>
      </c>
    </row>
    <row r="105" spans="17:24" x14ac:dyDescent="0.45">
      <c r="R105" s="82" t="str">
        <f>I45</f>
        <v>Katar</v>
      </c>
      <c r="S105" s="82"/>
      <c r="T105" s="82"/>
      <c r="U105" s="2">
        <f>J45</f>
        <v>3</v>
      </c>
      <c r="V105" s="2">
        <f>K45</f>
        <v>1</v>
      </c>
      <c r="W105" s="2">
        <f>L45</f>
        <v>1</v>
      </c>
      <c r="X105" s="2">
        <f>M45</f>
        <v>0</v>
      </c>
    </row>
    <row r="106" spans="17:24" x14ac:dyDescent="0.45">
      <c r="R106" s="82" t="str">
        <f>P45</f>
        <v>Marokko</v>
      </c>
      <c r="S106" s="82"/>
      <c r="T106" s="82"/>
      <c r="U106" s="2">
        <f>Q45</f>
        <v>3</v>
      </c>
      <c r="V106" s="2">
        <f>R45</f>
        <v>1</v>
      </c>
      <c r="W106" s="2">
        <f>S45</f>
        <v>1</v>
      </c>
      <c r="X106" s="2">
        <f>T45</f>
        <v>0</v>
      </c>
    </row>
    <row r="107" spans="17:24" x14ac:dyDescent="0.45">
      <c r="R107" s="82" t="str">
        <f>W45</f>
        <v>Türkei</v>
      </c>
      <c r="S107" s="82"/>
      <c r="T107" s="82"/>
      <c r="U107" s="2">
        <f>X45</f>
        <v>2</v>
      </c>
      <c r="V107" s="2">
        <f>Y45</f>
        <v>0</v>
      </c>
      <c r="W107" s="2">
        <f>Z45</f>
        <v>2</v>
      </c>
      <c r="X107" s="2">
        <f>AA45</f>
        <v>-2</v>
      </c>
    </row>
    <row r="108" spans="17:24" x14ac:dyDescent="0.45">
      <c r="R108" s="82" t="str">
        <f>AD45</f>
        <v>Ecuador</v>
      </c>
      <c r="S108" s="82"/>
      <c r="T108" s="82"/>
      <c r="U108" s="2">
        <f>AE45</f>
        <v>3</v>
      </c>
      <c r="V108" s="2">
        <f>AF45</f>
        <v>0</v>
      </c>
      <c r="W108" s="2">
        <f>AG45</f>
        <v>0</v>
      </c>
      <c r="X108" s="2">
        <f>AH45</f>
        <v>0</v>
      </c>
    </row>
    <row r="109" spans="17:24" x14ac:dyDescent="0.45">
      <c r="R109" s="82" t="str">
        <f>AK45</f>
        <v>Schweden</v>
      </c>
      <c r="S109" s="82"/>
      <c r="T109" s="82"/>
      <c r="U109" s="2">
        <f>AL45</f>
        <v>3</v>
      </c>
      <c r="V109" s="2">
        <f>AM45</f>
        <v>0</v>
      </c>
      <c r="W109" s="2">
        <f>AN45</f>
        <v>0</v>
      </c>
      <c r="X109" s="2">
        <f>AO45</f>
        <v>0</v>
      </c>
    </row>
    <row r="112" spans="17:24" x14ac:dyDescent="0.45">
      <c r="Q112" s="10">
        <v>1</v>
      </c>
      <c r="R112" s="2" t="str">
        <f t="array" ref="R112:R123">_xlfn.SORTBY(R98:R109,U98:U109,-1,X98:X109,-1,V98:V109,-1)</f>
        <v>Südafrika</v>
      </c>
      <c r="U112" s="2">
        <f t="array" ref="U112:U123">_xlfn.SORTBY(U98:U109,U98:U109,-1,X98:X109,-1,V98:V109,-1)</f>
        <v>4</v>
      </c>
      <c r="V112" s="2">
        <f t="array" ref="V112:V123">_xlfn.SORTBY(V98:V109,U98:U109,-1,X98:X109,-1,V98:V109,-1)</f>
        <v>2</v>
      </c>
      <c r="W112" s="2">
        <f t="array" ref="W112:W123">_xlfn.SORTBY(W98:W109,U98:U109,-1,X98:X109,-1,V98:V109,-1)</f>
        <v>3</v>
      </c>
      <c r="X112" s="2">
        <f t="array" ref="X112:X123">_xlfn.SORTBY(X98:X109,U98:U109,-1,X98:X109,-1,V98:V109,-1)</f>
        <v>-1</v>
      </c>
    </row>
    <row r="113" spans="17:24" x14ac:dyDescent="0.45">
      <c r="Q113" s="10">
        <v>2</v>
      </c>
      <c r="R113" s="2" t="str">
        <v>Katar</v>
      </c>
      <c r="U113" s="2">
        <v>3</v>
      </c>
      <c r="V113" s="2">
        <v>1</v>
      </c>
      <c r="W113" s="2">
        <v>1</v>
      </c>
      <c r="X113" s="2">
        <v>0</v>
      </c>
    </row>
    <row r="114" spans="17:24" x14ac:dyDescent="0.45">
      <c r="Q114" s="10">
        <v>3</v>
      </c>
      <c r="R114" s="2" t="str">
        <v>Marokko</v>
      </c>
      <c r="U114" s="2">
        <v>3</v>
      </c>
      <c r="V114" s="2">
        <v>1</v>
      </c>
      <c r="W114" s="2">
        <v>1</v>
      </c>
      <c r="X114" s="2">
        <v>0</v>
      </c>
    </row>
    <row r="115" spans="17:24" x14ac:dyDescent="0.45">
      <c r="Q115" s="10">
        <v>4</v>
      </c>
      <c r="R115" s="2" t="str">
        <v>Iran</v>
      </c>
      <c r="U115" s="2">
        <v>3</v>
      </c>
      <c r="V115" s="2">
        <v>0</v>
      </c>
      <c r="W115" s="2">
        <v>0</v>
      </c>
      <c r="X115" s="2">
        <v>0</v>
      </c>
    </row>
    <row r="116" spans="17:24" x14ac:dyDescent="0.45">
      <c r="Q116" s="10">
        <v>5</v>
      </c>
      <c r="R116" s="2" t="str">
        <v>Saudi-Arabien</v>
      </c>
      <c r="U116" s="2">
        <v>3</v>
      </c>
      <c r="V116" s="2">
        <v>0</v>
      </c>
      <c r="W116" s="2">
        <v>0</v>
      </c>
      <c r="X116" s="2">
        <v>0</v>
      </c>
    </row>
    <row r="117" spans="17:24" x14ac:dyDescent="0.45">
      <c r="Q117" s="10">
        <v>6</v>
      </c>
      <c r="R117" s="2" t="str">
        <v>Irak</v>
      </c>
      <c r="U117" s="2">
        <v>3</v>
      </c>
      <c r="V117" s="2">
        <v>0</v>
      </c>
      <c r="W117" s="2">
        <v>0</v>
      </c>
      <c r="X117" s="2">
        <v>0</v>
      </c>
    </row>
    <row r="118" spans="17:24" x14ac:dyDescent="0.45">
      <c r="Q118" s="10">
        <v>7</v>
      </c>
      <c r="R118" s="2" t="str">
        <v>Österreich</v>
      </c>
      <c r="U118" s="2">
        <v>3</v>
      </c>
      <c r="V118" s="2">
        <v>0</v>
      </c>
      <c r="W118" s="2">
        <v>0</v>
      </c>
      <c r="X118" s="2">
        <v>0</v>
      </c>
    </row>
    <row r="119" spans="17:24" x14ac:dyDescent="0.45">
      <c r="Q119" s="10">
        <v>8</v>
      </c>
      <c r="R119" s="2" t="str">
        <v>Usbekistan</v>
      </c>
      <c r="U119" s="2">
        <v>3</v>
      </c>
      <c r="V119" s="2">
        <v>0</v>
      </c>
      <c r="W119" s="2">
        <v>0</v>
      </c>
      <c r="X119" s="2">
        <v>0</v>
      </c>
    </row>
    <row r="120" spans="17:24" x14ac:dyDescent="0.45">
      <c r="Q120" s="12">
        <v>9</v>
      </c>
      <c r="R120" s="2" t="str">
        <v>Ghana</v>
      </c>
      <c r="U120" s="2">
        <v>3</v>
      </c>
      <c r="V120" s="2">
        <v>0</v>
      </c>
      <c r="W120" s="2">
        <v>0</v>
      </c>
      <c r="X120" s="2">
        <v>0</v>
      </c>
    </row>
    <row r="121" spans="17:24" x14ac:dyDescent="0.45">
      <c r="Q121" s="12">
        <v>10</v>
      </c>
      <c r="R121" s="2" t="str">
        <v>Ecuador</v>
      </c>
      <c r="U121" s="2">
        <v>3</v>
      </c>
      <c r="V121" s="2">
        <v>0</v>
      </c>
      <c r="W121" s="2">
        <v>0</v>
      </c>
      <c r="X121" s="2">
        <v>0</v>
      </c>
    </row>
    <row r="122" spans="17:24" x14ac:dyDescent="0.45">
      <c r="Q122" s="12">
        <v>11</v>
      </c>
      <c r="R122" s="2" t="str">
        <v>Schweden</v>
      </c>
      <c r="U122" s="2">
        <v>3</v>
      </c>
      <c r="V122" s="2">
        <v>0</v>
      </c>
      <c r="W122" s="2">
        <v>0</v>
      </c>
      <c r="X122" s="2">
        <v>0</v>
      </c>
    </row>
    <row r="123" spans="17:24" x14ac:dyDescent="0.45">
      <c r="Q123" s="12">
        <v>12</v>
      </c>
      <c r="R123" s="2" t="str">
        <v>Türkei</v>
      </c>
      <c r="U123" s="2">
        <v>2</v>
      </c>
      <c r="V123" s="2">
        <v>0</v>
      </c>
      <c r="W123" s="2">
        <v>2</v>
      </c>
      <c r="X123" s="2">
        <v>-2</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50</v>
      </c>
    </row>
    <row r="155" spans="1:23" x14ac:dyDescent="0.45">
      <c r="A155" s="23" t="s">
        <v>103</v>
      </c>
      <c r="B155" s="24">
        <f>SUM(H160:H231)</f>
        <v>50</v>
      </c>
    </row>
    <row r="156" spans="1:23" x14ac:dyDescent="0.45">
      <c r="A156" s="23" t="s">
        <v>104</v>
      </c>
      <c r="B156" s="24">
        <f>SUM(E234:E265)</f>
        <v>160</v>
      </c>
    </row>
    <row r="157" spans="1:23" x14ac:dyDescent="0.45">
      <c r="A157" s="25" t="s">
        <v>105</v>
      </c>
      <c r="B157" s="26">
        <f>B154+B155+B156</f>
        <v>260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50</v>
      </c>
      <c r="H232" s="24">
        <f>SUM(H160:H231)</f>
        <v>50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Schottland</v>
      </c>
      <c r="E238" s="28">
        <f t="shared" si="0"/>
        <v>5</v>
      </c>
    </row>
    <row r="239" spans="1:8" x14ac:dyDescent="0.45">
      <c r="A239" s="28">
        <v>6</v>
      </c>
      <c r="B239" s="29" t="s">
        <v>339</v>
      </c>
      <c r="C239" s="29" t="str">
        <f>Realität!P44</f>
        <v>Brasilien</v>
      </c>
      <c r="D239" s="29" t="str">
        <f>P44</f>
        <v>Brasilien</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Südafrika</v>
      </c>
      <c r="E258" s="28">
        <f t="shared" si="0"/>
        <v>5</v>
      </c>
    </row>
    <row r="259" spans="1:5" x14ac:dyDescent="0.45">
      <c r="A259" s="28">
        <v>26</v>
      </c>
      <c r="B259" s="29" t="s">
        <v>359</v>
      </c>
      <c r="C259" s="29" t="str">
        <f>Realität!R113</f>
        <v>Katar</v>
      </c>
      <c r="D259" s="29" t="str">
        <f t="shared" si="1"/>
        <v>Katar</v>
      </c>
      <c r="E259" s="28">
        <f t="shared" si="0"/>
        <v>5</v>
      </c>
    </row>
    <row r="260" spans="1:5" x14ac:dyDescent="0.45">
      <c r="A260" s="28">
        <v>27</v>
      </c>
      <c r="B260" s="29" t="s">
        <v>360</v>
      </c>
      <c r="C260" s="29" t="str">
        <f>Realität!R114</f>
        <v>Marokko</v>
      </c>
      <c r="D260" s="29" t="str">
        <f t="shared" si="1"/>
        <v>Marokko</v>
      </c>
      <c r="E260" s="28">
        <f t="shared" si="0"/>
        <v>5</v>
      </c>
    </row>
    <row r="261" spans="1:5" x14ac:dyDescent="0.45">
      <c r="A261" s="28">
        <v>28</v>
      </c>
      <c r="B261" s="29" t="s">
        <v>361</v>
      </c>
      <c r="C261" s="29" t="str">
        <f>Realität!R115</f>
        <v>Iran</v>
      </c>
      <c r="D261" s="29" t="str">
        <f t="shared" si="1"/>
        <v>Iran</v>
      </c>
      <c r="E261" s="28">
        <f t="shared" si="0"/>
        <v>5</v>
      </c>
    </row>
    <row r="262" spans="1:5" x14ac:dyDescent="0.45">
      <c r="A262" s="28">
        <v>29</v>
      </c>
      <c r="B262" s="29" t="s">
        <v>362</v>
      </c>
      <c r="C262" s="29" t="str">
        <f>Realität!R116</f>
        <v>Saudi-Arabien</v>
      </c>
      <c r="D262" s="29" t="str">
        <f t="shared" si="1"/>
        <v>Saudi-Arabien</v>
      </c>
      <c r="E262" s="28">
        <f t="shared" si="0"/>
        <v>5</v>
      </c>
    </row>
    <row r="263" spans="1:5" x14ac:dyDescent="0.45">
      <c r="A263" s="28">
        <v>30</v>
      </c>
      <c r="B263" s="29" t="s">
        <v>363</v>
      </c>
      <c r="C263" s="29" t="str">
        <f>Realität!R117</f>
        <v>Irak</v>
      </c>
      <c r="D263" s="29" t="str">
        <f t="shared" si="1"/>
        <v>Irak</v>
      </c>
      <c r="E263" s="28">
        <f t="shared" si="0"/>
        <v>5</v>
      </c>
    </row>
    <row r="264" spans="1:5" x14ac:dyDescent="0.45">
      <c r="A264" s="28">
        <v>31</v>
      </c>
      <c r="B264" s="29" t="s">
        <v>364</v>
      </c>
      <c r="C264" s="29" t="str">
        <f>Realität!R118</f>
        <v>Österreich</v>
      </c>
      <c r="D264" s="29" t="str">
        <f t="shared" si="1"/>
        <v>Österreich</v>
      </c>
      <c r="E264" s="28">
        <f t="shared" si="0"/>
        <v>5</v>
      </c>
    </row>
    <row r="265" spans="1:5" x14ac:dyDescent="0.45">
      <c r="A265" s="28">
        <v>32</v>
      </c>
      <c r="B265" s="29" t="s">
        <v>365</v>
      </c>
      <c r="C265" s="29" t="str">
        <f>Realität!R119</f>
        <v>Usbekistan</v>
      </c>
      <c r="D265" s="29" t="str">
        <f t="shared" si="1"/>
        <v>Usbekistan</v>
      </c>
      <c r="E265" s="28">
        <f t="shared" si="0"/>
        <v>5</v>
      </c>
    </row>
    <row r="266" spans="1:5" x14ac:dyDescent="0.45">
      <c r="D266" s="23" t="s">
        <v>330</v>
      </c>
      <c r="E266" s="24">
        <f>SUM(E234:E265)</f>
        <v>160</v>
      </c>
    </row>
  </sheetData>
  <mergeCells count="146">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 ref="I89:J89"/>
    <mergeCell ref="R101:T101"/>
    <mergeCell ref="W89:X89"/>
    <mergeCell ref="P69:Q69"/>
    <mergeCell ref="R100:T100"/>
    <mergeCell ref="R107:T107"/>
    <mergeCell ref="P75:Q75"/>
    <mergeCell ref="R108:T108"/>
    <mergeCell ref="V48:Y49"/>
    <mergeCell ref="R98:T98"/>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W58:X58"/>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Schottland</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Unentschieden</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80" t="str">
        <f>IF(B68=C68,"Unentschieden",IF(B68&gt;C68,B67,C67))</f>
        <v>Unentschieden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2</v>
      </c>
      <c r="W98" s="2">
        <f>E92</f>
        <v>5</v>
      </c>
      <c r="X98" s="2">
        <f>F92</f>
        <v>-3</v>
      </c>
    </row>
    <row r="99" spans="17:24" x14ac:dyDescent="0.45">
      <c r="Q99"/>
      <c r="R99" s="82" t="str">
        <f>I92</f>
        <v>Saudi-Arabien</v>
      </c>
      <c r="S99" s="82"/>
      <c r="T99" s="82"/>
      <c r="U99" s="2">
        <f>J92</f>
        <v>1</v>
      </c>
      <c r="V99" s="2">
        <f>K92</f>
        <v>2</v>
      </c>
      <c r="W99" s="2">
        <f>L92</f>
        <v>8</v>
      </c>
      <c r="X99" s="2">
        <f>M92</f>
        <v>-6</v>
      </c>
    </row>
    <row r="100" spans="17:24" x14ac:dyDescent="0.45">
      <c r="Q100"/>
      <c r="R100" s="82" t="str">
        <f>P92</f>
        <v>Norwegen</v>
      </c>
      <c r="S100" s="82"/>
      <c r="T100" s="82"/>
      <c r="U100" s="2">
        <f>Q92</f>
        <v>4</v>
      </c>
      <c r="V100" s="2">
        <f>R92</f>
        <v>4</v>
      </c>
      <c r="W100" s="2">
        <f>S92</f>
        <v>4</v>
      </c>
      <c r="X100" s="2">
        <f>T92</f>
        <v>0</v>
      </c>
    </row>
    <row r="101" spans="17:24" x14ac:dyDescent="0.45">
      <c r="Q101"/>
      <c r="R101" s="82" t="str">
        <f>W92</f>
        <v>Algerien</v>
      </c>
      <c r="S101" s="82"/>
      <c r="T101" s="82"/>
      <c r="U101" s="2">
        <f>X92</f>
        <v>3</v>
      </c>
      <c r="V101" s="2">
        <f>Y92</f>
        <v>4</v>
      </c>
      <c r="W101" s="2">
        <f>Z92</f>
        <v>5</v>
      </c>
      <c r="X101" s="2">
        <f>AA92</f>
        <v>-1</v>
      </c>
    </row>
    <row r="102" spans="17:24" x14ac:dyDescent="0.45">
      <c r="Q102"/>
      <c r="R102" s="82" t="str">
        <f>AD92</f>
        <v>DR Kongo</v>
      </c>
      <c r="S102" s="82"/>
      <c r="T102" s="82"/>
      <c r="U102" s="2">
        <f>AE92</f>
        <v>3</v>
      </c>
      <c r="V102" s="2">
        <f>AF92</f>
        <v>2</v>
      </c>
      <c r="W102" s="2">
        <f>AG92</f>
        <v>5</v>
      </c>
      <c r="X102" s="2">
        <f>AH92</f>
        <v>-3</v>
      </c>
    </row>
    <row r="103" spans="17:24" x14ac:dyDescent="0.45">
      <c r="Q103"/>
      <c r="R103" s="82" t="str">
        <f>AK92</f>
        <v>Ghana</v>
      </c>
      <c r="S103" s="82"/>
      <c r="T103" s="82"/>
      <c r="U103" s="2">
        <f>AL92</f>
        <v>3</v>
      </c>
      <c r="V103" s="2">
        <f>AM92</f>
        <v>2</v>
      </c>
      <c r="W103" s="2">
        <f>AN92</f>
        <v>3</v>
      </c>
      <c r="X103" s="2">
        <f>AO92</f>
        <v>-1</v>
      </c>
    </row>
    <row r="104" spans="17:24" x14ac:dyDescent="0.45">
      <c r="R104" s="82" t="str">
        <f>B45</f>
        <v>Südkorea</v>
      </c>
      <c r="S104" s="82"/>
      <c r="T104" s="82"/>
      <c r="U104" s="2">
        <f>C45</f>
        <v>3</v>
      </c>
      <c r="V104" s="2">
        <f>D45</f>
        <v>3</v>
      </c>
      <c r="W104" s="2">
        <f>E45</f>
        <v>3</v>
      </c>
      <c r="X104" s="2">
        <f>F45</f>
        <v>0</v>
      </c>
    </row>
    <row r="105" spans="17:24" x14ac:dyDescent="0.45">
      <c r="R105" s="82" t="str">
        <f>I45</f>
        <v>Kanada</v>
      </c>
      <c r="S105" s="82"/>
      <c r="T105" s="82"/>
      <c r="U105" s="2">
        <f>J45</f>
        <v>3</v>
      </c>
      <c r="V105" s="2">
        <f>K45</f>
        <v>3</v>
      </c>
      <c r="W105" s="2">
        <f>L45</f>
        <v>4</v>
      </c>
      <c r="X105" s="2">
        <f>M45</f>
        <v>-1</v>
      </c>
    </row>
    <row r="106" spans="17:24" x14ac:dyDescent="0.45">
      <c r="R106" s="82" t="str">
        <f>P45</f>
        <v>Marokko</v>
      </c>
      <c r="S106" s="82"/>
      <c r="T106" s="82"/>
      <c r="U106" s="2">
        <f>Q45</f>
        <v>3</v>
      </c>
      <c r="V106" s="2">
        <f>R45</f>
        <v>5</v>
      </c>
      <c r="W106" s="2">
        <f>S45</f>
        <v>3</v>
      </c>
      <c r="X106" s="2">
        <f>T45</f>
        <v>2</v>
      </c>
    </row>
    <row r="107" spans="17:24" x14ac:dyDescent="0.45">
      <c r="R107" s="82" t="str">
        <f>W45</f>
        <v>Australien</v>
      </c>
      <c r="S107" s="82"/>
      <c r="T107" s="82"/>
      <c r="U107" s="2">
        <f>X45</f>
        <v>4</v>
      </c>
      <c r="V107" s="2">
        <f>Y45</f>
        <v>3</v>
      </c>
      <c r="W107" s="2">
        <f>Z45</f>
        <v>3</v>
      </c>
      <c r="X107" s="2">
        <f>AA45</f>
        <v>0</v>
      </c>
    </row>
    <row r="108" spans="17:24" x14ac:dyDescent="0.45">
      <c r="R108" s="82" t="str">
        <f>AD45</f>
        <v>Elfenbeinküste</v>
      </c>
      <c r="S108" s="82"/>
      <c r="T108" s="82"/>
      <c r="U108" s="2">
        <f>AE45</f>
        <v>3</v>
      </c>
      <c r="V108" s="2">
        <f>AF45</f>
        <v>3</v>
      </c>
      <c r="W108" s="2">
        <f>AG45</f>
        <v>3</v>
      </c>
      <c r="X108" s="2">
        <f>AH45</f>
        <v>0</v>
      </c>
    </row>
    <row r="109" spans="17:24" x14ac:dyDescent="0.45">
      <c r="R109" s="82" t="str">
        <f>AK45</f>
        <v>Japan</v>
      </c>
      <c r="S109" s="82"/>
      <c r="T109" s="82"/>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20</v>
      </c>
    </row>
    <row r="155" spans="1:23" x14ac:dyDescent="0.45">
      <c r="A155" s="23" t="s">
        <v>103</v>
      </c>
      <c r="B155" s="24">
        <f>SUM(H160:H231)</f>
        <v>29</v>
      </c>
    </row>
    <row r="156" spans="1:23" x14ac:dyDescent="0.45">
      <c r="A156" s="23" t="s">
        <v>104</v>
      </c>
      <c r="B156" s="24">
        <f>SUM(E234:E265)</f>
        <v>120</v>
      </c>
    </row>
    <row r="157" spans="1:23" x14ac:dyDescent="0.45">
      <c r="A157" s="25" t="s">
        <v>105</v>
      </c>
      <c r="B157" s="26">
        <f>B154+B155+B156</f>
        <v>169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29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Schottland</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0</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Norwegen</v>
      </c>
      <c r="E258" s="28">
        <f t="shared" si="0"/>
        <v>0</v>
      </c>
    </row>
    <row r="259" spans="1:5" x14ac:dyDescent="0.45">
      <c r="A259" s="28">
        <v>26</v>
      </c>
      <c r="B259" s="29" t="s">
        <v>359</v>
      </c>
      <c r="C259" s="29" t="str">
        <f>Realität!R113</f>
        <v>Katar</v>
      </c>
      <c r="D259" s="29" t="str">
        <f t="shared" si="1"/>
        <v>Australien</v>
      </c>
      <c r="E259" s="28">
        <f t="shared" si="0"/>
        <v>5</v>
      </c>
    </row>
    <row r="260" spans="1:5" x14ac:dyDescent="0.45">
      <c r="A260" s="28">
        <v>27</v>
      </c>
      <c r="B260" s="29" t="s">
        <v>360</v>
      </c>
      <c r="C260" s="29" t="str">
        <f>Realität!R114</f>
        <v>Marokko</v>
      </c>
      <c r="D260" s="29" t="str">
        <f t="shared" si="1"/>
        <v>Japan</v>
      </c>
      <c r="E260" s="28">
        <f t="shared" si="0"/>
        <v>5</v>
      </c>
    </row>
    <row r="261" spans="1:5" x14ac:dyDescent="0.45">
      <c r="A261" s="28">
        <v>28</v>
      </c>
      <c r="B261" s="29" t="s">
        <v>361</v>
      </c>
      <c r="C261" s="29" t="str">
        <f>Realität!R115</f>
        <v>Iran</v>
      </c>
      <c r="D261" s="29" t="str">
        <f t="shared" si="1"/>
        <v>Marokko</v>
      </c>
      <c r="E261" s="28">
        <f t="shared" si="0"/>
        <v>5</v>
      </c>
    </row>
    <row r="262" spans="1:5" x14ac:dyDescent="0.45">
      <c r="A262" s="28">
        <v>29</v>
      </c>
      <c r="B262" s="29" t="s">
        <v>362</v>
      </c>
      <c r="C262" s="29" t="str">
        <f>Realität!R116</f>
        <v>Saudi-Arabien</v>
      </c>
      <c r="D262" s="29" t="str">
        <f t="shared" si="1"/>
        <v>Südkorea</v>
      </c>
      <c r="E262" s="28">
        <f t="shared" si="0"/>
        <v>5</v>
      </c>
    </row>
    <row r="263" spans="1:5" x14ac:dyDescent="0.45">
      <c r="A263" s="28">
        <v>30</v>
      </c>
      <c r="B263" s="29" t="s">
        <v>363</v>
      </c>
      <c r="C263" s="29" t="str">
        <f>Realität!R117</f>
        <v>Irak</v>
      </c>
      <c r="D263" s="29" t="str">
        <f t="shared" si="1"/>
        <v>Elfenbeinküste</v>
      </c>
      <c r="E263" s="28">
        <f t="shared" si="0"/>
        <v>5</v>
      </c>
    </row>
    <row r="264" spans="1:5" x14ac:dyDescent="0.45">
      <c r="A264" s="28">
        <v>31</v>
      </c>
      <c r="B264" s="29" t="s">
        <v>364</v>
      </c>
      <c r="C264" s="29" t="str">
        <f>Realität!R118</f>
        <v>Österreich</v>
      </c>
      <c r="D264" s="29" t="str">
        <f t="shared" si="1"/>
        <v>Algerien</v>
      </c>
      <c r="E264" s="28">
        <f t="shared" si="0"/>
        <v>5</v>
      </c>
    </row>
    <row r="265" spans="1:5" x14ac:dyDescent="0.45">
      <c r="A265" s="28">
        <v>32</v>
      </c>
      <c r="B265" s="29" t="s">
        <v>365</v>
      </c>
      <c r="C265" s="29" t="str">
        <f>Realität!R119</f>
        <v>Usbekistan</v>
      </c>
      <c r="D265" s="29" t="str">
        <f t="shared" si="1"/>
        <v>Kanada</v>
      </c>
      <c r="E265" s="28">
        <f t="shared" si="0"/>
        <v>5</v>
      </c>
    </row>
    <row r="266" spans="1:5" x14ac:dyDescent="0.45">
      <c r="D266" s="23" t="s">
        <v>330</v>
      </c>
      <c r="E266" s="24">
        <f>SUM(E234:E265)</f>
        <v>120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Japan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Tunesien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Unentschieden</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Elfenbeinküste</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Unentschieden</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80" t="str">
        <f>IF(B79=C79,"Unentschieden",IF(B79&gt;C79,B78,C78))</f>
        <v>Unentschieden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4</v>
      </c>
      <c r="V98" s="2">
        <f>D92</f>
        <v>4</v>
      </c>
      <c r="W98" s="2">
        <f>E92</f>
        <v>6</v>
      </c>
      <c r="X98" s="2">
        <f>F92</f>
        <v>-2</v>
      </c>
    </row>
    <row r="99" spans="17:24" x14ac:dyDescent="0.45">
      <c r="Q99"/>
      <c r="R99" s="82" t="str">
        <f>I92</f>
        <v>Saudi-Arabien</v>
      </c>
      <c r="S99" s="82"/>
      <c r="T99" s="82"/>
      <c r="U99" s="2">
        <f>J92</f>
        <v>3</v>
      </c>
      <c r="V99" s="2">
        <f>K92</f>
        <v>3</v>
      </c>
      <c r="W99" s="2">
        <f>L92</f>
        <v>7</v>
      </c>
      <c r="X99" s="2">
        <f>M92</f>
        <v>-4</v>
      </c>
    </row>
    <row r="100" spans="17:24" x14ac:dyDescent="0.45">
      <c r="Q100"/>
      <c r="R100" s="82" t="str">
        <f>P92</f>
        <v>Norwegen</v>
      </c>
      <c r="S100" s="82"/>
      <c r="T100" s="82"/>
      <c r="U100" s="2">
        <f>Q92</f>
        <v>4</v>
      </c>
      <c r="V100" s="2">
        <f>R92</f>
        <v>5</v>
      </c>
      <c r="W100" s="2">
        <f>S92</f>
        <v>4</v>
      </c>
      <c r="X100" s="2">
        <f>T92</f>
        <v>1</v>
      </c>
    </row>
    <row r="101" spans="17:24" x14ac:dyDescent="0.45">
      <c r="Q101"/>
      <c r="R101" s="82" t="str">
        <f>W92</f>
        <v>Österreich</v>
      </c>
      <c r="S101" s="82"/>
      <c r="T101" s="82"/>
      <c r="U101" s="2">
        <f>X92</f>
        <v>4</v>
      </c>
      <c r="V101" s="2">
        <f>Y92</f>
        <v>2</v>
      </c>
      <c r="W101" s="2">
        <f>Z92</f>
        <v>3</v>
      </c>
      <c r="X101" s="2">
        <f>AA92</f>
        <v>-1</v>
      </c>
    </row>
    <row r="102" spans="17:24" x14ac:dyDescent="0.45">
      <c r="Q102"/>
      <c r="R102" s="82" t="str">
        <f>AD92</f>
        <v>DR Kongo</v>
      </c>
      <c r="S102" s="82"/>
      <c r="T102" s="82"/>
      <c r="U102" s="2">
        <f>AE92</f>
        <v>3</v>
      </c>
      <c r="V102" s="2">
        <f>AF92</f>
        <v>3</v>
      </c>
      <c r="W102" s="2">
        <f>AG92</f>
        <v>6</v>
      </c>
      <c r="X102" s="2">
        <f>AH92</f>
        <v>-3</v>
      </c>
    </row>
    <row r="103" spans="17:24" x14ac:dyDescent="0.45">
      <c r="Q103"/>
      <c r="R103" s="82" t="str">
        <f>AK92</f>
        <v>Kroatien</v>
      </c>
      <c r="S103" s="82"/>
      <c r="T103" s="82"/>
      <c r="U103" s="2">
        <f>AL92</f>
        <v>4</v>
      </c>
      <c r="V103" s="2">
        <f>AM92</f>
        <v>6</v>
      </c>
      <c r="W103" s="2">
        <f>AN92</f>
        <v>4</v>
      </c>
      <c r="X103" s="2">
        <f>AO92</f>
        <v>2</v>
      </c>
    </row>
    <row r="104" spans="17:24" x14ac:dyDescent="0.45">
      <c r="R104" s="82" t="str">
        <f>B45</f>
        <v>Tschechien</v>
      </c>
      <c r="S104" s="82"/>
      <c r="T104" s="82"/>
      <c r="U104" s="2">
        <f>C45</f>
        <v>1</v>
      </c>
      <c r="V104" s="2">
        <f>D45</f>
        <v>3</v>
      </c>
      <c r="W104" s="2">
        <f>E45</f>
        <v>5</v>
      </c>
      <c r="X104" s="2">
        <f>F45</f>
        <v>-2</v>
      </c>
    </row>
    <row r="105" spans="17:24" x14ac:dyDescent="0.45">
      <c r="R105" s="82" t="str">
        <f>I45</f>
        <v>Kanada</v>
      </c>
      <c r="S105" s="82"/>
      <c r="T105" s="82"/>
      <c r="U105" s="2">
        <f>J45</f>
        <v>3</v>
      </c>
      <c r="V105" s="2">
        <f>K45</f>
        <v>4</v>
      </c>
      <c r="W105" s="2">
        <f>L45</f>
        <v>6</v>
      </c>
      <c r="X105" s="2">
        <f>M45</f>
        <v>-2</v>
      </c>
    </row>
    <row r="106" spans="17:24" x14ac:dyDescent="0.45">
      <c r="R106" s="82" t="str">
        <f>P45</f>
        <v>Schottland</v>
      </c>
      <c r="S106" s="82"/>
      <c r="T106" s="82"/>
      <c r="U106" s="2">
        <f>Q45</f>
        <v>3</v>
      </c>
      <c r="V106" s="2">
        <f>R45</f>
        <v>3</v>
      </c>
      <c r="W106" s="2">
        <f>S45</f>
        <v>6</v>
      </c>
      <c r="X106" s="2">
        <f>T45</f>
        <v>-3</v>
      </c>
    </row>
    <row r="107" spans="17:24" x14ac:dyDescent="0.45">
      <c r="R107" s="82" t="str">
        <f>W45</f>
        <v>Australien</v>
      </c>
      <c r="S107" s="82"/>
      <c r="T107" s="82"/>
      <c r="U107" s="2">
        <f>X45</f>
        <v>1</v>
      </c>
      <c r="V107" s="2">
        <f>Y45</f>
        <v>2</v>
      </c>
      <c r="W107" s="2">
        <f>Z45</f>
        <v>5</v>
      </c>
      <c r="X107" s="2">
        <f>AA45</f>
        <v>-3</v>
      </c>
    </row>
    <row r="108" spans="17:24" x14ac:dyDescent="0.45">
      <c r="R108" s="82" t="str">
        <f>AD45</f>
        <v>Ecuador</v>
      </c>
      <c r="S108" s="82"/>
      <c r="T108" s="82"/>
      <c r="U108" s="2">
        <f>AE45</f>
        <v>3</v>
      </c>
      <c r="V108" s="2">
        <f>AF45</f>
        <v>6</v>
      </c>
      <c r="W108" s="2">
        <f>AG45</f>
        <v>6</v>
      </c>
      <c r="X108" s="2">
        <f>AH45</f>
        <v>0</v>
      </c>
    </row>
    <row r="109" spans="17:24" x14ac:dyDescent="0.45">
      <c r="R109" s="82" t="str">
        <f>AK45</f>
        <v>Tunesien</v>
      </c>
      <c r="S109" s="82"/>
      <c r="T109" s="82"/>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20</v>
      </c>
    </row>
    <row r="155" spans="1:23" x14ac:dyDescent="0.45">
      <c r="A155" s="23" t="s">
        <v>103</v>
      </c>
      <c r="B155" s="24">
        <f>SUM(H160:H231)</f>
        <v>29</v>
      </c>
    </row>
    <row r="156" spans="1:23" x14ac:dyDescent="0.45">
      <c r="A156" s="23" t="s">
        <v>104</v>
      </c>
      <c r="B156" s="24">
        <f>SUM(E234:E265)</f>
        <v>115</v>
      </c>
    </row>
    <row r="157" spans="1:23" x14ac:dyDescent="0.45">
      <c r="A157" s="25" t="s">
        <v>105</v>
      </c>
      <c r="B157" s="26">
        <f>B154+B155+B156</f>
        <v>164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29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0</v>
      </c>
    </row>
    <row r="258" spans="1:5" x14ac:dyDescent="0.45">
      <c r="A258" s="28">
        <v>25</v>
      </c>
      <c r="B258" s="29" t="s">
        <v>358</v>
      </c>
      <c r="C258" s="29" t="str">
        <f>Realität!R112</f>
        <v>Südafrika</v>
      </c>
      <c r="D258" s="29" t="str">
        <f t="shared" ref="D258:D265" si="1">R112</f>
        <v>Kroatien</v>
      </c>
      <c r="E258" s="28">
        <f t="shared" si="0"/>
        <v>5</v>
      </c>
    </row>
    <row r="259" spans="1:5" x14ac:dyDescent="0.45">
      <c r="A259" s="28">
        <v>26</v>
      </c>
      <c r="B259" s="29" t="s">
        <v>359</v>
      </c>
      <c r="C259" s="29" t="str">
        <f>Realität!R113</f>
        <v>Katar</v>
      </c>
      <c r="D259" s="29" t="str">
        <f t="shared" si="1"/>
        <v>Norwegen</v>
      </c>
      <c r="E259" s="28">
        <f t="shared" si="0"/>
        <v>0</v>
      </c>
    </row>
    <row r="260" spans="1:5" x14ac:dyDescent="0.45">
      <c r="A260" s="28">
        <v>27</v>
      </c>
      <c r="B260" s="29" t="s">
        <v>360</v>
      </c>
      <c r="C260" s="29" t="str">
        <f>Realität!R114</f>
        <v>Marokko</v>
      </c>
      <c r="D260" s="29" t="str">
        <f t="shared" si="1"/>
        <v>Österreich</v>
      </c>
      <c r="E260" s="28">
        <f t="shared" si="0"/>
        <v>5</v>
      </c>
    </row>
    <row r="261" spans="1:5" x14ac:dyDescent="0.45">
      <c r="A261" s="28">
        <v>28</v>
      </c>
      <c r="B261" s="29" t="s">
        <v>361</v>
      </c>
      <c r="C261" s="29" t="str">
        <f>Realität!R115</f>
        <v>Iran</v>
      </c>
      <c r="D261" s="29" t="str">
        <f t="shared" si="1"/>
        <v>Iran</v>
      </c>
      <c r="E261" s="28">
        <f t="shared" si="0"/>
        <v>5</v>
      </c>
    </row>
    <row r="262" spans="1:5" x14ac:dyDescent="0.45">
      <c r="A262" s="28">
        <v>29</v>
      </c>
      <c r="B262" s="29" t="s">
        <v>362</v>
      </c>
      <c r="C262" s="29" t="str">
        <f>Realität!R116</f>
        <v>Saudi-Arabien</v>
      </c>
      <c r="D262" s="29" t="str">
        <f t="shared" si="1"/>
        <v>Ecuador</v>
      </c>
      <c r="E262" s="28">
        <f t="shared" si="0"/>
        <v>0</v>
      </c>
    </row>
    <row r="263" spans="1:5" x14ac:dyDescent="0.45">
      <c r="A263" s="28">
        <v>30</v>
      </c>
      <c r="B263" s="29" t="s">
        <v>363</v>
      </c>
      <c r="C263" s="29" t="str">
        <f>Realität!R117</f>
        <v>Irak</v>
      </c>
      <c r="D263" s="29" t="str">
        <f t="shared" si="1"/>
        <v>Tunesien</v>
      </c>
      <c r="E263" s="28">
        <f t="shared" si="0"/>
        <v>0</v>
      </c>
    </row>
    <row r="264" spans="1:5" x14ac:dyDescent="0.45">
      <c r="A264" s="28">
        <v>31</v>
      </c>
      <c r="B264" s="29" t="s">
        <v>364</v>
      </c>
      <c r="C264" s="29" t="str">
        <f>Realität!R118</f>
        <v>Österreich</v>
      </c>
      <c r="D264" s="29" t="str">
        <f t="shared" si="1"/>
        <v>Kanada</v>
      </c>
      <c r="E264" s="28">
        <f t="shared" si="0"/>
        <v>5</v>
      </c>
    </row>
    <row r="265" spans="1:5" x14ac:dyDescent="0.45">
      <c r="A265" s="28">
        <v>32</v>
      </c>
      <c r="B265" s="29" t="s">
        <v>365</v>
      </c>
      <c r="C265" s="29" t="str">
        <f>Realität!R119</f>
        <v>Usbekistan</v>
      </c>
      <c r="D265" s="29" t="str">
        <f t="shared" si="1"/>
        <v>DR Kongo</v>
      </c>
      <c r="E265" s="28">
        <f t="shared" si="0"/>
        <v>5</v>
      </c>
    </row>
    <row r="266" spans="1:5" x14ac:dyDescent="0.45">
      <c r="D266" s="23" t="s">
        <v>330</v>
      </c>
      <c r="E266" s="24">
        <f>SUM(E234:E265)</f>
        <v>115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Unentschieden</v>
      </c>
      <c r="X11" s="80"/>
      <c r="Y11" s="4"/>
      <c r="Z11" s="4"/>
      <c r="AA11" s="4"/>
      <c r="AB11" s="4"/>
      <c r="AC11" s="4"/>
      <c r="AD11" s="80" t="str">
        <f>IF(AD10=AE10,"Unentschieden",IF(AD10&gt;AE10,AD9,AE9))</f>
        <v>Ecuador</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Usbekistan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2</v>
      </c>
      <c r="W98" s="2">
        <f>E92</f>
        <v>4</v>
      </c>
      <c r="X98" s="2">
        <f>F92</f>
        <v>-2</v>
      </c>
    </row>
    <row r="99" spans="17:24" x14ac:dyDescent="0.45">
      <c r="Q99"/>
      <c r="R99" s="82" t="str">
        <f>I92</f>
        <v>Saudi-Arabien</v>
      </c>
      <c r="S99" s="82"/>
      <c r="T99" s="82"/>
      <c r="U99" s="2">
        <f>J92</f>
        <v>3</v>
      </c>
      <c r="V99" s="2">
        <f>K92</f>
        <v>1</v>
      </c>
      <c r="W99" s="2">
        <f>L92</f>
        <v>3</v>
      </c>
      <c r="X99" s="2">
        <f>M92</f>
        <v>-2</v>
      </c>
    </row>
    <row r="100" spans="17:24" x14ac:dyDescent="0.45">
      <c r="Q100"/>
      <c r="R100" s="82" t="str">
        <f>P92</f>
        <v>Senegal</v>
      </c>
      <c r="S100" s="82"/>
      <c r="T100" s="82"/>
      <c r="U100" s="2">
        <f>Q92</f>
        <v>4</v>
      </c>
      <c r="V100" s="2">
        <f>R92</f>
        <v>2</v>
      </c>
      <c r="W100" s="2">
        <f>S92</f>
        <v>3</v>
      </c>
      <c r="X100" s="2">
        <f>T92</f>
        <v>-1</v>
      </c>
    </row>
    <row r="101" spans="17:24" x14ac:dyDescent="0.45">
      <c r="Q101"/>
      <c r="R101" s="82" t="str">
        <f>W92</f>
        <v>Algerien</v>
      </c>
      <c r="S101" s="82"/>
      <c r="T101" s="82"/>
      <c r="U101" s="2">
        <f>X92</f>
        <v>4</v>
      </c>
      <c r="V101" s="2">
        <f>Y92</f>
        <v>3</v>
      </c>
      <c r="W101" s="2">
        <f>Z92</f>
        <v>4</v>
      </c>
      <c r="X101" s="2">
        <f>AA92</f>
        <v>-1</v>
      </c>
    </row>
    <row r="102" spans="17:24" x14ac:dyDescent="0.45">
      <c r="Q102"/>
      <c r="R102" s="82" t="str">
        <f>AD92</f>
        <v>Usbekistan</v>
      </c>
      <c r="S102" s="82"/>
      <c r="T102" s="82"/>
      <c r="U102" s="2">
        <f>AE92</f>
        <v>3</v>
      </c>
      <c r="V102" s="2">
        <f>AF92</f>
        <v>1</v>
      </c>
      <c r="W102" s="2">
        <f>AG92</f>
        <v>5</v>
      </c>
      <c r="X102" s="2">
        <f t="shared" ref="X102" si="12">AH92</f>
        <v>-4</v>
      </c>
    </row>
    <row r="103" spans="17:24" x14ac:dyDescent="0.45">
      <c r="Q103"/>
      <c r="R103" s="82" t="str">
        <f>AK92</f>
        <v>Panama</v>
      </c>
      <c r="S103" s="82"/>
      <c r="T103" s="82"/>
      <c r="U103" s="2">
        <f>AL92</f>
        <v>1</v>
      </c>
      <c r="V103" s="2">
        <f t="shared" ref="V103:X103" si="13">AM92</f>
        <v>1</v>
      </c>
      <c r="W103" s="2">
        <f t="shared" si="13"/>
        <v>5</v>
      </c>
      <c r="X103" s="2">
        <f t="shared" si="13"/>
        <v>-4</v>
      </c>
    </row>
    <row r="104" spans="17:24" x14ac:dyDescent="0.45">
      <c r="R104" s="82" t="str">
        <f>B45</f>
        <v>Tschechien</v>
      </c>
      <c r="S104" s="82"/>
      <c r="T104" s="82"/>
      <c r="U104" s="2">
        <f>C45</f>
        <v>5</v>
      </c>
      <c r="V104" s="2">
        <f t="shared" ref="V104:X104" si="14">D45</f>
        <v>3</v>
      </c>
      <c r="W104" s="2">
        <f t="shared" si="14"/>
        <v>2</v>
      </c>
      <c r="X104" s="2">
        <f t="shared" si="14"/>
        <v>1</v>
      </c>
    </row>
    <row r="105" spans="17:24" x14ac:dyDescent="0.45">
      <c r="R105" s="82" t="str">
        <f>I45</f>
        <v>Bosnien-Herz.</v>
      </c>
      <c r="S105" s="82"/>
      <c r="T105" s="82"/>
      <c r="U105" s="2">
        <f>J45</f>
        <v>1</v>
      </c>
      <c r="V105" s="2">
        <f t="shared" ref="V105:X105" si="15">K45</f>
        <v>1</v>
      </c>
      <c r="W105" s="2">
        <f t="shared" si="15"/>
        <v>4</v>
      </c>
      <c r="X105" s="2">
        <f t="shared" si="15"/>
        <v>-3</v>
      </c>
    </row>
    <row r="106" spans="17:24" x14ac:dyDescent="0.45">
      <c r="R106" s="82" t="str">
        <f>P45</f>
        <v>Schottland</v>
      </c>
      <c r="S106" s="82"/>
      <c r="T106" s="82"/>
      <c r="U106" s="2">
        <f>Q45</f>
        <v>4</v>
      </c>
      <c r="V106" s="2">
        <f t="shared" ref="V106:X106" si="16">R45</f>
        <v>3</v>
      </c>
      <c r="W106" s="2">
        <f t="shared" si="16"/>
        <v>4</v>
      </c>
      <c r="X106" s="2">
        <f t="shared" si="16"/>
        <v>-1</v>
      </c>
    </row>
    <row r="107" spans="17:24" x14ac:dyDescent="0.45">
      <c r="R107" s="82" t="str">
        <f>W45</f>
        <v>Australien</v>
      </c>
      <c r="S107" s="82"/>
      <c r="T107" s="82"/>
      <c r="U107" s="2">
        <f>X45</f>
        <v>3</v>
      </c>
      <c r="V107" s="2">
        <f t="shared" ref="V107:W107" si="17">Y45</f>
        <v>3</v>
      </c>
      <c r="W107" s="2">
        <f t="shared" si="17"/>
        <v>3</v>
      </c>
      <c r="X107" s="2">
        <f>AA45</f>
        <v>0</v>
      </c>
    </row>
    <row r="108" spans="17:24" x14ac:dyDescent="0.45">
      <c r="R108" s="82" t="str">
        <f>AD45</f>
        <v>Elfenbeinküste</v>
      </c>
      <c r="S108" s="82"/>
      <c r="T108" s="82"/>
      <c r="U108" s="2">
        <f>AE45</f>
        <v>3</v>
      </c>
      <c r="V108" s="2">
        <f t="shared" ref="V108:X108" si="18">AF45</f>
        <v>2</v>
      </c>
      <c r="W108" s="2">
        <f t="shared" si="18"/>
        <v>3</v>
      </c>
      <c r="X108" s="2">
        <f t="shared" si="18"/>
        <v>-1</v>
      </c>
    </row>
    <row r="109" spans="17:24" x14ac:dyDescent="0.45">
      <c r="R109" s="82" t="str">
        <f>AK45</f>
        <v>Schweden</v>
      </c>
      <c r="S109" s="82"/>
      <c r="T109" s="82"/>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25</v>
      </c>
    </row>
    <row r="155" spans="1:23" x14ac:dyDescent="0.45">
      <c r="A155" s="23" t="s">
        <v>103</v>
      </c>
      <c r="B155" s="24">
        <f>SUM(H160:H231)</f>
        <v>30</v>
      </c>
    </row>
    <row r="156" spans="1:23" x14ac:dyDescent="0.45">
      <c r="A156" s="23" t="s">
        <v>104</v>
      </c>
      <c r="B156" s="24">
        <f>SUM(E234:E265)</f>
        <v>125</v>
      </c>
    </row>
    <row r="157" spans="1:23" x14ac:dyDescent="0.45">
      <c r="A157" s="25" t="s">
        <v>105</v>
      </c>
      <c r="B157" s="26">
        <f>B154+B155+B156</f>
        <v>180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Katar</v>
      </c>
      <c r="D259" s="29" t="str">
        <f t="shared" si="21"/>
        <v>Algerien</v>
      </c>
      <c r="E259" s="28">
        <f t="shared" si="20"/>
        <v>5</v>
      </c>
    </row>
    <row r="260" spans="1:5" x14ac:dyDescent="0.45">
      <c r="A260" s="28">
        <v>27</v>
      </c>
      <c r="B260" s="29" t="s">
        <v>360</v>
      </c>
      <c r="C260" s="29" t="str">
        <f>Realität!R114</f>
        <v>Marokko</v>
      </c>
      <c r="D260" s="29" t="str">
        <f t="shared" si="21"/>
        <v>Schottland</v>
      </c>
      <c r="E260" s="28">
        <f t="shared" si="20"/>
        <v>5</v>
      </c>
    </row>
    <row r="261" spans="1:5" x14ac:dyDescent="0.45">
      <c r="A261" s="28">
        <v>28</v>
      </c>
      <c r="B261" s="29" t="s">
        <v>361</v>
      </c>
      <c r="C261" s="29" t="str">
        <f>Realität!R115</f>
        <v>Iran</v>
      </c>
      <c r="D261" s="29" t="str">
        <f t="shared" si="21"/>
        <v>Senegal</v>
      </c>
      <c r="E261" s="28">
        <f t="shared" si="20"/>
        <v>5</v>
      </c>
    </row>
    <row r="262" spans="1:5" x14ac:dyDescent="0.45">
      <c r="A262" s="28">
        <v>29</v>
      </c>
      <c r="B262" s="29" t="s">
        <v>362</v>
      </c>
      <c r="C262" s="29" t="str">
        <f>Realität!R116</f>
        <v>Saudi-Arabien</v>
      </c>
      <c r="D262" s="29" t="str">
        <f t="shared" si="21"/>
        <v>Australien</v>
      </c>
      <c r="E262" s="28">
        <f t="shared" si="20"/>
        <v>5</v>
      </c>
    </row>
    <row r="263" spans="1:5" x14ac:dyDescent="0.45">
      <c r="A263" s="28">
        <v>30</v>
      </c>
      <c r="B263" s="29" t="s">
        <v>363</v>
      </c>
      <c r="C263" s="29" t="str">
        <f>Realität!R117</f>
        <v>Irak</v>
      </c>
      <c r="D263" s="29" t="str">
        <f t="shared" si="21"/>
        <v>Elfenbeinküste</v>
      </c>
      <c r="E263" s="28">
        <f t="shared" si="20"/>
        <v>5</v>
      </c>
    </row>
    <row r="264" spans="1:5" x14ac:dyDescent="0.45">
      <c r="A264" s="28">
        <v>31</v>
      </c>
      <c r="B264" s="29" t="s">
        <v>364</v>
      </c>
      <c r="C264" s="29" t="str">
        <f>Realität!R118</f>
        <v>Österreich</v>
      </c>
      <c r="D264" s="29" t="str">
        <f t="shared" si="21"/>
        <v>Ägypten</v>
      </c>
      <c r="E264" s="28">
        <f t="shared" si="20"/>
        <v>5</v>
      </c>
    </row>
    <row r="265" spans="1:5" x14ac:dyDescent="0.45">
      <c r="A265" s="28">
        <v>32</v>
      </c>
      <c r="B265" s="29" t="s">
        <v>365</v>
      </c>
      <c r="C265" s="29" t="str">
        <f>Realität!R119</f>
        <v>Usbekistan</v>
      </c>
      <c r="D265" s="29" t="str">
        <f t="shared" si="21"/>
        <v>Saudi-Arabien</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80" t="str">
        <f>IF(B5=C5,"Unentschieden",IF(B5&gt;C5,B4,C4))</f>
        <v>Südafrika</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Australien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80" t="str">
        <f>IF(B57=C57,"Unentschieden",IF(B57&gt;C57,B56,C56))</f>
        <v>Neuseeland</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Österreich</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80" t="str">
        <f>IF(B68=C68,"Unentschieden",IF(B68&gt;C68,B67,C67))</f>
        <v>Neuseeland</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Jordanien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4</v>
      </c>
      <c r="W98" s="2">
        <f>E92</f>
        <v>4</v>
      </c>
      <c r="X98" s="2">
        <f>F92</f>
        <v>0</v>
      </c>
    </row>
    <row r="99" spans="17:24" x14ac:dyDescent="0.45">
      <c r="Q99"/>
      <c r="R99" s="82" t="str">
        <f>I92</f>
        <v>Kap Verde</v>
      </c>
      <c r="S99" s="82"/>
      <c r="T99" s="82"/>
      <c r="U99" s="2">
        <f>J92</f>
        <v>1</v>
      </c>
      <c r="V99" s="2">
        <f>K92</f>
        <v>1</v>
      </c>
      <c r="W99" s="2">
        <f>L92</f>
        <v>8</v>
      </c>
      <c r="X99" s="2">
        <f>M92</f>
        <v>-7</v>
      </c>
    </row>
    <row r="100" spans="17:24" x14ac:dyDescent="0.45">
      <c r="Q100"/>
      <c r="R100" s="82" t="str">
        <f>P92</f>
        <v>Senegal</v>
      </c>
      <c r="S100" s="82"/>
      <c r="T100" s="82"/>
      <c r="U100" s="2">
        <f>Q92</f>
        <v>3</v>
      </c>
      <c r="V100" s="2">
        <f>R92</f>
        <v>5</v>
      </c>
      <c r="W100" s="2">
        <f>S92</f>
        <v>6</v>
      </c>
      <c r="X100" s="2">
        <f>T92</f>
        <v>-1</v>
      </c>
    </row>
    <row r="101" spans="17:24" x14ac:dyDescent="0.45">
      <c r="Q101"/>
      <c r="R101" s="82" t="str">
        <f>W92</f>
        <v>Jordanien</v>
      </c>
      <c r="S101" s="82"/>
      <c r="T101" s="82"/>
      <c r="U101" s="2">
        <f>X92</f>
        <v>3</v>
      </c>
      <c r="V101" s="2">
        <f>Y92</f>
        <v>1</v>
      </c>
      <c r="W101" s="2">
        <f>Z92</f>
        <v>8</v>
      </c>
      <c r="X101" s="2">
        <f>AA92</f>
        <v>-7</v>
      </c>
    </row>
    <row r="102" spans="17:24" x14ac:dyDescent="0.45">
      <c r="Q102"/>
      <c r="R102" s="82" t="str">
        <f>AD92</f>
        <v>DR Kongo</v>
      </c>
      <c r="S102" s="82"/>
      <c r="T102" s="82"/>
      <c r="U102" s="2">
        <f>AE92</f>
        <v>3</v>
      </c>
      <c r="V102" s="2">
        <f>AF92</f>
        <v>5</v>
      </c>
      <c r="W102" s="2">
        <f>AG92</f>
        <v>5</v>
      </c>
      <c r="X102" s="2">
        <f>AH92</f>
        <v>0</v>
      </c>
    </row>
    <row r="103" spans="17:24" x14ac:dyDescent="0.45">
      <c r="Q103"/>
      <c r="R103" s="82" t="str">
        <f>AK92</f>
        <v>Ghana</v>
      </c>
      <c r="S103" s="82"/>
      <c r="T103" s="82"/>
      <c r="U103" s="2">
        <f>AL92</f>
        <v>3</v>
      </c>
      <c r="V103" s="2">
        <f>AM92</f>
        <v>4</v>
      </c>
      <c r="W103" s="2">
        <f>AN92</f>
        <v>6</v>
      </c>
      <c r="X103" s="2">
        <f>AO92</f>
        <v>-2</v>
      </c>
    </row>
    <row r="104" spans="17:24" x14ac:dyDescent="0.45">
      <c r="R104" s="82" t="str">
        <f>B45</f>
        <v>Tschechien</v>
      </c>
      <c r="S104" s="82"/>
      <c r="T104" s="82"/>
      <c r="U104" s="2">
        <f>C45</f>
        <v>3</v>
      </c>
      <c r="V104" s="2">
        <f>D45</f>
        <v>4</v>
      </c>
      <c r="W104" s="2">
        <f>E45</f>
        <v>4</v>
      </c>
      <c r="X104" s="2">
        <f>F45</f>
        <v>0</v>
      </c>
    </row>
    <row r="105" spans="17:24" x14ac:dyDescent="0.45">
      <c r="R105" s="82" t="str">
        <f>I45</f>
        <v>Kanada</v>
      </c>
      <c r="S105" s="82"/>
      <c r="T105" s="82"/>
      <c r="U105" s="2">
        <f>J45</f>
        <v>3</v>
      </c>
      <c r="V105" s="2">
        <f>K45</f>
        <v>1</v>
      </c>
      <c r="W105" s="2">
        <f>L45</f>
        <v>5</v>
      </c>
      <c r="X105" s="2">
        <f>M45</f>
        <v>-4</v>
      </c>
    </row>
    <row r="106" spans="17:24" x14ac:dyDescent="0.45">
      <c r="R106" s="82" t="str">
        <f>P45</f>
        <v>Schottland</v>
      </c>
      <c r="S106" s="82"/>
      <c r="T106" s="82"/>
      <c r="U106" s="2">
        <f>Q45</f>
        <v>3</v>
      </c>
      <c r="V106" s="2">
        <f>R45</f>
        <v>4</v>
      </c>
      <c r="W106" s="2">
        <f>S45</f>
        <v>4</v>
      </c>
      <c r="X106" s="2">
        <f>T45</f>
        <v>0</v>
      </c>
    </row>
    <row r="107" spans="17:24" x14ac:dyDescent="0.45">
      <c r="R107" s="82" t="str">
        <f>W45</f>
        <v>Australien</v>
      </c>
      <c r="S107" s="82"/>
      <c r="T107" s="82"/>
      <c r="U107" s="2">
        <f>X45</f>
        <v>3</v>
      </c>
      <c r="V107" s="2">
        <f>Y45</f>
        <v>2</v>
      </c>
      <c r="W107" s="2">
        <f>Z45</f>
        <v>4</v>
      </c>
      <c r="X107" s="2">
        <f>AA45</f>
        <v>-2</v>
      </c>
    </row>
    <row r="108" spans="17:24" x14ac:dyDescent="0.45">
      <c r="R108" s="82" t="str">
        <f>AD45</f>
        <v>Ecuador</v>
      </c>
      <c r="S108" s="82"/>
      <c r="T108" s="82"/>
      <c r="U108" s="2">
        <f>AE45</f>
        <v>3</v>
      </c>
      <c r="V108" s="2">
        <f>AF45</f>
        <v>3</v>
      </c>
      <c r="W108" s="2">
        <f>AG45</f>
        <v>8</v>
      </c>
      <c r="X108" s="2">
        <f>AH45</f>
        <v>-5</v>
      </c>
    </row>
    <row r="109" spans="17:24" x14ac:dyDescent="0.45">
      <c r="R109" s="82" t="str">
        <f>AK45</f>
        <v>Schweden</v>
      </c>
      <c r="S109" s="82"/>
      <c r="T109" s="82"/>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15</v>
      </c>
    </row>
    <row r="155" spans="1:23" x14ac:dyDescent="0.45">
      <c r="A155" s="23" t="s">
        <v>103</v>
      </c>
      <c r="B155" s="24">
        <f>SUM(H160:H231)</f>
        <v>20</v>
      </c>
    </row>
    <row r="156" spans="1:23" x14ac:dyDescent="0.45">
      <c r="A156" s="23" t="s">
        <v>104</v>
      </c>
      <c r="B156" s="24">
        <f>SUM(E234:E265)</f>
        <v>110</v>
      </c>
    </row>
    <row r="157" spans="1:23" x14ac:dyDescent="0.45">
      <c r="A157" s="25" t="s">
        <v>105</v>
      </c>
      <c r="B157" s="26">
        <f>B154+B155+B156</f>
        <v>145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20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DR Kongo</v>
      </c>
      <c r="E258" s="28">
        <f t="shared" si="0"/>
        <v>5</v>
      </c>
    </row>
    <row r="259" spans="1:5" x14ac:dyDescent="0.45">
      <c r="A259" s="28">
        <v>26</v>
      </c>
      <c r="B259" s="29" t="s">
        <v>359</v>
      </c>
      <c r="C259" s="29" t="str">
        <f>Realität!R113</f>
        <v>Katar</v>
      </c>
      <c r="D259" s="29" t="str">
        <f t="shared" si="1"/>
        <v>Ägypten</v>
      </c>
      <c r="E259" s="28">
        <f t="shared" si="0"/>
        <v>5</v>
      </c>
    </row>
    <row r="260" spans="1:5" x14ac:dyDescent="0.45">
      <c r="A260" s="28">
        <v>27</v>
      </c>
      <c r="B260" s="29" t="s">
        <v>360</v>
      </c>
      <c r="C260" s="29" t="str">
        <f>Realität!R114</f>
        <v>Marokko</v>
      </c>
      <c r="D260" s="29" t="str">
        <f t="shared" si="1"/>
        <v>Tschechien</v>
      </c>
      <c r="E260" s="28">
        <f t="shared" si="0"/>
        <v>0</v>
      </c>
    </row>
    <row r="261" spans="1:5" x14ac:dyDescent="0.45">
      <c r="A261" s="28">
        <v>28</v>
      </c>
      <c r="B261" s="29" t="s">
        <v>361</v>
      </c>
      <c r="C261" s="29" t="str">
        <f>Realität!R115</f>
        <v>Iran</v>
      </c>
      <c r="D261" s="29" t="str">
        <f t="shared" si="1"/>
        <v>Schottland</v>
      </c>
      <c r="E261" s="28">
        <f t="shared" si="0"/>
        <v>5</v>
      </c>
    </row>
    <row r="262" spans="1:5" x14ac:dyDescent="0.45">
      <c r="A262" s="28">
        <v>29</v>
      </c>
      <c r="B262" s="29" t="s">
        <v>362</v>
      </c>
      <c r="C262" s="29" t="str">
        <f>Realität!R116</f>
        <v>Saudi-Arabien</v>
      </c>
      <c r="D262" s="29" t="str">
        <f t="shared" si="1"/>
        <v>Senegal</v>
      </c>
      <c r="E262" s="28">
        <f t="shared" si="0"/>
        <v>5</v>
      </c>
    </row>
    <row r="263" spans="1:5" x14ac:dyDescent="0.45">
      <c r="A263" s="28">
        <v>30</v>
      </c>
      <c r="B263" s="29" t="s">
        <v>363</v>
      </c>
      <c r="C263" s="29" t="str">
        <f>Realität!R117</f>
        <v>Irak</v>
      </c>
      <c r="D263" s="29" t="str">
        <f t="shared" si="1"/>
        <v>Ghana</v>
      </c>
      <c r="E263" s="28">
        <f t="shared" si="0"/>
        <v>0</v>
      </c>
    </row>
    <row r="264" spans="1:5" x14ac:dyDescent="0.45">
      <c r="A264" s="28">
        <v>31</v>
      </c>
      <c r="B264" s="29" t="s">
        <v>364</v>
      </c>
      <c r="C264" s="29" t="str">
        <f>Realität!R118</f>
        <v>Österreich</v>
      </c>
      <c r="D264" s="29" t="str">
        <f t="shared" si="1"/>
        <v>Schweden</v>
      </c>
      <c r="E264" s="28">
        <f t="shared" si="0"/>
        <v>0</v>
      </c>
    </row>
    <row r="265" spans="1:5" x14ac:dyDescent="0.45">
      <c r="A265" s="28">
        <v>32</v>
      </c>
      <c r="B265" s="29" t="s">
        <v>365</v>
      </c>
      <c r="C265" s="29" t="str">
        <f>Realität!R119</f>
        <v>Usbekistan</v>
      </c>
      <c r="D265" s="29" t="str">
        <f t="shared" si="1"/>
        <v>Australien</v>
      </c>
      <c r="E265" s="28">
        <f t="shared" si="0"/>
        <v>5</v>
      </c>
    </row>
    <row r="266" spans="1:5" x14ac:dyDescent="0.45">
      <c r="D266" s="23" t="s">
        <v>330</v>
      </c>
      <c r="E266" s="24">
        <f>SUM(E234:E265)</f>
        <v>110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136"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Unentschieden</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Neuseeland</v>
      </c>
      <c r="S98" s="82"/>
      <c r="T98" s="82"/>
      <c r="U98" s="2">
        <f>C92</f>
        <v>1</v>
      </c>
      <c r="V98" s="2">
        <f>D92</f>
        <v>1</v>
      </c>
      <c r="W98" s="2">
        <f>E92</f>
        <v>3</v>
      </c>
      <c r="X98" s="2">
        <f>F92</f>
        <v>-2</v>
      </c>
    </row>
    <row r="99" spans="17:24" x14ac:dyDescent="0.45">
      <c r="Q99"/>
      <c r="R99" s="82" t="str">
        <f>I92</f>
        <v>Saudi-Arabien</v>
      </c>
      <c r="S99" s="82"/>
      <c r="T99" s="82"/>
      <c r="U99" s="2">
        <f>J92</f>
        <v>1</v>
      </c>
      <c r="V99" s="2">
        <f>K92</f>
        <v>3</v>
      </c>
      <c r="W99" s="2">
        <f>L92</f>
        <v>6</v>
      </c>
      <c r="X99" s="2">
        <f>M92</f>
        <v>-3</v>
      </c>
    </row>
    <row r="100" spans="17:24" x14ac:dyDescent="0.45">
      <c r="Q100"/>
      <c r="R100" s="82" t="str">
        <f>P92</f>
        <v>Senegal</v>
      </c>
      <c r="S100" s="82"/>
      <c r="T100" s="82"/>
      <c r="U100" s="2">
        <f>Q92</f>
        <v>3</v>
      </c>
      <c r="V100" s="2">
        <f>R92</f>
        <v>4</v>
      </c>
      <c r="W100" s="2">
        <f>S92</f>
        <v>5</v>
      </c>
      <c r="X100" s="2">
        <f>T92</f>
        <v>-1</v>
      </c>
    </row>
    <row r="101" spans="17:24" x14ac:dyDescent="0.45">
      <c r="Q101"/>
      <c r="R101" s="82" t="str">
        <f>W92</f>
        <v>Algerien</v>
      </c>
      <c r="S101" s="82"/>
      <c r="T101" s="82"/>
      <c r="U101" s="2">
        <f>X92</f>
        <v>4</v>
      </c>
      <c r="V101" s="2">
        <f>Y92</f>
        <v>4</v>
      </c>
      <c r="W101" s="2">
        <f>Z92</f>
        <v>5</v>
      </c>
      <c r="X101" s="2">
        <f>AA92</f>
        <v>-1</v>
      </c>
    </row>
    <row r="102" spans="17:24" x14ac:dyDescent="0.45">
      <c r="Q102"/>
      <c r="R102" s="82" t="str">
        <f>AD92</f>
        <v>DR Kongo</v>
      </c>
      <c r="S102" s="82"/>
      <c r="T102" s="82"/>
      <c r="U102" s="2">
        <f>AE92</f>
        <v>1</v>
      </c>
      <c r="V102" s="2">
        <f>AF92</f>
        <v>3</v>
      </c>
      <c r="W102" s="2">
        <f>AG92</f>
        <v>6</v>
      </c>
      <c r="X102" s="2">
        <f>AH92</f>
        <v>-3</v>
      </c>
    </row>
    <row r="103" spans="17:24" x14ac:dyDescent="0.45">
      <c r="Q103"/>
      <c r="R103" s="82" t="str">
        <f>AK92</f>
        <v>Ghana</v>
      </c>
      <c r="S103" s="82"/>
      <c r="T103" s="82"/>
      <c r="U103" s="2">
        <f>AL92</f>
        <v>3</v>
      </c>
      <c r="V103" s="2">
        <f>AM92</f>
        <v>3</v>
      </c>
      <c r="W103" s="2">
        <f>AN92</f>
        <v>4</v>
      </c>
      <c r="X103" s="2">
        <f>AO92</f>
        <v>-1</v>
      </c>
    </row>
    <row r="104" spans="17:24" x14ac:dyDescent="0.45">
      <c r="R104" s="82" t="str">
        <f>B45</f>
        <v>Tschechien</v>
      </c>
      <c r="S104" s="82"/>
      <c r="T104" s="82"/>
      <c r="U104" s="2">
        <f>C45</f>
        <v>4</v>
      </c>
      <c r="V104" s="2">
        <f>D45</f>
        <v>2</v>
      </c>
      <c r="W104" s="2">
        <f>E45</f>
        <v>2</v>
      </c>
      <c r="X104" s="2">
        <f>F45</f>
        <v>0</v>
      </c>
    </row>
    <row r="105" spans="17:24" x14ac:dyDescent="0.45">
      <c r="R105" s="82" t="str">
        <f>I45</f>
        <v>Katar</v>
      </c>
      <c r="S105" s="82"/>
      <c r="T105" s="82"/>
      <c r="U105" s="2">
        <f>J45</f>
        <v>2</v>
      </c>
      <c r="V105" s="2">
        <f>K45</f>
        <v>1</v>
      </c>
      <c r="W105" s="2">
        <f>L45</f>
        <v>3</v>
      </c>
      <c r="X105" s="2">
        <f>M45</f>
        <v>-2</v>
      </c>
    </row>
    <row r="106" spans="17:24" x14ac:dyDescent="0.45">
      <c r="R106" s="82" t="str">
        <f>P45</f>
        <v>Schottland</v>
      </c>
      <c r="S106" s="82"/>
      <c r="T106" s="82"/>
      <c r="U106" s="2">
        <f>Q45</f>
        <v>3</v>
      </c>
      <c r="V106" s="2">
        <f>R45</f>
        <v>1</v>
      </c>
      <c r="W106" s="2">
        <f>S45</f>
        <v>5</v>
      </c>
      <c r="X106" s="2">
        <f>T45</f>
        <v>-4</v>
      </c>
    </row>
    <row r="107" spans="17:24" x14ac:dyDescent="0.45">
      <c r="R107" s="82" t="str">
        <f>W45</f>
        <v>Australien</v>
      </c>
      <c r="S107" s="82"/>
      <c r="T107" s="82"/>
      <c r="U107" s="2">
        <f>X45</f>
        <v>4</v>
      </c>
      <c r="V107" s="2">
        <f>Y45</f>
        <v>3</v>
      </c>
      <c r="W107" s="2">
        <f>Z45</f>
        <v>4</v>
      </c>
      <c r="X107" s="2">
        <f>AA45</f>
        <v>-1</v>
      </c>
    </row>
    <row r="108" spans="17:24" x14ac:dyDescent="0.45">
      <c r="R108" s="82" t="str">
        <f>AD45</f>
        <v>Ecuador</v>
      </c>
      <c r="S108" s="82"/>
      <c r="T108" s="82"/>
      <c r="U108" s="2">
        <f>AE45</f>
        <v>3</v>
      </c>
      <c r="V108" s="2">
        <f>AF45</f>
        <v>2</v>
      </c>
      <c r="W108" s="2">
        <f>AG45</f>
        <v>4</v>
      </c>
      <c r="X108" s="2">
        <f>AH45</f>
        <v>-2</v>
      </c>
    </row>
    <row r="109" spans="17:24" x14ac:dyDescent="0.45">
      <c r="R109" s="82" t="str">
        <f>AK45</f>
        <v>Schweden</v>
      </c>
      <c r="S109" s="82"/>
      <c r="T109" s="82"/>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25</v>
      </c>
    </row>
    <row r="155" spans="1:23" x14ac:dyDescent="0.45">
      <c r="A155" s="23" t="s">
        <v>103</v>
      </c>
      <c r="B155" s="24">
        <f>SUM(H160:H231)</f>
        <v>29</v>
      </c>
    </row>
    <row r="156" spans="1:23" x14ac:dyDescent="0.45">
      <c r="A156" s="23" t="s">
        <v>104</v>
      </c>
      <c r="B156" s="24">
        <f>SUM(E234:E265)</f>
        <v>115</v>
      </c>
    </row>
    <row r="157" spans="1:23" x14ac:dyDescent="0.45">
      <c r="A157" s="25" t="s">
        <v>105</v>
      </c>
      <c r="B157" s="26">
        <f>B154+B155+B156</f>
        <v>169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29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Katar</v>
      </c>
      <c r="D259" s="29" t="str">
        <f t="shared" si="1"/>
        <v>Algerien</v>
      </c>
      <c r="E259" s="28">
        <f t="shared" si="0"/>
        <v>5</v>
      </c>
    </row>
    <row r="260" spans="1:5" x14ac:dyDescent="0.45">
      <c r="A260" s="28">
        <v>27</v>
      </c>
      <c r="B260" s="29" t="s">
        <v>360</v>
      </c>
      <c r="C260" s="29" t="str">
        <f>Realität!R114</f>
        <v>Marokko</v>
      </c>
      <c r="D260" s="29" t="str">
        <f t="shared" si="1"/>
        <v>Australien</v>
      </c>
      <c r="E260" s="28">
        <f t="shared" si="0"/>
        <v>5</v>
      </c>
    </row>
    <row r="261" spans="1:5" x14ac:dyDescent="0.45">
      <c r="A261" s="28">
        <v>28</v>
      </c>
      <c r="B261" s="29" t="s">
        <v>361</v>
      </c>
      <c r="C261" s="29" t="str">
        <f>Realität!R115</f>
        <v>Iran</v>
      </c>
      <c r="D261" s="29" t="str">
        <f t="shared" si="1"/>
        <v>Senegal</v>
      </c>
      <c r="E261" s="28">
        <f t="shared" si="0"/>
        <v>5</v>
      </c>
    </row>
    <row r="262" spans="1:5" x14ac:dyDescent="0.45">
      <c r="A262" s="28">
        <v>29</v>
      </c>
      <c r="B262" s="29" t="s">
        <v>362</v>
      </c>
      <c r="C262" s="29" t="str">
        <f>Realität!R116</f>
        <v>Saudi-Arabien</v>
      </c>
      <c r="D262" s="29" t="str">
        <f t="shared" si="1"/>
        <v>Ghana</v>
      </c>
      <c r="E262" s="28">
        <f t="shared" si="0"/>
        <v>0</v>
      </c>
    </row>
    <row r="263" spans="1:5" x14ac:dyDescent="0.45">
      <c r="A263" s="28">
        <v>30</v>
      </c>
      <c r="B263" s="29" t="s">
        <v>363</v>
      </c>
      <c r="C263" s="29" t="str">
        <f>Realität!R117</f>
        <v>Irak</v>
      </c>
      <c r="D263" s="29" t="str">
        <f t="shared" si="1"/>
        <v>Schweden</v>
      </c>
      <c r="E263" s="28">
        <f t="shared" si="0"/>
        <v>0</v>
      </c>
    </row>
    <row r="264" spans="1:5" x14ac:dyDescent="0.45">
      <c r="A264" s="28">
        <v>31</v>
      </c>
      <c r="B264" s="29" t="s">
        <v>364</v>
      </c>
      <c r="C264" s="29" t="str">
        <f>Realität!R118</f>
        <v>Österreich</v>
      </c>
      <c r="D264" s="29" t="str">
        <f t="shared" si="1"/>
        <v>Ecuador</v>
      </c>
      <c r="E264" s="28">
        <f t="shared" si="0"/>
        <v>0</v>
      </c>
    </row>
    <row r="265" spans="1:5" x14ac:dyDescent="0.45">
      <c r="A265" s="28">
        <v>32</v>
      </c>
      <c r="B265" s="29" t="s">
        <v>365</v>
      </c>
      <c r="C265" s="29" t="str">
        <f>Realität!R119</f>
        <v>Usbekistan</v>
      </c>
      <c r="D265" s="29" t="str">
        <f t="shared" si="1"/>
        <v>Schottland</v>
      </c>
      <c r="E265" s="28">
        <f t="shared" si="0"/>
        <v>5</v>
      </c>
    </row>
    <row r="266" spans="1:5" x14ac:dyDescent="0.45">
      <c r="D266" s="23" t="s">
        <v>330</v>
      </c>
      <c r="E266" s="24">
        <f>SUM(E234:E265)</f>
        <v>115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87" t="s">
        <v>18</v>
      </c>
      <c r="C1" s="86"/>
      <c r="D1" s="43"/>
      <c r="E1" s="44"/>
      <c r="F1" s="44"/>
      <c r="G1" s="43"/>
      <c r="H1" s="87" t="s">
        <v>19</v>
      </c>
      <c r="I1" s="86"/>
      <c r="J1" s="86"/>
      <c r="K1" s="86"/>
      <c r="L1" s="44"/>
      <c r="M1" s="44"/>
      <c r="N1" s="43"/>
      <c r="O1" s="87" t="s">
        <v>20</v>
      </c>
      <c r="P1" s="86"/>
      <c r="Q1" s="86"/>
      <c r="R1" s="86"/>
      <c r="S1" s="44"/>
      <c r="T1" s="44"/>
      <c r="U1" s="43"/>
      <c r="V1" s="87" t="s">
        <v>21</v>
      </c>
      <c r="W1" s="86"/>
      <c r="X1" s="86"/>
      <c r="Y1" s="86"/>
      <c r="Z1" s="44"/>
      <c r="AA1" s="44"/>
      <c r="AB1" s="43"/>
      <c r="AC1" s="87" t="s">
        <v>22</v>
      </c>
      <c r="AD1" s="86"/>
      <c r="AE1" s="86"/>
      <c r="AF1" s="86"/>
      <c r="AG1" s="44"/>
      <c r="AH1" s="44"/>
      <c r="AI1" s="43"/>
      <c r="AJ1" s="87"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5" t="s">
        <v>24</v>
      </c>
      <c r="C3" s="86"/>
      <c r="D3" s="43"/>
      <c r="E3" s="43"/>
      <c r="F3" s="43"/>
      <c r="G3" s="43"/>
      <c r="H3" s="43"/>
      <c r="I3" s="85" t="s">
        <v>24</v>
      </c>
      <c r="J3" s="86"/>
      <c r="K3" s="43"/>
      <c r="L3" s="43"/>
      <c r="M3" s="43"/>
      <c r="N3" s="43"/>
      <c r="O3" s="43"/>
      <c r="P3" s="85" t="s">
        <v>24</v>
      </c>
      <c r="Q3" s="86"/>
      <c r="R3" s="43"/>
      <c r="S3" s="43"/>
      <c r="T3" s="43"/>
      <c r="U3" s="43"/>
      <c r="V3" s="43"/>
      <c r="W3" s="85" t="s">
        <v>24</v>
      </c>
      <c r="X3" s="86"/>
      <c r="Y3" s="43"/>
      <c r="Z3" s="43"/>
      <c r="AA3" s="43"/>
      <c r="AB3" s="43"/>
      <c r="AC3" s="43"/>
      <c r="AD3" s="85" t="s">
        <v>24</v>
      </c>
      <c r="AE3" s="86"/>
      <c r="AF3" s="43"/>
      <c r="AG3" s="43"/>
      <c r="AH3" s="43"/>
      <c r="AI3" s="43"/>
      <c r="AJ3" s="43"/>
      <c r="AK3" s="85"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5" t="s">
        <v>49</v>
      </c>
      <c r="C14" s="86"/>
      <c r="D14" s="43"/>
      <c r="E14" s="43"/>
      <c r="F14" s="43"/>
      <c r="G14" s="43"/>
      <c r="H14" s="43"/>
      <c r="I14" s="85" t="s">
        <v>49</v>
      </c>
      <c r="J14" s="86"/>
      <c r="K14" s="43"/>
      <c r="L14" s="43"/>
      <c r="M14" s="43"/>
      <c r="N14" s="43"/>
      <c r="O14" s="43"/>
      <c r="P14" s="85" t="s">
        <v>49</v>
      </c>
      <c r="Q14" s="86"/>
      <c r="R14" s="43"/>
      <c r="S14" s="43"/>
      <c r="T14" s="43"/>
      <c r="U14" s="43"/>
      <c r="V14" s="43"/>
      <c r="W14" s="85" t="s">
        <v>49</v>
      </c>
      <c r="X14" s="86"/>
      <c r="Y14" s="43"/>
      <c r="Z14" s="43"/>
      <c r="AA14" s="43"/>
      <c r="AB14" s="43"/>
      <c r="AC14" s="43"/>
      <c r="AD14" s="85" t="s">
        <v>49</v>
      </c>
      <c r="AE14" s="86"/>
      <c r="AF14" s="43"/>
      <c r="AG14" s="43"/>
      <c r="AH14" s="43"/>
      <c r="AI14" s="43"/>
      <c r="AJ14" s="43"/>
      <c r="AK14" s="85"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5" t="s">
        <v>50</v>
      </c>
      <c r="C25" s="86"/>
      <c r="D25" s="43"/>
      <c r="E25" s="43"/>
      <c r="F25" s="43"/>
      <c r="G25" s="43"/>
      <c r="H25" s="43"/>
      <c r="I25" s="85" t="s">
        <v>50</v>
      </c>
      <c r="J25" s="86"/>
      <c r="K25" s="43"/>
      <c r="L25" s="43"/>
      <c r="M25" s="43"/>
      <c r="N25" s="43"/>
      <c r="O25" s="43"/>
      <c r="P25" s="85" t="s">
        <v>50</v>
      </c>
      <c r="Q25" s="86"/>
      <c r="R25" s="43"/>
      <c r="S25" s="43"/>
      <c r="T25" s="43"/>
      <c r="U25" s="43"/>
      <c r="V25" s="43"/>
      <c r="W25" s="85" t="s">
        <v>50</v>
      </c>
      <c r="X25" s="86"/>
      <c r="Y25" s="43"/>
      <c r="Z25" s="43"/>
      <c r="AA25" s="43"/>
      <c r="AB25" s="43"/>
      <c r="AC25" s="43"/>
      <c r="AD25" s="85" t="s">
        <v>50</v>
      </c>
      <c r="AE25" s="86"/>
      <c r="AF25" s="43"/>
      <c r="AG25" s="43"/>
      <c r="AH25" s="43"/>
      <c r="AI25" s="43"/>
      <c r="AJ25" s="43"/>
      <c r="AK25" s="85"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5" t="s">
        <v>56</v>
      </c>
      <c r="C42" s="86"/>
      <c r="D42" s="44"/>
      <c r="E42" s="44"/>
      <c r="F42" s="44"/>
      <c r="G42" s="43"/>
      <c r="H42" s="43"/>
      <c r="I42" s="85" t="s">
        <v>56</v>
      </c>
      <c r="J42" s="86"/>
      <c r="K42" s="44"/>
      <c r="L42" s="44"/>
      <c r="M42" s="44"/>
      <c r="N42" s="43"/>
      <c r="O42" s="43"/>
      <c r="P42" s="85" t="s">
        <v>56</v>
      </c>
      <c r="Q42" s="86"/>
      <c r="R42" s="43"/>
      <c r="S42" s="43"/>
      <c r="T42" s="43"/>
      <c r="U42" s="43"/>
      <c r="V42" s="43"/>
      <c r="W42" s="85" t="s">
        <v>56</v>
      </c>
      <c r="X42" s="86"/>
      <c r="Y42" s="43"/>
      <c r="Z42" s="43"/>
      <c r="AA42" s="43"/>
      <c r="AB42" s="43"/>
      <c r="AC42" s="43"/>
      <c r="AD42" s="85" t="s">
        <v>56</v>
      </c>
      <c r="AE42" s="86"/>
      <c r="AF42" s="43"/>
      <c r="AG42" s="43"/>
      <c r="AH42" s="43"/>
      <c r="AI42" s="43"/>
      <c r="AJ42" s="43"/>
      <c r="AK42" s="85"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87" t="s">
        <v>57</v>
      </c>
      <c r="B48" s="86"/>
      <c r="C48" s="86"/>
      <c r="D48" s="86"/>
      <c r="E48" s="44"/>
      <c r="F48" s="44"/>
      <c r="G48" s="43"/>
      <c r="H48" s="87" t="s">
        <v>58</v>
      </c>
      <c r="I48" s="86"/>
      <c r="J48" s="86"/>
      <c r="K48" s="86"/>
      <c r="L48" s="44"/>
      <c r="M48" s="44"/>
      <c r="N48" s="43"/>
      <c r="O48" s="87" t="s">
        <v>59</v>
      </c>
      <c r="P48" s="86"/>
      <c r="Q48" s="86"/>
      <c r="R48" s="86"/>
      <c r="S48" s="44"/>
      <c r="T48" s="44"/>
      <c r="U48" s="43"/>
      <c r="V48" s="87" t="s">
        <v>60</v>
      </c>
      <c r="W48" s="86"/>
      <c r="X48" s="86"/>
      <c r="Y48" s="86"/>
      <c r="Z48" s="44"/>
      <c r="AA48" s="44"/>
      <c r="AB48" s="43"/>
      <c r="AC48" s="87" t="s">
        <v>61</v>
      </c>
      <c r="AD48" s="86"/>
      <c r="AE48" s="86"/>
      <c r="AF48" s="86"/>
      <c r="AG48" s="44"/>
      <c r="AH48" s="44"/>
      <c r="AI48" s="43"/>
      <c r="AJ48" s="87"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5" t="s">
        <v>24</v>
      </c>
      <c r="C50" s="86"/>
      <c r="D50" s="43"/>
      <c r="E50" s="43"/>
      <c r="F50" s="43"/>
      <c r="G50" s="43"/>
      <c r="H50" s="43"/>
      <c r="I50" s="85" t="s">
        <v>24</v>
      </c>
      <c r="J50" s="86"/>
      <c r="K50" s="43"/>
      <c r="L50" s="43"/>
      <c r="M50" s="43"/>
      <c r="N50" s="43"/>
      <c r="O50" s="43"/>
      <c r="P50" s="85" t="s">
        <v>24</v>
      </c>
      <c r="Q50" s="86"/>
      <c r="R50" s="43"/>
      <c r="S50" s="43"/>
      <c r="T50" s="43"/>
      <c r="U50" s="43"/>
      <c r="V50" s="43"/>
      <c r="W50" s="85" t="s">
        <v>24</v>
      </c>
      <c r="X50" s="86"/>
      <c r="Y50" s="43"/>
      <c r="Z50" s="43"/>
      <c r="AA50" s="43"/>
      <c r="AB50" s="43"/>
      <c r="AC50" s="43"/>
      <c r="AD50" s="85" t="s">
        <v>24</v>
      </c>
      <c r="AE50" s="86"/>
      <c r="AF50" s="43"/>
      <c r="AG50" s="43"/>
      <c r="AH50" s="43"/>
      <c r="AI50" s="43"/>
      <c r="AJ50" s="43"/>
      <c r="AK50" s="85"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5" t="s">
        <v>49</v>
      </c>
      <c r="C61" s="86"/>
      <c r="D61" s="43"/>
      <c r="E61" s="43"/>
      <c r="F61" s="43"/>
      <c r="G61" s="43"/>
      <c r="H61" s="43"/>
      <c r="I61" s="85" t="s">
        <v>49</v>
      </c>
      <c r="J61" s="86"/>
      <c r="K61" s="43"/>
      <c r="L61" s="43"/>
      <c r="M61" s="43"/>
      <c r="N61" s="43"/>
      <c r="O61" s="43"/>
      <c r="P61" s="85" t="s">
        <v>49</v>
      </c>
      <c r="Q61" s="86"/>
      <c r="R61" s="43"/>
      <c r="S61" s="43"/>
      <c r="T61" s="43"/>
      <c r="U61" s="43"/>
      <c r="V61" s="43"/>
      <c r="W61" s="85" t="s">
        <v>49</v>
      </c>
      <c r="X61" s="86"/>
      <c r="Y61" s="43"/>
      <c r="Z61" s="43"/>
      <c r="AA61" s="43"/>
      <c r="AB61" s="43"/>
      <c r="AC61" s="43"/>
      <c r="AD61" s="85" t="s">
        <v>49</v>
      </c>
      <c r="AE61" s="86"/>
      <c r="AF61" s="43"/>
      <c r="AG61" s="43"/>
      <c r="AH61" s="43"/>
      <c r="AI61" s="43"/>
      <c r="AJ61" s="43"/>
      <c r="AK61" s="85"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5" t="s">
        <v>50</v>
      </c>
      <c r="C72" s="86"/>
      <c r="D72" s="43"/>
      <c r="E72" s="43"/>
      <c r="F72" s="43"/>
      <c r="G72" s="43"/>
      <c r="H72" s="43"/>
      <c r="I72" s="85" t="s">
        <v>50</v>
      </c>
      <c r="J72" s="86"/>
      <c r="K72" s="43"/>
      <c r="L72" s="43"/>
      <c r="M72" s="43"/>
      <c r="N72" s="43"/>
      <c r="O72" s="43"/>
      <c r="P72" s="85" t="s">
        <v>50</v>
      </c>
      <c r="Q72" s="86"/>
      <c r="R72" s="43"/>
      <c r="S72" s="43"/>
      <c r="T72" s="43"/>
      <c r="U72" s="43"/>
      <c r="V72" s="43"/>
      <c r="W72" s="85" t="s">
        <v>50</v>
      </c>
      <c r="X72" s="86"/>
      <c r="Y72" s="43"/>
      <c r="Z72" s="43"/>
      <c r="AA72" s="43"/>
      <c r="AB72" s="43"/>
      <c r="AC72" s="43"/>
      <c r="AD72" s="85" t="s">
        <v>50</v>
      </c>
      <c r="AE72" s="86"/>
      <c r="AF72" s="43"/>
      <c r="AG72" s="43"/>
      <c r="AH72" s="43"/>
      <c r="AI72" s="43"/>
      <c r="AJ72" s="43"/>
      <c r="AK72" s="85"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5" t="s">
        <v>56</v>
      </c>
      <c r="C89" s="86"/>
      <c r="D89" s="43"/>
      <c r="E89" s="43"/>
      <c r="F89" s="43"/>
      <c r="G89" s="43"/>
      <c r="H89" s="43"/>
      <c r="I89" s="85" t="s">
        <v>56</v>
      </c>
      <c r="J89" s="86"/>
      <c r="K89" s="44"/>
      <c r="L89" s="44"/>
      <c r="M89" s="44"/>
      <c r="N89" s="43"/>
      <c r="O89" s="43"/>
      <c r="P89" s="85" t="s">
        <v>56</v>
      </c>
      <c r="Q89" s="86"/>
      <c r="R89" s="44"/>
      <c r="S89" s="44"/>
      <c r="T89" s="44"/>
      <c r="U89" s="43"/>
      <c r="V89" s="43"/>
      <c r="W89" s="85" t="s">
        <v>56</v>
      </c>
      <c r="X89" s="86"/>
      <c r="Y89" s="44"/>
      <c r="Z89" s="44"/>
      <c r="AA89" s="44"/>
      <c r="AB89" s="43"/>
      <c r="AC89" s="43"/>
      <c r="AD89" s="85" t="s">
        <v>56</v>
      </c>
      <c r="AE89" s="86"/>
      <c r="AF89" s="43"/>
      <c r="AG89" s="43"/>
      <c r="AH89" s="43"/>
      <c r="AI89" s="43"/>
      <c r="AJ89" s="43"/>
      <c r="AK89" s="85"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90"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90"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90"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90"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90"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90"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90"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90"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90"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90"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90"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90"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90"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5" t="s">
        <v>101</v>
      </c>
      <c r="B152" s="83"/>
      <c r="C152" s="83"/>
      <c r="D152" s="83"/>
      <c r="E152" s="83"/>
      <c r="F152" s="83"/>
      <c r="G152" s="83"/>
      <c r="H152" s="83"/>
    </row>
    <row r="153" spans="1:42" ht="15" customHeight="1" x14ac:dyDescent="0.45">
      <c r="A153" s="2"/>
      <c r="B153" s="2"/>
      <c r="C153" s="2"/>
      <c r="D153" s="2"/>
      <c r="E153" s="2"/>
      <c r="F153" s="2"/>
      <c r="G153" s="2"/>
      <c r="H153" s="2"/>
    </row>
    <row r="154" spans="1:42" ht="15" customHeight="1" x14ac:dyDescent="0.45">
      <c r="A154" s="23" t="s">
        <v>102</v>
      </c>
      <c r="B154" s="24">
        <f>SUM(G160:G231)</f>
        <v>25</v>
      </c>
      <c r="C154" s="2"/>
      <c r="D154" s="2"/>
      <c r="E154" s="2"/>
      <c r="F154" s="2"/>
      <c r="G154" s="2"/>
      <c r="H154" s="2"/>
    </row>
    <row r="155" spans="1:42" ht="15" customHeight="1" x14ac:dyDescent="0.45">
      <c r="A155" s="23" t="s">
        <v>103</v>
      </c>
      <c r="B155" s="24">
        <f>SUM(H160:H231)</f>
        <v>35</v>
      </c>
      <c r="C155" s="2"/>
      <c r="D155" s="2"/>
      <c r="E155" s="2"/>
      <c r="F155" s="2"/>
      <c r="G155" s="2"/>
      <c r="H155" s="2"/>
    </row>
    <row r="156" spans="1:42" ht="15" customHeight="1" x14ac:dyDescent="0.45">
      <c r="A156" s="23" t="s">
        <v>104</v>
      </c>
      <c r="B156" s="24">
        <f>SUM(E234:E265)</f>
        <v>115</v>
      </c>
      <c r="C156" s="2"/>
      <c r="D156" s="2"/>
      <c r="E156" s="2"/>
      <c r="F156" s="2"/>
      <c r="G156" s="2"/>
      <c r="H156" s="2"/>
    </row>
    <row r="157" spans="1:42" ht="15" customHeight="1" x14ac:dyDescent="0.45">
      <c r="A157" s="25" t="s">
        <v>105</v>
      </c>
      <c r="B157" s="26">
        <f>B154+B155+B156</f>
        <v>175</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ht="15" customHeight="1" x14ac:dyDescent="0.3">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ht="15" customHeight="1" x14ac:dyDescent="0.3">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ht="15" customHeight="1" x14ac:dyDescent="0.3">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ht="15" customHeight="1" x14ac:dyDescent="0.3">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ht="15" customHeight="1" x14ac:dyDescent="0.3">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ht="15" customHeight="1" x14ac:dyDescent="0.3">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ht="15" customHeight="1" x14ac:dyDescent="0.3">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25</v>
      </c>
      <c r="H232" s="24">
        <f>SUM(H160:H231)</f>
        <v>35</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0</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Schottland</v>
      </c>
      <c r="D238" s="29" t="str">
        <f>P43</f>
        <v>Brasilien</v>
      </c>
      <c r="E238" s="28">
        <f t="shared" si="0"/>
        <v>5</v>
      </c>
      <c r="F238" s="2"/>
      <c r="G238" s="2"/>
      <c r="H238" s="2"/>
    </row>
    <row r="239" spans="1:8" ht="15" customHeight="1" x14ac:dyDescent="0.45">
      <c r="A239" s="28">
        <v>6</v>
      </c>
      <c r="B239" s="29" t="s">
        <v>339</v>
      </c>
      <c r="C239" s="29" t="str">
        <f>Realität!P44</f>
        <v>Brasilien</v>
      </c>
      <c r="D239" s="29" t="str">
        <f>P44</f>
        <v>Schottland</v>
      </c>
      <c r="E239" s="28">
        <f t="shared" si="0"/>
        <v>5</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Senegal</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Algerien</v>
      </c>
      <c r="D253" s="29" t="str">
        <f>W91</f>
        <v>Österreich</v>
      </c>
      <c r="E253" s="28">
        <f t="shared" si="0"/>
        <v>5</v>
      </c>
      <c r="F253" s="2"/>
      <c r="G253" s="2"/>
      <c r="H253" s="2"/>
    </row>
    <row r="254" spans="1:8" ht="15" customHeight="1" x14ac:dyDescent="0.45">
      <c r="A254" s="28">
        <v>21</v>
      </c>
      <c r="B254" s="29" t="s">
        <v>354</v>
      </c>
      <c r="C254" s="29" t="str">
        <f>Realität!AD90</f>
        <v>Portugal</v>
      </c>
      <c r="D254" s="29" t="str">
        <f>AD90</f>
        <v>Portugal</v>
      </c>
      <c r="E254" s="28">
        <f t="shared" si="0"/>
        <v>5</v>
      </c>
      <c r="F254" s="2"/>
      <c r="G254" s="2"/>
      <c r="H254" s="2"/>
    </row>
    <row r="255" spans="1:8" ht="15" customHeight="1" x14ac:dyDescent="0.45">
      <c r="A255" s="28">
        <v>22</v>
      </c>
      <c r="B255" s="29" t="s">
        <v>355</v>
      </c>
      <c r="C255" s="29" t="str">
        <f>Realität!AD91</f>
        <v>DR Kongo</v>
      </c>
      <c r="D255" s="29" t="str">
        <f>AD91</f>
        <v>Kolumbien</v>
      </c>
      <c r="E255" s="28">
        <f t="shared" si="0"/>
        <v>0</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Südafrika</v>
      </c>
      <c r="D258" s="29" t="str">
        <f t="shared" ref="D258:D265" si="1">R112</f>
        <v>Norwegen</v>
      </c>
      <c r="E258" s="28">
        <f t="shared" si="0"/>
        <v>0</v>
      </c>
      <c r="F258" s="2"/>
      <c r="G258" s="2"/>
      <c r="H258" s="2"/>
    </row>
    <row r="259" spans="1:8" ht="15" customHeight="1" x14ac:dyDescent="0.45">
      <c r="A259" s="28">
        <v>26</v>
      </c>
      <c r="B259" s="29" t="s">
        <v>359</v>
      </c>
      <c r="C259" s="29" t="str">
        <f>Realität!R113</f>
        <v>Katar</v>
      </c>
      <c r="D259" s="29" t="str">
        <f t="shared" si="1"/>
        <v>Iran</v>
      </c>
      <c r="E259" s="28">
        <f t="shared" si="0"/>
        <v>5</v>
      </c>
      <c r="F259" s="2"/>
      <c r="G259" s="2"/>
      <c r="H259" s="2"/>
    </row>
    <row r="260" spans="1:8" ht="15" customHeight="1" x14ac:dyDescent="0.45">
      <c r="A260" s="28">
        <v>27</v>
      </c>
      <c r="B260" s="29" t="s">
        <v>360</v>
      </c>
      <c r="C260" s="29" t="str">
        <f>Realität!R114</f>
        <v>Marokko</v>
      </c>
      <c r="D260" s="29" t="str">
        <f t="shared" si="1"/>
        <v>Südkorea</v>
      </c>
      <c r="E260" s="28">
        <f t="shared" si="0"/>
        <v>5</v>
      </c>
      <c r="F260" s="2"/>
      <c r="G260" s="2"/>
      <c r="H260" s="2"/>
    </row>
    <row r="261" spans="1:8" ht="15" customHeight="1" x14ac:dyDescent="0.45">
      <c r="A261" s="28">
        <v>28</v>
      </c>
      <c r="B261" s="29" t="s">
        <v>361</v>
      </c>
      <c r="C261" s="29" t="str">
        <f>Realität!R115</f>
        <v>Iran</v>
      </c>
      <c r="D261" s="29" t="str">
        <f t="shared" si="1"/>
        <v>Ecuador</v>
      </c>
      <c r="E261" s="28">
        <f t="shared" si="0"/>
        <v>0</v>
      </c>
      <c r="F261" s="2"/>
      <c r="G261" s="2"/>
      <c r="H261" s="2"/>
    </row>
    <row r="262" spans="1:8" ht="15" customHeight="1" x14ac:dyDescent="0.45">
      <c r="A262" s="28">
        <v>29</v>
      </c>
      <c r="B262" s="29" t="s">
        <v>362</v>
      </c>
      <c r="C262" s="29" t="str">
        <f>Realität!R116</f>
        <v>Saudi-Arabien</v>
      </c>
      <c r="D262" s="29" t="str">
        <f t="shared" si="1"/>
        <v>Schweden</v>
      </c>
      <c r="E262" s="28">
        <f t="shared" si="0"/>
        <v>0</v>
      </c>
      <c r="F262" s="2"/>
      <c r="G262" s="2"/>
      <c r="H262" s="2"/>
    </row>
    <row r="263" spans="1:8" ht="15" customHeight="1" x14ac:dyDescent="0.45">
      <c r="A263" s="28">
        <v>30</v>
      </c>
      <c r="B263" s="29" t="s">
        <v>363</v>
      </c>
      <c r="C263" s="29" t="str">
        <f>Realität!R117</f>
        <v>Irak</v>
      </c>
      <c r="D263" s="29" t="str">
        <f t="shared" si="1"/>
        <v>Algerien</v>
      </c>
      <c r="E263" s="28">
        <f t="shared" si="0"/>
        <v>5</v>
      </c>
      <c r="F263" s="2"/>
      <c r="G263" s="2"/>
      <c r="H263" s="2"/>
    </row>
    <row r="264" spans="1:8" ht="15" customHeight="1" x14ac:dyDescent="0.45">
      <c r="A264" s="28">
        <v>31</v>
      </c>
      <c r="B264" s="29" t="s">
        <v>364</v>
      </c>
      <c r="C264" s="29" t="str">
        <f>Realität!R118</f>
        <v>Österreich</v>
      </c>
      <c r="D264" s="29" t="str">
        <f t="shared" si="1"/>
        <v>Ghana</v>
      </c>
      <c r="E264" s="28">
        <f t="shared" si="0"/>
        <v>0</v>
      </c>
      <c r="F264" s="2"/>
      <c r="G264" s="2"/>
      <c r="H264" s="2"/>
    </row>
    <row r="265" spans="1:8" ht="15" customHeight="1" x14ac:dyDescent="0.45">
      <c r="A265" s="28">
        <v>32</v>
      </c>
      <c r="B265" s="29" t="s">
        <v>365</v>
      </c>
      <c r="C265" s="29" t="str">
        <f>Realität!R119</f>
        <v>Usbekistan</v>
      </c>
      <c r="D265" s="29" t="str">
        <f t="shared" si="1"/>
        <v>Marokko</v>
      </c>
      <c r="E265" s="28">
        <f t="shared" si="0"/>
        <v>5</v>
      </c>
      <c r="F265" s="2"/>
      <c r="G265" s="2"/>
      <c r="H265" s="2"/>
    </row>
    <row r="266" spans="1:8" ht="15" customHeight="1" x14ac:dyDescent="0.45">
      <c r="A266" s="2"/>
      <c r="B266" s="2"/>
      <c r="C266" s="2"/>
      <c r="D266" s="23" t="s">
        <v>330</v>
      </c>
      <c r="E266" s="24">
        <f>SUM(E234:E265)</f>
        <v>115</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Japan</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Kanada</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Uruguay</v>
      </c>
      <c r="J58" s="80"/>
      <c r="K58" s="4"/>
      <c r="L58" s="4"/>
      <c r="M58" s="4"/>
      <c r="N58" s="4"/>
      <c r="O58" s="4"/>
      <c r="P58" s="80" t="str">
        <f>IF(P57=Q57,"Unentschieden",IF(P57&gt;Q57,P56,Q56))</f>
        <v>Unentschieden</v>
      </c>
      <c r="Q58" s="80"/>
      <c r="R58" s="4"/>
      <c r="S58" s="4"/>
      <c r="T58" s="4"/>
      <c r="U58" s="4"/>
      <c r="V58" s="4"/>
      <c r="W58" s="80" t="str">
        <f>IF(W57=X57,"Unentschieden",IF(W57&gt;X57,W56,X56))</f>
        <v>Österreich</v>
      </c>
      <c r="X58" s="80"/>
      <c r="Y58" s="4"/>
      <c r="Z58" s="4"/>
      <c r="AA58" s="4"/>
      <c r="AB58" s="4"/>
      <c r="AC58" s="4"/>
      <c r="AD58" s="80" t="str">
        <f>IF(AD57=AE57,"Unentschieden",IF(AD57&gt;AE57,AD56,AE56))</f>
        <v>Usbekistan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2</v>
      </c>
      <c r="V98" s="2">
        <f>D92</f>
        <v>2</v>
      </c>
      <c r="W98" s="2">
        <f>E92</f>
        <v>4</v>
      </c>
      <c r="X98" s="2">
        <f>F92</f>
        <v>-2</v>
      </c>
    </row>
    <row r="99" spans="17:24" x14ac:dyDescent="0.45">
      <c r="Q99"/>
      <c r="R99" s="82" t="str">
        <f>I92</f>
        <v>Saudi-Arabien</v>
      </c>
      <c r="S99" s="82"/>
      <c r="T99" s="82"/>
      <c r="U99" s="2">
        <f>J92</f>
        <v>1</v>
      </c>
      <c r="V99" s="2">
        <f>K92</f>
        <v>2</v>
      </c>
      <c r="W99" s="2">
        <f>L92</f>
        <v>6</v>
      </c>
      <c r="X99" s="2">
        <f>M92</f>
        <v>-4</v>
      </c>
    </row>
    <row r="100" spans="17:24" x14ac:dyDescent="0.45">
      <c r="Q100"/>
      <c r="R100" s="82" t="str">
        <f>P92</f>
        <v>Norwegen</v>
      </c>
      <c r="S100" s="82"/>
      <c r="T100" s="82"/>
      <c r="U100" s="2">
        <f>Q92</f>
        <v>2</v>
      </c>
      <c r="V100" s="2">
        <f>R92</f>
        <v>3</v>
      </c>
      <c r="W100" s="2">
        <f>S92</f>
        <v>4</v>
      </c>
      <c r="X100" s="2">
        <f>T92</f>
        <v>-1</v>
      </c>
    </row>
    <row r="101" spans="17:24" x14ac:dyDescent="0.45">
      <c r="Q101"/>
      <c r="R101" s="82" t="str">
        <f>W92</f>
        <v>Österreich</v>
      </c>
      <c r="S101" s="82"/>
      <c r="T101" s="82"/>
      <c r="U101" s="2">
        <f>X92</f>
        <v>4</v>
      </c>
      <c r="V101" s="2">
        <f>Y92</f>
        <v>2</v>
      </c>
      <c r="W101" s="2">
        <f>Z92</f>
        <v>3</v>
      </c>
      <c r="X101" s="2">
        <f>AA92</f>
        <v>-1</v>
      </c>
    </row>
    <row r="102" spans="17:24" x14ac:dyDescent="0.45">
      <c r="Q102"/>
      <c r="R102" s="82" t="str">
        <f>AD92</f>
        <v>Usbekistan</v>
      </c>
      <c r="S102" s="82"/>
      <c r="T102" s="82"/>
      <c r="U102" s="2">
        <f>AE92</f>
        <v>4</v>
      </c>
      <c r="V102" s="2">
        <f>AF92</f>
        <v>3</v>
      </c>
      <c r="W102" s="2">
        <f>AG92</f>
        <v>3</v>
      </c>
      <c r="X102" s="2">
        <f t="shared" ref="X102" si="12">AH92</f>
        <v>0</v>
      </c>
    </row>
    <row r="103" spans="17:24" x14ac:dyDescent="0.45">
      <c r="Q103"/>
      <c r="R103" s="82" t="str">
        <f>AK92</f>
        <v>Panama</v>
      </c>
      <c r="S103" s="82"/>
      <c r="T103" s="82"/>
      <c r="U103" s="2">
        <f>AL92</f>
        <v>1</v>
      </c>
      <c r="V103" s="2">
        <f t="shared" ref="V103:X103" si="13">AM92</f>
        <v>2</v>
      </c>
      <c r="W103" s="2">
        <f t="shared" si="13"/>
        <v>5</v>
      </c>
      <c r="X103" s="2">
        <f t="shared" si="13"/>
        <v>-3</v>
      </c>
    </row>
    <row r="104" spans="17:24" x14ac:dyDescent="0.45">
      <c r="R104" s="82" t="str">
        <f>B45</f>
        <v>Tschechien</v>
      </c>
      <c r="S104" s="82"/>
      <c r="T104" s="82"/>
      <c r="U104" s="2">
        <f>C45</f>
        <v>2</v>
      </c>
      <c r="V104" s="2">
        <f t="shared" ref="V104:X104" si="14">D45</f>
        <v>1</v>
      </c>
      <c r="W104" s="2">
        <f t="shared" si="14"/>
        <v>3</v>
      </c>
      <c r="X104" s="2">
        <f t="shared" si="14"/>
        <v>-2</v>
      </c>
    </row>
    <row r="105" spans="17:24" x14ac:dyDescent="0.45">
      <c r="R105" s="82" t="str">
        <f>I45</f>
        <v>Bosnien-Herz.</v>
      </c>
      <c r="S105" s="82"/>
      <c r="T105" s="82"/>
      <c r="U105" s="2">
        <f>J45</f>
        <v>3</v>
      </c>
      <c r="V105" s="2">
        <f t="shared" ref="V105:X105" si="15">K45</f>
        <v>2</v>
      </c>
      <c r="W105" s="2">
        <f t="shared" si="15"/>
        <v>2</v>
      </c>
      <c r="X105" s="2">
        <f t="shared" si="15"/>
        <v>0</v>
      </c>
    </row>
    <row r="106" spans="17:24" x14ac:dyDescent="0.45">
      <c r="R106" s="82" t="str">
        <f>P45</f>
        <v>Schottland</v>
      </c>
      <c r="S106" s="82"/>
      <c r="T106" s="82"/>
      <c r="U106" s="2">
        <f>Q45</f>
        <v>3</v>
      </c>
      <c r="V106" s="2">
        <f t="shared" ref="V106:X106" si="16">R45</f>
        <v>1</v>
      </c>
      <c r="W106" s="2">
        <f t="shared" si="16"/>
        <v>4</v>
      </c>
      <c r="X106" s="2">
        <f t="shared" si="16"/>
        <v>-3</v>
      </c>
    </row>
    <row r="107" spans="17:24" x14ac:dyDescent="0.45">
      <c r="R107" s="82" t="str">
        <f>W45</f>
        <v>Australien</v>
      </c>
      <c r="S107" s="82"/>
      <c r="T107" s="82"/>
      <c r="U107" s="2">
        <f>X45</f>
        <v>2</v>
      </c>
      <c r="V107" s="2">
        <f t="shared" ref="V107:W107" si="17">Y45</f>
        <v>3</v>
      </c>
      <c r="W107" s="2">
        <f t="shared" si="17"/>
        <v>4</v>
      </c>
      <c r="X107" s="2">
        <f>AA45</f>
        <v>-1</v>
      </c>
    </row>
    <row r="108" spans="17:24" x14ac:dyDescent="0.45">
      <c r="R108" s="82" t="str">
        <f>AD45</f>
        <v>Ecuador</v>
      </c>
      <c r="S108" s="82"/>
      <c r="T108" s="82"/>
      <c r="U108" s="2">
        <f>AE45</f>
        <v>4</v>
      </c>
      <c r="V108" s="2">
        <f t="shared" ref="V108:X108" si="18">AF45</f>
        <v>4</v>
      </c>
      <c r="W108" s="2">
        <f t="shared" si="18"/>
        <v>3</v>
      </c>
      <c r="X108" s="2">
        <f t="shared" si="18"/>
        <v>1</v>
      </c>
    </row>
    <row r="109" spans="17:24" x14ac:dyDescent="0.45">
      <c r="R109" s="82" t="str">
        <f>AK45</f>
        <v>Tunesien</v>
      </c>
      <c r="S109" s="82"/>
      <c r="T109" s="82"/>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15</v>
      </c>
    </row>
    <row r="155" spans="1:23" x14ac:dyDescent="0.45">
      <c r="A155" s="23" t="s">
        <v>103</v>
      </c>
      <c r="B155" s="24">
        <f>SUM(H160:H231)</f>
        <v>29</v>
      </c>
    </row>
    <row r="156" spans="1:23" x14ac:dyDescent="0.45">
      <c r="A156" s="23" t="s">
        <v>104</v>
      </c>
      <c r="B156" s="24">
        <f>SUM(E234:E265)</f>
        <v>125</v>
      </c>
    </row>
    <row r="157" spans="1:23" x14ac:dyDescent="0.45">
      <c r="A157" s="25" t="s">
        <v>105</v>
      </c>
      <c r="B157" s="26">
        <f>B154+B155+B156</f>
        <v>169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29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Paraguay</v>
      </c>
      <c r="E240" s="28">
        <f t="shared" si="20"/>
        <v>0</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Ecuador</v>
      </c>
      <c r="E258" s="28">
        <f t="shared" si="20"/>
        <v>0</v>
      </c>
    </row>
    <row r="259" spans="1:5" x14ac:dyDescent="0.45">
      <c r="A259" s="28">
        <v>26</v>
      </c>
      <c r="B259" s="29" t="s">
        <v>359</v>
      </c>
      <c r="C259" s="29" t="str">
        <f>Realität!R113</f>
        <v>Katar</v>
      </c>
      <c r="D259" s="29" t="str">
        <f t="shared" si="21"/>
        <v>Usbekistan</v>
      </c>
      <c r="E259" s="28">
        <f t="shared" si="20"/>
        <v>5</v>
      </c>
    </row>
    <row r="260" spans="1:5" x14ac:dyDescent="0.45">
      <c r="A260" s="28">
        <v>27</v>
      </c>
      <c r="B260" s="29" t="s">
        <v>360</v>
      </c>
      <c r="C260" s="29" t="str">
        <f>Realität!R114</f>
        <v>Marokko</v>
      </c>
      <c r="D260" s="29" t="str">
        <f t="shared" si="21"/>
        <v>Österreich</v>
      </c>
      <c r="E260" s="28">
        <f t="shared" si="20"/>
        <v>5</v>
      </c>
    </row>
    <row r="261" spans="1:5" x14ac:dyDescent="0.45">
      <c r="A261" s="28">
        <v>28</v>
      </c>
      <c r="B261" s="29" t="s">
        <v>361</v>
      </c>
      <c r="C261" s="29" t="str">
        <f>Realität!R115</f>
        <v>Iran</v>
      </c>
      <c r="D261" s="29" t="str">
        <f t="shared" si="21"/>
        <v>Bosnien-Herz.</v>
      </c>
      <c r="E261" s="28">
        <f t="shared" si="20"/>
        <v>5</v>
      </c>
    </row>
    <row r="262" spans="1:5" x14ac:dyDescent="0.45">
      <c r="A262" s="28">
        <v>29</v>
      </c>
      <c r="B262" s="29" t="s">
        <v>362</v>
      </c>
      <c r="C262" s="29" t="str">
        <f>Realität!R116</f>
        <v>Saudi-Arabien</v>
      </c>
      <c r="D262" s="29" t="str">
        <f t="shared" si="21"/>
        <v>Schottland</v>
      </c>
      <c r="E262" s="28">
        <f t="shared" si="20"/>
        <v>5</v>
      </c>
    </row>
    <row r="263" spans="1:5" x14ac:dyDescent="0.45">
      <c r="A263" s="28">
        <v>30</v>
      </c>
      <c r="B263" s="29" t="s">
        <v>363</v>
      </c>
      <c r="C263" s="29" t="str">
        <f>Realität!R117</f>
        <v>Irak</v>
      </c>
      <c r="D263" s="29" t="str">
        <f t="shared" si="21"/>
        <v>Norwegen</v>
      </c>
      <c r="E263" s="28">
        <f t="shared" si="20"/>
        <v>0</v>
      </c>
    </row>
    <row r="264" spans="1:5" x14ac:dyDescent="0.45">
      <c r="A264" s="28">
        <v>31</v>
      </c>
      <c r="B264" s="29" t="s">
        <v>364</v>
      </c>
      <c r="C264" s="29" t="str">
        <f>Realität!R118</f>
        <v>Österreich</v>
      </c>
      <c r="D264" s="29" t="str">
        <f t="shared" si="21"/>
        <v>Australien</v>
      </c>
      <c r="E264" s="28">
        <f t="shared" si="20"/>
        <v>5</v>
      </c>
    </row>
    <row r="265" spans="1:5" x14ac:dyDescent="0.45">
      <c r="A265" s="28">
        <v>32</v>
      </c>
      <c r="B265" s="29" t="s">
        <v>365</v>
      </c>
      <c r="C265" s="29" t="str">
        <f>Realität!R119</f>
        <v>Usbekistan</v>
      </c>
      <c r="D265" s="29" t="str">
        <f t="shared" si="21"/>
        <v>Iran</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Unentschieden</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Unentschieden</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80" t="str">
        <f>IF(B52=C52,"Unentschieden",IF(B52&gt;C52,B51,C51))</f>
        <v>Ägypten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Unentschieden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80" t="str">
        <f>IF(B79=C79,"Unentschieden",IF(B79&gt;C79,B78,C78))</f>
        <v>Unentschieden</v>
      </c>
      <c r="C80" s="80"/>
      <c r="D80" s="4"/>
      <c r="E80" s="4"/>
      <c r="F80" s="4"/>
      <c r="G80" s="4"/>
      <c r="H80" s="4"/>
      <c r="I80" s="80" t="str">
        <f>IF(I79=J79,"Unentschieden",IF(I79&gt;J79,I78,J78))</f>
        <v>Kap Verde</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Unentschieden</v>
      </c>
      <c r="AL80" s="80"/>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4</v>
      </c>
      <c r="V98" s="2">
        <f>D92</f>
        <v>1</v>
      </c>
      <c r="W98" s="2">
        <f>E92</f>
        <v>2</v>
      </c>
      <c r="X98" s="2">
        <f>F92</f>
        <v>-1</v>
      </c>
    </row>
    <row r="99" spans="17:24" x14ac:dyDescent="0.45">
      <c r="Q99"/>
      <c r="R99" s="82" t="str">
        <f>I92</f>
        <v>Kap Verde</v>
      </c>
      <c r="S99" s="82"/>
      <c r="T99" s="82"/>
      <c r="U99" s="2">
        <f>J92</f>
        <v>3</v>
      </c>
      <c r="V99" s="2">
        <f>K92</f>
        <v>3</v>
      </c>
      <c r="W99" s="2">
        <f>L92</f>
        <v>10</v>
      </c>
      <c r="X99" s="2">
        <f>M92</f>
        <v>-7</v>
      </c>
    </row>
    <row r="100" spans="17:24" x14ac:dyDescent="0.45">
      <c r="Q100"/>
      <c r="R100" s="82" t="str">
        <f>P92</f>
        <v>Senegal</v>
      </c>
      <c r="S100" s="82"/>
      <c r="T100" s="82"/>
      <c r="U100" s="2">
        <f>Q92</f>
        <v>4</v>
      </c>
      <c r="V100" s="2">
        <f>R92</f>
        <v>3</v>
      </c>
      <c r="W100" s="2">
        <f>S92</f>
        <v>3</v>
      </c>
      <c r="X100" s="2">
        <f>T92</f>
        <v>0</v>
      </c>
    </row>
    <row r="101" spans="17:24" x14ac:dyDescent="0.45">
      <c r="Q101"/>
      <c r="R101" s="82" t="str">
        <f>W92</f>
        <v>Österreich</v>
      </c>
      <c r="S101" s="82"/>
      <c r="T101" s="82"/>
      <c r="U101" s="2">
        <f>X92</f>
        <v>4</v>
      </c>
      <c r="V101" s="2">
        <f>Y92</f>
        <v>3</v>
      </c>
      <c r="W101" s="2">
        <f>Z92</f>
        <v>4</v>
      </c>
      <c r="X101" s="2">
        <f>AA92</f>
        <v>-1</v>
      </c>
    </row>
    <row r="102" spans="17:24" x14ac:dyDescent="0.45">
      <c r="Q102"/>
      <c r="R102" s="82" t="str">
        <f>AD92</f>
        <v>Usbekistan</v>
      </c>
      <c r="S102" s="82"/>
      <c r="T102" s="82"/>
      <c r="U102" s="2">
        <f>AE92</f>
        <v>1</v>
      </c>
      <c r="V102" s="2">
        <f>AF92</f>
        <v>2</v>
      </c>
      <c r="W102" s="2">
        <f>AG92</f>
        <v>5</v>
      </c>
      <c r="X102" s="2">
        <f t="shared" ref="X102" si="12">AH92</f>
        <v>-3</v>
      </c>
    </row>
    <row r="103" spans="17:24" x14ac:dyDescent="0.45">
      <c r="Q103"/>
      <c r="R103" s="82" t="str">
        <f>AK92</f>
        <v>Kroatien</v>
      </c>
      <c r="S103" s="82"/>
      <c r="T103" s="82"/>
      <c r="U103" s="2">
        <f>AL92</f>
        <v>4</v>
      </c>
      <c r="V103" s="2">
        <f t="shared" ref="V103:X103" si="13">AM92</f>
        <v>2</v>
      </c>
      <c r="W103" s="2">
        <f t="shared" si="13"/>
        <v>3</v>
      </c>
      <c r="X103" s="2">
        <f t="shared" si="13"/>
        <v>-1</v>
      </c>
    </row>
    <row r="104" spans="17:24" x14ac:dyDescent="0.45">
      <c r="R104" s="82" t="str">
        <f>B45</f>
        <v>Südafrika</v>
      </c>
      <c r="S104" s="82"/>
      <c r="T104" s="82"/>
      <c r="U104" s="2">
        <f>C45</f>
        <v>3</v>
      </c>
      <c r="V104" s="2">
        <f t="shared" ref="V104:X104" si="14">D45</f>
        <v>1</v>
      </c>
      <c r="W104" s="2">
        <f t="shared" si="14"/>
        <v>3</v>
      </c>
      <c r="X104" s="2">
        <f t="shared" si="14"/>
        <v>-2</v>
      </c>
    </row>
    <row r="105" spans="17:24" x14ac:dyDescent="0.45">
      <c r="R105" s="82" t="str">
        <f>I45</f>
        <v>Bosnien-Herz.</v>
      </c>
      <c r="S105" s="82"/>
      <c r="T105" s="82"/>
      <c r="U105" s="2">
        <f>J45</f>
        <v>5</v>
      </c>
      <c r="V105" s="2">
        <f t="shared" ref="V105:X105" si="15">K45</f>
        <v>4</v>
      </c>
      <c r="W105" s="2">
        <f t="shared" si="15"/>
        <v>3</v>
      </c>
      <c r="X105" s="2">
        <f t="shared" si="15"/>
        <v>1</v>
      </c>
    </row>
    <row r="106" spans="17:24" x14ac:dyDescent="0.45">
      <c r="R106" s="82" t="str">
        <f>P45</f>
        <v>Schottland</v>
      </c>
      <c r="S106" s="82"/>
      <c r="T106" s="82"/>
      <c r="U106" s="2">
        <f>Q45</f>
        <v>4</v>
      </c>
      <c r="V106" s="2">
        <f t="shared" ref="V106:X106" si="16">R45</f>
        <v>3</v>
      </c>
      <c r="W106" s="2">
        <f t="shared" si="16"/>
        <v>2</v>
      </c>
      <c r="X106" s="2">
        <f t="shared" si="16"/>
        <v>1</v>
      </c>
    </row>
    <row r="107" spans="17:24" x14ac:dyDescent="0.45">
      <c r="R107" s="82" t="str">
        <f>W45</f>
        <v>Paraguay</v>
      </c>
      <c r="S107" s="82"/>
      <c r="T107" s="82"/>
      <c r="U107" s="2">
        <f>X45</f>
        <v>4</v>
      </c>
      <c r="V107" s="2">
        <f t="shared" ref="V107:W107" si="17">Y45</f>
        <v>4</v>
      </c>
      <c r="W107" s="2">
        <f t="shared" si="17"/>
        <v>4</v>
      </c>
      <c r="X107" s="2">
        <f>AA45</f>
        <v>0</v>
      </c>
    </row>
    <row r="108" spans="17:24" x14ac:dyDescent="0.45">
      <c r="R108" s="82" t="str">
        <f>AD45</f>
        <v>Ecuador</v>
      </c>
      <c r="S108" s="82"/>
      <c r="T108" s="82"/>
      <c r="U108" s="2">
        <f>AE45</f>
        <v>4</v>
      </c>
      <c r="V108" s="2">
        <f t="shared" ref="V108:X108" si="18">AF45</f>
        <v>4</v>
      </c>
      <c r="W108" s="2">
        <f t="shared" si="18"/>
        <v>3</v>
      </c>
      <c r="X108" s="2">
        <f t="shared" si="18"/>
        <v>1</v>
      </c>
    </row>
    <row r="109" spans="17:24" x14ac:dyDescent="0.45">
      <c r="R109" s="82" t="str">
        <f>AK45</f>
        <v>Schweden</v>
      </c>
      <c r="S109" s="82"/>
      <c r="T109" s="82"/>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25</v>
      </c>
    </row>
    <row r="155" spans="1:23" x14ac:dyDescent="0.45">
      <c r="A155" s="23" t="s">
        <v>103</v>
      </c>
      <c r="B155" s="24">
        <f>SUM(H160:H231)</f>
        <v>32</v>
      </c>
    </row>
    <row r="156" spans="1:23" x14ac:dyDescent="0.45">
      <c r="A156" s="23" t="s">
        <v>104</v>
      </c>
      <c r="B156" s="24">
        <f>SUM(E234:E265)</f>
        <v>110</v>
      </c>
    </row>
    <row r="157" spans="1:23" x14ac:dyDescent="0.45">
      <c r="A157" s="25" t="s">
        <v>105</v>
      </c>
      <c r="B157" s="26">
        <f>B154+B155+B156</f>
        <v>167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0</v>
      </c>
    </row>
    <row r="258" spans="1:5" x14ac:dyDescent="0.45">
      <c r="A258" s="28">
        <v>25</v>
      </c>
      <c r="B258" s="29" t="s">
        <v>358</v>
      </c>
      <c r="C258" s="29" t="str">
        <f>Realität!R112</f>
        <v>Südafrika</v>
      </c>
      <c r="D258" s="29" t="str">
        <f t="shared" ref="D258:D265" si="21">R112</f>
        <v>Bosnien-Herz.</v>
      </c>
      <c r="E258" s="28">
        <f t="shared" si="20"/>
        <v>5</v>
      </c>
    </row>
    <row r="259" spans="1:5" x14ac:dyDescent="0.45">
      <c r="A259" s="28">
        <v>26</v>
      </c>
      <c r="B259" s="29" t="s">
        <v>359</v>
      </c>
      <c r="C259" s="29" t="str">
        <f>Realität!R113</f>
        <v>Katar</v>
      </c>
      <c r="D259" s="29" t="str">
        <f t="shared" si="21"/>
        <v>Schweden</v>
      </c>
      <c r="E259" s="28">
        <f t="shared" si="20"/>
        <v>0</v>
      </c>
    </row>
    <row r="260" spans="1:5" x14ac:dyDescent="0.45">
      <c r="A260" s="28">
        <v>27</v>
      </c>
      <c r="B260" s="29" t="s">
        <v>360</v>
      </c>
      <c r="C260" s="29" t="str">
        <f>Realität!R114</f>
        <v>Marokko</v>
      </c>
      <c r="D260" s="29" t="str">
        <f t="shared" si="21"/>
        <v>Ecuador</v>
      </c>
      <c r="E260" s="28">
        <f t="shared" si="20"/>
        <v>0</v>
      </c>
    </row>
    <row r="261" spans="1:5" x14ac:dyDescent="0.45">
      <c r="A261" s="28">
        <v>28</v>
      </c>
      <c r="B261" s="29" t="s">
        <v>361</v>
      </c>
      <c r="C261" s="29" t="str">
        <f>Realität!R115</f>
        <v>Iran</v>
      </c>
      <c r="D261" s="29" t="str">
        <f t="shared" si="21"/>
        <v>Schottland</v>
      </c>
      <c r="E261" s="28">
        <f t="shared" si="20"/>
        <v>5</v>
      </c>
    </row>
    <row r="262" spans="1:5" x14ac:dyDescent="0.45">
      <c r="A262" s="28">
        <v>29</v>
      </c>
      <c r="B262" s="29" t="s">
        <v>362</v>
      </c>
      <c r="C262" s="29" t="str">
        <f>Realität!R116</f>
        <v>Saudi-Arabien</v>
      </c>
      <c r="D262" s="29" t="str">
        <f t="shared" si="21"/>
        <v>Paraguay</v>
      </c>
      <c r="E262" s="28">
        <f t="shared" si="20"/>
        <v>0</v>
      </c>
    </row>
    <row r="263" spans="1:5" x14ac:dyDescent="0.45">
      <c r="A263" s="28">
        <v>30</v>
      </c>
      <c r="B263" s="29" t="s">
        <v>363</v>
      </c>
      <c r="C263" s="29" t="str">
        <f>Realität!R117</f>
        <v>Irak</v>
      </c>
      <c r="D263" s="29" t="str">
        <f t="shared" si="21"/>
        <v>Senegal</v>
      </c>
      <c r="E263" s="28">
        <f t="shared" si="20"/>
        <v>5</v>
      </c>
    </row>
    <row r="264" spans="1:5" x14ac:dyDescent="0.45">
      <c r="A264" s="28">
        <v>31</v>
      </c>
      <c r="B264" s="29" t="s">
        <v>364</v>
      </c>
      <c r="C264" s="29" t="str">
        <f>Realität!R118</f>
        <v>Österreich</v>
      </c>
      <c r="D264" s="29" t="str">
        <f t="shared" si="21"/>
        <v>Österreich</v>
      </c>
      <c r="E264" s="28">
        <f t="shared" si="20"/>
        <v>5</v>
      </c>
    </row>
    <row r="265" spans="1:5" x14ac:dyDescent="0.45">
      <c r="A265" s="28">
        <v>32</v>
      </c>
      <c r="B265" s="29" t="s">
        <v>365</v>
      </c>
      <c r="C265" s="29" t="str">
        <f>Realität!R119</f>
        <v>Usbekistan</v>
      </c>
      <c r="D265" s="29" t="str">
        <f t="shared" si="21"/>
        <v>Kroatien</v>
      </c>
      <c r="E265" s="28">
        <f t="shared" si="20"/>
        <v>5</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Ecuador</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Schweden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Kroatien</v>
      </c>
      <c r="AL53" s="80"/>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Saudi-Arabien</v>
      </c>
      <c r="J58" s="80"/>
      <c r="K58" s="4"/>
      <c r="L58" s="4"/>
      <c r="M58" s="4"/>
      <c r="N58" s="4"/>
      <c r="O58" s="4"/>
      <c r="P58" s="80" t="str">
        <f>IF(P57=Q57,"Unentschieden",IF(P57&gt;Q57,P56,Q56))</f>
        <v>Unentschieden</v>
      </c>
      <c r="Q58" s="80"/>
      <c r="R58" s="4"/>
      <c r="S58" s="4"/>
      <c r="T58" s="4"/>
      <c r="U58" s="4"/>
      <c r="V58" s="4"/>
      <c r="W58" s="80" t="str">
        <f>IF(W57=X57,"Unentschieden",IF(W57&gt;X57,W56,X56))</f>
        <v>Unentschieden</v>
      </c>
      <c r="X58" s="80"/>
      <c r="Y58" s="4"/>
      <c r="Z58" s="4"/>
      <c r="AA58" s="4"/>
      <c r="AB58" s="4"/>
      <c r="AC58" s="4"/>
      <c r="AD58" s="80" t="str">
        <f>IF(AD57=AE57,"Unentschieden",IF(AD57&gt;AE57,AD56,AE56))</f>
        <v>Unentschieden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80" t="str">
        <f>IF(B74=C74,"Unentschieden",IF(B74&gt;C74,B73,C73))</f>
        <v>Unentschieden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Algerien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4</v>
      </c>
      <c r="V98" s="2">
        <f>D92</f>
        <v>5</v>
      </c>
      <c r="W98" s="2">
        <f>E92</f>
        <v>4</v>
      </c>
      <c r="X98" s="2">
        <f>F92</f>
        <v>1</v>
      </c>
    </row>
    <row r="99" spans="17:24" x14ac:dyDescent="0.45">
      <c r="Q99"/>
      <c r="R99" s="82" t="str">
        <f>I92</f>
        <v>Uruguay</v>
      </c>
      <c r="S99" s="82"/>
      <c r="T99" s="82"/>
      <c r="U99" s="2">
        <f>J92</f>
        <v>3</v>
      </c>
      <c r="V99" s="2">
        <f>K92</f>
        <v>4</v>
      </c>
      <c r="W99" s="2">
        <f>L92</f>
        <v>5</v>
      </c>
      <c r="X99" s="2">
        <f>M92</f>
        <v>-1</v>
      </c>
    </row>
    <row r="100" spans="17:24" x14ac:dyDescent="0.45">
      <c r="Q100"/>
      <c r="R100" s="82" t="str">
        <f>P92</f>
        <v>Norwegen</v>
      </c>
      <c r="S100" s="82"/>
      <c r="T100" s="82"/>
      <c r="U100" s="2">
        <f>Q92</f>
        <v>3</v>
      </c>
      <c r="V100" s="2">
        <f>R92</f>
        <v>2</v>
      </c>
      <c r="W100" s="2">
        <f>S92</f>
        <v>2</v>
      </c>
      <c r="X100" s="2">
        <f>T92</f>
        <v>0</v>
      </c>
    </row>
    <row r="101" spans="17:24" x14ac:dyDescent="0.45">
      <c r="Q101"/>
      <c r="R101" s="82" t="str">
        <f>W92</f>
        <v>Österreich</v>
      </c>
      <c r="S101" s="82"/>
      <c r="T101" s="82"/>
      <c r="U101" s="2">
        <f>X92</f>
        <v>2</v>
      </c>
      <c r="V101" s="2">
        <f>Y92</f>
        <v>4</v>
      </c>
      <c r="W101" s="2">
        <f>Z92</f>
        <v>6</v>
      </c>
      <c r="X101" s="2">
        <f>AA92</f>
        <v>-2</v>
      </c>
    </row>
    <row r="102" spans="17:24" x14ac:dyDescent="0.45">
      <c r="Q102"/>
      <c r="R102" s="82" t="str">
        <f>AD92</f>
        <v>Kolumbien</v>
      </c>
      <c r="S102" s="82"/>
      <c r="T102" s="82"/>
      <c r="U102" s="2">
        <f>AE92</f>
        <v>2</v>
      </c>
      <c r="V102" s="2">
        <f>AF92</f>
        <v>4</v>
      </c>
      <c r="W102" s="2">
        <f>AG92</f>
        <v>7</v>
      </c>
      <c r="X102" s="2">
        <f t="shared" ref="X102" si="12">AH92</f>
        <v>-3</v>
      </c>
    </row>
    <row r="103" spans="17:24" x14ac:dyDescent="0.45">
      <c r="Q103"/>
      <c r="R103" s="82" t="str">
        <f>AK92</f>
        <v>England</v>
      </c>
      <c r="S103" s="82"/>
      <c r="T103" s="82"/>
      <c r="U103" s="2">
        <f>AL92</f>
        <v>4</v>
      </c>
      <c r="V103" s="2">
        <f t="shared" ref="V103:X103" si="13">AM92</f>
        <v>5</v>
      </c>
      <c r="W103" s="2">
        <f t="shared" si="13"/>
        <v>4</v>
      </c>
      <c r="X103" s="2">
        <f t="shared" si="13"/>
        <v>1</v>
      </c>
    </row>
    <row r="104" spans="17:24" x14ac:dyDescent="0.45">
      <c r="R104" s="82" t="str">
        <f>B45</f>
        <v>Tschechien</v>
      </c>
      <c r="S104" s="82"/>
      <c r="T104" s="82"/>
      <c r="U104" s="2">
        <f>C45</f>
        <v>5</v>
      </c>
      <c r="V104" s="2">
        <f t="shared" ref="V104:X104" si="14">D45</f>
        <v>4</v>
      </c>
      <c r="W104" s="2">
        <f t="shared" si="14"/>
        <v>3</v>
      </c>
      <c r="X104" s="2">
        <f t="shared" si="14"/>
        <v>1</v>
      </c>
    </row>
    <row r="105" spans="17:24" x14ac:dyDescent="0.45">
      <c r="R105" s="82" t="str">
        <f>I45</f>
        <v>Kanada</v>
      </c>
      <c r="S105" s="82"/>
      <c r="T105" s="82"/>
      <c r="U105" s="2">
        <f>J45</f>
        <v>3</v>
      </c>
      <c r="V105" s="2">
        <f t="shared" ref="V105:X105" si="15">K45</f>
        <v>3</v>
      </c>
      <c r="W105" s="2">
        <f t="shared" si="15"/>
        <v>5</v>
      </c>
      <c r="X105" s="2">
        <f t="shared" si="15"/>
        <v>-2</v>
      </c>
    </row>
    <row r="106" spans="17:24" x14ac:dyDescent="0.45">
      <c r="R106" s="82" t="str">
        <f>P45</f>
        <v>Schottland</v>
      </c>
      <c r="S106" s="82"/>
      <c r="T106" s="82"/>
      <c r="U106" s="2">
        <f>Q45</f>
        <v>4</v>
      </c>
      <c r="V106" s="2">
        <f t="shared" ref="V106:X106" si="16">R45</f>
        <v>3</v>
      </c>
      <c r="W106" s="2">
        <f t="shared" si="16"/>
        <v>3</v>
      </c>
      <c r="X106" s="2">
        <f t="shared" si="16"/>
        <v>0</v>
      </c>
    </row>
    <row r="107" spans="17:24" x14ac:dyDescent="0.45">
      <c r="R107" s="82" t="str">
        <f>W45</f>
        <v>Paraguay</v>
      </c>
      <c r="S107" s="82"/>
      <c r="T107" s="82"/>
      <c r="U107" s="2">
        <f>X45</f>
        <v>3</v>
      </c>
      <c r="V107" s="2">
        <f t="shared" ref="V107:W107" si="17">Y45</f>
        <v>5</v>
      </c>
      <c r="W107" s="2">
        <f t="shared" si="17"/>
        <v>7</v>
      </c>
      <c r="X107" s="2">
        <f>AA45</f>
        <v>-2</v>
      </c>
    </row>
    <row r="108" spans="17:24" x14ac:dyDescent="0.45">
      <c r="R108" s="82" t="str">
        <f>AD45</f>
        <v>Elfenbeinküste</v>
      </c>
      <c r="S108" s="82"/>
      <c r="T108" s="82"/>
      <c r="U108" s="2">
        <f>AE45</f>
        <v>3</v>
      </c>
      <c r="V108" s="2">
        <f t="shared" ref="V108:X108" si="18">AF45</f>
        <v>6</v>
      </c>
      <c r="W108" s="2">
        <f t="shared" si="18"/>
        <v>5</v>
      </c>
      <c r="X108" s="2">
        <f t="shared" si="18"/>
        <v>1</v>
      </c>
    </row>
    <row r="109" spans="17:24" x14ac:dyDescent="0.45">
      <c r="R109" s="82" t="str">
        <f>AK45</f>
        <v>Japan</v>
      </c>
      <c r="S109" s="82"/>
      <c r="T109" s="82"/>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25</v>
      </c>
    </row>
    <row r="155" spans="1:23" x14ac:dyDescent="0.45">
      <c r="A155" s="23" t="s">
        <v>103</v>
      </c>
      <c r="B155" s="24">
        <f>SUM(H160:H231)</f>
        <v>31</v>
      </c>
    </row>
    <row r="156" spans="1:23" x14ac:dyDescent="0.45">
      <c r="A156" s="23" t="s">
        <v>104</v>
      </c>
      <c r="B156" s="24">
        <f>SUM(E234:E265)</f>
        <v>120</v>
      </c>
    </row>
    <row r="157" spans="1:23" x14ac:dyDescent="0.45">
      <c r="A157" s="25" t="s">
        <v>105</v>
      </c>
      <c r="B157" s="26">
        <f>B154+B155+B156</f>
        <v>176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0</v>
      </c>
    </row>
    <row r="246" spans="1:5" x14ac:dyDescent="0.45">
      <c r="A246" s="28">
        <v>13</v>
      </c>
      <c r="B246" s="29" t="s">
        <v>346</v>
      </c>
      <c r="C246" s="29" t="str">
        <f>Realität!B90</f>
        <v>Belgien</v>
      </c>
      <c r="D246" s="29" t="str">
        <f>B90</f>
        <v>Iran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DR Kongo</v>
      </c>
      <c r="E255" s="28">
        <f t="shared" si="20"/>
        <v>5</v>
      </c>
    </row>
    <row r="256" spans="1:5" x14ac:dyDescent="0.45">
      <c r="A256" s="28">
        <v>23</v>
      </c>
      <c r="B256" s="29" t="s">
        <v>356</v>
      </c>
      <c r="C256" s="29" t="str">
        <f>Realität!AK90</f>
        <v>England</v>
      </c>
      <c r="D256" s="29" t="str">
        <f>AK90</f>
        <v>Ghana</v>
      </c>
      <c r="E256" s="28">
        <f t="shared" si="20"/>
        <v>0</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Katar</v>
      </c>
      <c r="D259" s="29" t="str">
        <f t="shared" si="21"/>
        <v>Ägypten</v>
      </c>
      <c r="E259" s="28">
        <f t="shared" si="20"/>
        <v>5</v>
      </c>
    </row>
    <row r="260" spans="1:5" x14ac:dyDescent="0.45">
      <c r="A260" s="28">
        <v>27</v>
      </c>
      <c r="B260" s="29" t="s">
        <v>360</v>
      </c>
      <c r="C260" s="29" t="str">
        <f>Realität!R114</f>
        <v>Marokko</v>
      </c>
      <c r="D260" s="29" t="str">
        <f t="shared" si="21"/>
        <v>England</v>
      </c>
      <c r="E260" s="28">
        <f t="shared" si="20"/>
        <v>5</v>
      </c>
    </row>
    <row r="261" spans="1:5" x14ac:dyDescent="0.45">
      <c r="A261" s="28">
        <v>28</v>
      </c>
      <c r="B261" s="29" t="s">
        <v>361</v>
      </c>
      <c r="C261" s="29" t="str">
        <f>Realität!R115</f>
        <v>Iran</v>
      </c>
      <c r="D261" s="29" t="str">
        <f t="shared" si="21"/>
        <v>Japan</v>
      </c>
      <c r="E261" s="28">
        <f t="shared" si="20"/>
        <v>5</v>
      </c>
    </row>
    <row r="262" spans="1:5" x14ac:dyDescent="0.45">
      <c r="A262" s="28">
        <v>29</v>
      </c>
      <c r="B262" s="29" t="s">
        <v>362</v>
      </c>
      <c r="C262" s="29" t="str">
        <f>Realität!R116</f>
        <v>Saudi-Arabien</v>
      </c>
      <c r="D262" s="29" t="str">
        <f t="shared" si="21"/>
        <v>Schottland</v>
      </c>
      <c r="E262" s="28">
        <f t="shared" si="20"/>
        <v>5</v>
      </c>
    </row>
    <row r="263" spans="1:5" x14ac:dyDescent="0.45">
      <c r="A263" s="28">
        <v>30</v>
      </c>
      <c r="B263" s="29" t="s">
        <v>363</v>
      </c>
      <c r="C263" s="29" t="str">
        <f>Realität!R117</f>
        <v>Irak</v>
      </c>
      <c r="D263" s="29" t="str">
        <f t="shared" si="21"/>
        <v>Elfenbeinküste</v>
      </c>
      <c r="E263" s="28">
        <f t="shared" si="20"/>
        <v>5</v>
      </c>
    </row>
    <row r="264" spans="1:5" x14ac:dyDescent="0.45">
      <c r="A264" s="28">
        <v>31</v>
      </c>
      <c r="B264" s="29" t="s">
        <v>364</v>
      </c>
      <c r="C264" s="29" t="str">
        <f>Realität!R118</f>
        <v>Österreich</v>
      </c>
      <c r="D264" s="29" t="str">
        <f t="shared" si="21"/>
        <v>Norwegen</v>
      </c>
      <c r="E264" s="28">
        <f t="shared" si="20"/>
        <v>0</v>
      </c>
    </row>
    <row r="265" spans="1:5" x14ac:dyDescent="0.45">
      <c r="A265" s="28">
        <v>32</v>
      </c>
      <c r="B265" s="29" t="s">
        <v>365</v>
      </c>
      <c r="C265" s="29" t="str">
        <f>Realität!R119</f>
        <v>Usbekistan</v>
      </c>
      <c r="D265" s="29" t="str">
        <f t="shared" si="21"/>
        <v>Uruguay</v>
      </c>
      <c r="E265" s="28">
        <f t="shared" si="20"/>
        <v>0</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Australien</v>
      </c>
      <c r="X11" s="80"/>
      <c r="Y11" s="4"/>
      <c r="Z11" s="4"/>
      <c r="AA11" s="4"/>
      <c r="AB11" s="4"/>
      <c r="AC11" s="4"/>
      <c r="AD11" s="80" t="str">
        <f>IF(AD10=AE10,"Unentschieden",IF(AD10&gt;AE10,AD9,AE9))</f>
        <v>Ecuador</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USA</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80" t="str">
        <f>IF(B79=C79,"Unentschieden",IF(B79&gt;C79,B78,C78))</f>
        <v>Ägypten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3</v>
      </c>
      <c r="W98" s="2">
        <f>E92</f>
        <v>5</v>
      </c>
      <c r="X98" s="2">
        <f>F92</f>
        <v>-2</v>
      </c>
    </row>
    <row r="99" spans="17:24" x14ac:dyDescent="0.45">
      <c r="Q99"/>
      <c r="R99" s="82" t="str">
        <f>I92</f>
        <v>Saudi-Arabien</v>
      </c>
      <c r="S99" s="82"/>
      <c r="T99" s="82"/>
      <c r="U99" s="2">
        <f>J92</f>
        <v>3</v>
      </c>
      <c r="V99" s="2">
        <f>K92</f>
        <v>2</v>
      </c>
      <c r="W99" s="2">
        <f>L92</f>
        <v>4</v>
      </c>
      <c r="X99" s="2">
        <f>M92</f>
        <v>-2</v>
      </c>
    </row>
    <row r="100" spans="17:24" x14ac:dyDescent="0.45">
      <c r="Q100"/>
      <c r="R100" s="82" t="str">
        <f>P92</f>
        <v>Norwegen</v>
      </c>
      <c r="S100" s="82"/>
      <c r="T100" s="82"/>
      <c r="U100" s="2">
        <f>Q92</f>
        <v>4</v>
      </c>
      <c r="V100" s="2">
        <f>R92</f>
        <v>4</v>
      </c>
      <c r="W100" s="2">
        <f>S92</f>
        <v>4</v>
      </c>
      <c r="X100" s="2">
        <f>T92</f>
        <v>0</v>
      </c>
    </row>
    <row r="101" spans="17:24" x14ac:dyDescent="0.45">
      <c r="Q101"/>
      <c r="R101" s="82" t="str">
        <f>W92</f>
        <v>Algerien</v>
      </c>
      <c r="S101" s="82"/>
      <c r="T101" s="82"/>
      <c r="U101" s="2">
        <f>X92</f>
        <v>3</v>
      </c>
      <c r="V101" s="2">
        <f>Y92</f>
        <v>3</v>
      </c>
      <c r="W101" s="2">
        <f>Z92</f>
        <v>3</v>
      </c>
      <c r="X101" s="2">
        <f>AA92</f>
        <v>0</v>
      </c>
    </row>
    <row r="102" spans="17:24" x14ac:dyDescent="0.45">
      <c r="Q102"/>
      <c r="R102" s="82" t="str">
        <f>AD92</f>
        <v>DR Kongo</v>
      </c>
      <c r="S102" s="82"/>
      <c r="T102" s="82"/>
      <c r="U102" s="2">
        <f>AE92</f>
        <v>3</v>
      </c>
      <c r="V102" s="2">
        <f>AF92</f>
        <v>1</v>
      </c>
      <c r="W102" s="2">
        <f>AG92</f>
        <v>4</v>
      </c>
      <c r="X102" s="2">
        <f t="shared" ref="X102" si="12">AH92</f>
        <v>-3</v>
      </c>
    </row>
    <row r="103" spans="17:24" x14ac:dyDescent="0.45">
      <c r="Q103"/>
      <c r="R103" s="82" t="str">
        <f>AK92</f>
        <v>Panama</v>
      </c>
      <c r="S103" s="82"/>
      <c r="T103" s="82"/>
      <c r="U103" s="2">
        <f>AL92</f>
        <v>3</v>
      </c>
      <c r="V103" s="2">
        <f t="shared" ref="V103:X103" si="13">AM92</f>
        <v>3</v>
      </c>
      <c r="W103" s="2">
        <f t="shared" si="13"/>
        <v>5</v>
      </c>
      <c r="X103" s="2">
        <f t="shared" si="13"/>
        <v>-2</v>
      </c>
    </row>
    <row r="104" spans="17:24" x14ac:dyDescent="0.45">
      <c r="R104" s="82" t="str">
        <f>B45</f>
        <v>Tschechien</v>
      </c>
      <c r="S104" s="82"/>
      <c r="T104" s="82"/>
      <c r="U104" s="2">
        <f>C45</f>
        <v>3</v>
      </c>
      <c r="V104" s="2">
        <f t="shared" ref="V104:X104" si="14">D45</f>
        <v>2</v>
      </c>
      <c r="W104" s="2">
        <f t="shared" si="14"/>
        <v>3</v>
      </c>
      <c r="X104" s="2">
        <f t="shared" si="14"/>
        <v>-1</v>
      </c>
    </row>
    <row r="105" spans="17:24" x14ac:dyDescent="0.45">
      <c r="R105" s="82" t="str">
        <f>I45</f>
        <v>Bosnien-Herz.</v>
      </c>
      <c r="S105" s="82"/>
      <c r="T105" s="82"/>
      <c r="U105" s="2">
        <f>J45</f>
        <v>3</v>
      </c>
      <c r="V105" s="2">
        <f t="shared" ref="V105:X105" si="15">K45</f>
        <v>2</v>
      </c>
      <c r="W105" s="2">
        <f t="shared" si="15"/>
        <v>3</v>
      </c>
      <c r="X105" s="2">
        <f t="shared" si="15"/>
        <v>-1</v>
      </c>
    </row>
    <row r="106" spans="17:24" x14ac:dyDescent="0.45">
      <c r="R106" s="82" t="str">
        <f>P45</f>
        <v>Schottland</v>
      </c>
      <c r="S106" s="82"/>
      <c r="T106" s="82"/>
      <c r="U106" s="2">
        <f>Q45</f>
        <v>3</v>
      </c>
      <c r="V106" s="2">
        <f t="shared" ref="V106:X106" si="16">R45</f>
        <v>2</v>
      </c>
      <c r="W106" s="2">
        <f t="shared" si="16"/>
        <v>5</v>
      </c>
      <c r="X106" s="2">
        <f t="shared" si="16"/>
        <v>-3</v>
      </c>
    </row>
    <row r="107" spans="17:24" x14ac:dyDescent="0.45">
      <c r="R107" s="82" t="str">
        <f>W45</f>
        <v>Türkei</v>
      </c>
      <c r="S107" s="82"/>
      <c r="T107" s="82"/>
      <c r="U107" s="2">
        <f>X45</f>
        <v>3</v>
      </c>
      <c r="V107" s="2">
        <f t="shared" ref="V107:W107" si="17">Y45</f>
        <v>4</v>
      </c>
      <c r="W107" s="2">
        <f t="shared" si="17"/>
        <v>4</v>
      </c>
      <c r="X107" s="2">
        <f>AA45</f>
        <v>0</v>
      </c>
    </row>
    <row r="108" spans="17:24" x14ac:dyDescent="0.45">
      <c r="R108" s="82" t="str">
        <f>AD45</f>
        <v>Elfenbeinküste</v>
      </c>
      <c r="S108" s="82"/>
      <c r="T108" s="82"/>
      <c r="U108" s="2">
        <f>AE45</f>
        <v>3</v>
      </c>
      <c r="V108" s="2">
        <f t="shared" ref="V108:X108" si="18">AF45</f>
        <v>4</v>
      </c>
      <c r="W108" s="2">
        <f t="shared" si="18"/>
        <v>4</v>
      </c>
      <c r="X108" s="2">
        <f t="shared" si="18"/>
        <v>0</v>
      </c>
    </row>
    <row r="109" spans="17:24" x14ac:dyDescent="0.45">
      <c r="R109" s="82" t="str">
        <f>AK45</f>
        <v>Schweden</v>
      </c>
      <c r="S109" s="82"/>
      <c r="T109" s="82"/>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30</v>
      </c>
    </row>
    <row r="155" spans="1:23" x14ac:dyDescent="0.45">
      <c r="A155" s="23" t="s">
        <v>103</v>
      </c>
      <c r="B155" s="24">
        <f>SUM(H160:H231)</f>
        <v>34</v>
      </c>
    </row>
    <row r="156" spans="1:23" x14ac:dyDescent="0.45">
      <c r="A156" s="23" t="s">
        <v>104</v>
      </c>
      <c r="B156" s="24">
        <f>SUM(E234:E265)</f>
        <v>120</v>
      </c>
    </row>
    <row r="157" spans="1:23" x14ac:dyDescent="0.45">
      <c r="A157" s="25" t="s">
        <v>105</v>
      </c>
      <c r="B157" s="26">
        <f>B154+B155+B156</f>
        <v>184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34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Algerien</v>
      </c>
      <c r="D253" s="29" t="str">
        <f>W91</f>
        <v>Argentinien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Norwegen</v>
      </c>
      <c r="E258" s="28">
        <f t="shared" si="20"/>
        <v>0</v>
      </c>
    </row>
    <row r="259" spans="1:5" x14ac:dyDescent="0.45">
      <c r="A259" s="28">
        <v>26</v>
      </c>
      <c r="B259" s="29" t="s">
        <v>359</v>
      </c>
      <c r="C259" s="29" t="str">
        <f>Realität!R113</f>
        <v>Katar</v>
      </c>
      <c r="D259" s="29" t="str">
        <f t="shared" si="21"/>
        <v>Türkei</v>
      </c>
      <c r="E259" s="28">
        <f t="shared" si="20"/>
        <v>0</v>
      </c>
    </row>
    <row r="260" spans="1:5" x14ac:dyDescent="0.45">
      <c r="A260" s="28">
        <v>27</v>
      </c>
      <c r="B260" s="29" t="s">
        <v>360</v>
      </c>
      <c r="C260" s="29" t="str">
        <f>Realität!R114</f>
        <v>Marokko</v>
      </c>
      <c r="D260" s="29" t="str">
        <f t="shared" si="21"/>
        <v>Elfenbeinküste</v>
      </c>
      <c r="E260" s="28">
        <f t="shared" si="20"/>
        <v>5</v>
      </c>
    </row>
    <row r="261" spans="1:5" x14ac:dyDescent="0.45">
      <c r="A261" s="28">
        <v>28</v>
      </c>
      <c r="B261" s="29" t="s">
        <v>361</v>
      </c>
      <c r="C261" s="29" t="str">
        <f>Realität!R115</f>
        <v>Iran</v>
      </c>
      <c r="D261" s="29" t="str">
        <f t="shared" si="21"/>
        <v>Algerien</v>
      </c>
      <c r="E261" s="28">
        <f t="shared" si="20"/>
        <v>5</v>
      </c>
    </row>
    <row r="262" spans="1:5" x14ac:dyDescent="0.45">
      <c r="A262" s="28">
        <v>29</v>
      </c>
      <c r="B262" s="29" t="s">
        <v>362</v>
      </c>
      <c r="C262" s="29" t="str">
        <f>Realität!R116</f>
        <v>Saudi-Arabien</v>
      </c>
      <c r="D262" s="29" t="str">
        <f t="shared" si="21"/>
        <v>Tschechien</v>
      </c>
      <c r="E262" s="28">
        <f t="shared" si="20"/>
        <v>0</v>
      </c>
    </row>
    <row r="263" spans="1:5" x14ac:dyDescent="0.45">
      <c r="A263" s="28">
        <v>30</v>
      </c>
      <c r="B263" s="29" t="s">
        <v>363</v>
      </c>
      <c r="C263" s="29" t="str">
        <f>Realität!R117</f>
        <v>Irak</v>
      </c>
      <c r="D263" s="29" t="str">
        <f t="shared" si="21"/>
        <v>Bosnien-Herz.</v>
      </c>
      <c r="E263" s="28">
        <f t="shared" si="20"/>
        <v>5</v>
      </c>
    </row>
    <row r="264" spans="1:5" x14ac:dyDescent="0.45">
      <c r="A264" s="28">
        <v>31</v>
      </c>
      <c r="B264" s="29" t="s">
        <v>364</v>
      </c>
      <c r="C264" s="29" t="str">
        <f>Realität!R118</f>
        <v>Österreich</v>
      </c>
      <c r="D264" s="29" t="str">
        <f t="shared" si="21"/>
        <v>Iran</v>
      </c>
      <c r="E264" s="28">
        <f t="shared" si="20"/>
        <v>5</v>
      </c>
    </row>
    <row r="265" spans="1:5" x14ac:dyDescent="0.45">
      <c r="A265" s="28">
        <v>32</v>
      </c>
      <c r="B265" s="29" t="s">
        <v>365</v>
      </c>
      <c r="C265" s="29" t="str">
        <f>Realität!R119</f>
        <v>Usbekistan</v>
      </c>
      <c r="D265" s="29" t="str">
        <f t="shared" si="21"/>
        <v>Panama</v>
      </c>
      <c r="E265" s="28">
        <f t="shared" si="20"/>
        <v>0</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Tunesien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USA</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Usbekistan</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4</v>
      </c>
      <c r="W98" s="2">
        <f>E92</f>
        <v>6</v>
      </c>
      <c r="X98" s="2">
        <f>F92</f>
        <v>-2</v>
      </c>
    </row>
    <row r="99" spans="17:24" x14ac:dyDescent="0.45">
      <c r="Q99"/>
      <c r="R99" s="82" t="str">
        <f>I92</f>
        <v>Saudi-Arabien</v>
      </c>
      <c r="S99" s="82"/>
      <c r="T99" s="82"/>
      <c r="U99" s="2">
        <f>J92</f>
        <v>1</v>
      </c>
      <c r="V99" s="2">
        <f>K92</f>
        <v>2</v>
      </c>
      <c r="W99" s="2">
        <f>L92</f>
        <v>6</v>
      </c>
      <c r="X99" s="2">
        <f>M92</f>
        <v>-4</v>
      </c>
    </row>
    <row r="100" spans="17:24" x14ac:dyDescent="0.45">
      <c r="Q100"/>
      <c r="R100" s="82" t="str">
        <f>P92</f>
        <v>Norwegen</v>
      </c>
      <c r="S100" s="82"/>
      <c r="T100" s="82"/>
      <c r="U100" s="2">
        <f>Q92</f>
        <v>3</v>
      </c>
      <c r="V100" s="2">
        <f>R92</f>
        <v>4</v>
      </c>
      <c r="W100" s="2">
        <f>S92</f>
        <v>5</v>
      </c>
      <c r="X100" s="2">
        <f>T92</f>
        <v>-1</v>
      </c>
    </row>
    <row r="101" spans="17:24" x14ac:dyDescent="0.45">
      <c r="Q101"/>
      <c r="R101" s="82" t="str">
        <f>W92</f>
        <v>Algerien</v>
      </c>
      <c r="S101" s="82"/>
      <c r="T101" s="82"/>
      <c r="U101" s="2">
        <f>X92</f>
        <v>4</v>
      </c>
      <c r="V101" s="2">
        <f>Y92</f>
        <v>4</v>
      </c>
      <c r="W101" s="2">
        <f>Z92</f>
        <v>5</v>
      </c>
      <c r="X101" s="2">
        <f>AA92</f>
        <v>-1</v>
      </c>
    </row>
    <row r="102" spans="17:24" x14ac:dyDescent="0.45">
      <c r="Q102"/>
      <c r="R102" s="82" t="str">
        <f>AD92</f>
        <v>Usbekistan</v>
      </c>
      <c r="S102" s="82"/>
      <c r="T102" s="82"/>
      <c r="U102" s="2">
        <f>AE92</f>
        <v>3</v>
      </c>
      <c r="V102" s="2">
        <f>AF92</f>
        <v>1</v>
      </c>
      <c r="W102" s="2">
        <f>AG92</f>
        <v>5</v>
      </c>
      <c r="X102" s="2">
        <f t="shared" ref="X102" si="12">AH92</f>
        <v>-4</v>
      </c>
    </row>
    <row r="103" spans="17:24" x14ac:dyDescent="0.45">
      <c r="Q103"/>
      <c r="R103" s="82" t="str">
        <f>AK92</f>
        <v>Panama</v>
      </c>
      <c r="S103" s="82"/>
      <c r="T103" s="82"/>
      <c r="U103" s="2">
        <f>AL92</f>
        <v>3</v>
      </c>
      <c r="V103" s="2">
        <f t="shared" ref="V103:X103" si="13">AM92</f>
        <v>3</v>
      </c>
      <c r="W103" s="2">
        <f t="shared" si="13"/>
        <v>4</v>
      </c>
      <c r="X103" s="2">
        <f t="shared" si="13"/>
        <v>-1</v>
      </c>
    </row>
    <row r="104" spans="17:24" x14ac:dyDescent="0.45">
      <c r="R104" s="82" t="str">
        <f>B45</f>
        <v>Tschechien</v>
      </c>
      <c r="S104" s="82"/>
      <c r="T104" s="82"/>
      <c r="U104" s="2">
        <f>C45</f>
        <v>3</v>
      </c>
      <c r="V104" s="2">
        <f t="shared" ref="V104:X104" si="14">D45</f>
        <v>3</v>
      </c>
      <c r="W104" s="2">
        <f t="shared" si="14"/>
        <v>4</v>
      </c>
      <c r="X104" s="2">
        <f t="shared" si="14"/>
        <v>-1</v>
      </c>
    </row>
    <row r="105" spans="17:24" x14ac:dyDescent="0.45">
      <c r="R105" s="82" t="str">
        <f>I45</f>
        <v>Katar</v>
      </c>
      <c r="S105" s="82"/>
      <c r="T105" s="82"/>
      <c r="U105" s="2">
        <f>J45</f>
        <v>1</v>
      </c>
      <c r="V105" s="2">
        <f t="shared" ref="V105:X105" si="15">K45</f>
        <v>1</v>
      </c>
      <c r="W105" s="2">
        <f t="shared" si="15"/>
        <v>4</v>
      </c>
      <c r="X105" s="2">
        <f t="shared" si="15"/>
        <v>-3</v>
      </c>
    </row>
    <row r="106" spans="17:24" x14ac:dyDescent="0.45">
      <c r="R106" s="82" t="str">
        <f>P45</f>
        <v>Schottland</v>
      </c>
      <c r="S106" s="82"/>
      <c r="T106" s="82"/>
      <c r="U106" s="2">
        <f>Q45</f>
        <v>3</v>
      </c>
      <c r="V106" s="2">
        <f t="shared" ref="V106:X106" si="16">R45</f>
        <v>2</v>
      </c>
      <c r="W106" s="2">
        <f t="shared" si="16"/>
        <v>6</v>
      </c>
      <c r="X106" s="2">
        <f t="shared" si="16"/>
        <v>-4</v>
      </c>
    </row>
    <row r="107" spans="17:24" x14ac:dyDescent="0.45">
      <c r="R107" s="82" t="str">
        <f>W45</f>
        <v>Australien</v>
      </c>
      <c r="S107" s="82"/>
      <c r="T107" s="82"/>
      <c r="U107" s="2">
        <f>X45</f>
        <v>3</v>
      </c>
      <c r="V107" s="2">
        <f t="shared" ref="V107:W107" si="17">Y45</f>
        <v>2</v>
      </c>
      <c r="W107" s="2">
        <f t="shared" si="17"/>
        <v>5</v>
      </c>
      <c r="X107" s="2">
        <f>AA45</f>
        <v>-3</v>
      </c>
    </row>
    <row r="108" spans="17:24" x14ac:dyDescent="0.45">
      <c r="R108" s="82" t="str">
        <f>AD45</f>
        <v>Ecuador</v>
      </c>
      <c r="S108" s="82"/>
      <c r="T108" s="82"/>
      <c r="U108" s="2">
        <f>AE45</f>
        <v>3</v>
      </c>
      <c r="V108" s="2">
        <f t="shared" ref="V108:X108" si="18">AF45</f>
        <v>4</v>
      </c>
      <c r="W108" s="2">
        <f t="shared" si="18"/>
        <v>5</v>
      </c>
      <c r="X108" s="2">
        <f t="shared" si="18"/>
        <v>-1</v>
      </c>
    </row>
    <row r="109" spans="17:24" x14ac:dyDescent="0.45">
      <c r="R109" s="82" t="str">
        <f>AK45</f>
        <v>Japan</v>
      </c>
      <c r="S109" s="82"/>
      <c r="T109" s="82"/>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25</v>
      </c>
    </row>
    <row r="155" spans="1:23" x14ac:dyDescent="0.45">
      <c r="A155" s="23" t="s">
        <v>103</v>
      </c>
      <c r="B155" s="24">
        <f>SUM(H160:H231)</f>
        <v>34</v>
      </c>
    </row>
    <row r="156" spans="1:23" x14ac:dyDescent="0.45">
      <c r="A156" s="23" t="s">
        <v>104</v>
      </c>
      <c r="B156" s="24">
        <f>SUM(E234:E265)</f>
        <v>115</v>
      </c>
    </row>
    <row r="157" spans="1:23" x14ac:dyDescent="0.45">
      <c r="A157" s="25" t="s">
        <v>105</v>
      </c>
      <c r="B157" s="26">
        <f>B154+B155+B156</f>
        <v>174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Algerien</v>
      </c>
      <c r="E258" s="28">
        <f t="shared" si="20"/>
        <v>5</v>
      </c>
    </row>
    <row r="259" spans="1:5" x14ac:dyDescent="0.45">
      <c r="A259" s="28">
        <v>26</v>
      </c>
      <c r="B259" s="29" t="s">
        <v>359</v>
      </c>
      <c r="C259" s="29" t="str">
        <f>Realität!R113</f>
        <v>Katar</v>
      </c>
      <c r="D259" s="29" t="str">
        <f t="shared" si="21"/>
        <v>Norwegen</v>
      </c>
      <c r="E259" s="28">
        <f t="shared" si="20"/>
        <v>0</v>
      </c>
    </row>
    <row r="260" spans="1:5" x14ac:dyDescent="0.45">
      <c r="A260" s="28">
        <v>27</v>
      </c>
      <c r="B260" s="29" t="s">
        <v>360</v>
      </c>
      <c r="C260" s="29" t="str">
        <f>Realität!R114</f>
        <v>Marokko</v>
      </c>
      <c r="D260" s="29" t="str">
        <f t="shared" si="21"/>
        <v>Ecuador</v>
      </c>
      <c r="E260" s="28">
        <f t="shared" si="20"/>
        <v>0</v>
      </c>
    </row>
    <row r="261" spans="1:5" x14ac:dyDescent="0.45">
      <c r="A261" s="28">
        <v>28</v>
      </c>
      <c r="B261" s="29" t="s">
        <v>361</v>
      </c>
      <c r="C261" s="29" t="str">
        <f>Realität!R115</f>
        <v>Iran</v>
      </c>
      <c r="D261" s="29" t="str">
        <f t="shared" si="21"/>
        <v>Panama</v>
      </c>
      <c r="E261" s="28">
        <f t="shared" si="20"/>
        <v>0</v>
      </c>
    </row>
    <row r="262" spans="1:5" x14ac:dyDescent="0.45">
      <c r="A262" s="28">
        <v>29</v>
      </c>
      <c r="B262" s="29" t="s">
        <v>362</v>
      </c>
      <c r="C262" s="29" t="str">
        <f>Realität!R116</f>
        <v>Saudi-Arabien</v>
      </c>
      <c r="D262" s="29" t="str">
        <f t="shared" si="21"/>
        <v>Tschechien</v>
      </c>
      <c r="E262" s="28">
        <f t="shared" si="20"/>
        <v>0</v>
      </c>
    </row>
    <row r="263" spans="1:5" x14ac:dyDescent="0.45">
      <c r="A263" s="28">
        <v>30</v>
      </c>
      <c r="B263" s="29" t="s">
        <v>363</v>
      </c>
      <c r="C263" s="29" t="str">
        <f>Realität!R117</f>
        <v>Irak</v>
      </c>
      <c r="D263" s="29" t="str">
        <f t="shared" si="21"/>
        <v>Japan</v>
      </c>
      <c r="E263" s="28">
        <f t="shared" si="20"/>
        <v>5</v>
      </c>
    </row>
    <row r="264" spans="1:5" x14ac:dyDescent="0.45">
      <c r="A264" s="28">
        <v>31</v>
      </c>
      <c r="B264" s="29" t="s">
        <v>364</v>
      </c>
      <c r="C264" s="29" t="str">
        <f>Realität!R118</f>
        <v>Österreich</v>
      </c>
      <c r="D264" s="29" t="str">
        <f t="shared" si="21"/>
        <v>Iran</v>
      </c>
      <c r="E264" s="28">
        <f t="shared" si="20"/>
        <v>5</v>
      </c>
    </row>
    <row r="265" spans="1:5" x14ac:dyDescent="0.45">
      <c r="A265" s="28">
        <v>32</v>
      </c>
      <c r="B265" s="29" t="s">
        <v>365</v>
      </c>
      <c r="C265" s="29" t="str">
        <f>Realität!R119</f>
        <v>Usbekistan</v>
      </c>
      <c r="D265" s="29" t="str">
        <f t="shared" si="21"/>
        <v>Australien</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Unentschieden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Unentschieden</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Unentschieden</v>
      </c>
      <c r="Q53" s="80"/>
      <c r="R53" s="4"/>
      <c r="S53" s="4"/>
      <c r="T53" s="4"/>
      <c r="U53" s="4"/>
      <c r="V53" s="4"/>
      <c r="W53" s="80" t="str">
        <f>IF(W52=X52,"Unentschieden",IF(W52&gt;X52,W51,X51))</f>
        <v>Unentschieden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Unentschieden</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Unentschieden</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Unentschieden</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2</v>
      </c>
      <c r="V98" s="2">
        <f>D92</f>
        <v>3</v>
      </c>
      <c r="W98" s="2">
        <f>E92</f>
        <v>4</v>
      </c>
      <c r="X98" s="2">
        <f>F92</f>
        <v>-1</v>
      </c>
    </row>
    <row r="99" spans="17:24" x14ac:dyDescent="0.45">
      <c r="Q99"/>
      <c r="R99" s="82" t="str">
        <f>I92</f>
        <v>Saudi-Arabien</v>
      </c>
      <c r="S99" s="82"/>
      <c r="T99" s="82"/>
      <c r="U99" s="2">
        <f>J92</f>
        <v>2</v>
      </c>
      <c r="V99" s="2">
        <f>K92</f>
        <v>2</v>
      </c>
      <c r="W99" s="2">
        <f>L92</f>
        <v>5</v>
      </c>
      <c r="X99" s="2">
        <f>M92</f>
        <v>-3</v>
      </c>
    </row>
    <row r="100" spans="17:24" x14ac:dyDescent="0.45">
      <c r="Q100"/>
      <c r="R100" s="82" t="str">
        <f>P92</f>
        <v>Norwegen</v>
      </c>
      <c r="S100" s="82"/>
      <c r="T100" s="82"/>
      <c r="U100" s="2">
        <f>Q92</f>
        <v>4</v>
      </c>
      <c r="V100" s="2">
        <f>R92</f>
        <v>4</v>
      </c>
      <c r="W100" s="2">
        <f>S92</f>
        <v>4</v>
      </c>
      <c r="X100" s="2">
        <f>T92</f>
        <v>0</v>
      </c>
    </row>
    <row r="101" spans="17:24" x14ac:dyDescent="0.45">
      <c r="Q101"/>
      <c r="R101" s="82" t="str">
        <f>W92</f>
        <v>Österreich</v>
      </c>
      <c r="S101" s="82"/>
      <c r="T101" s="82"/>
      <c r="U101" s="2">
        <f>X92</f>
        <v>5</v>
      </c>
      <c r="V101" s="2">
        <f>Y92</f>
        <v>4</v>
      </c>
      <c r="W101" s="2">
        <f>Z92</f>
        <v>3</v>
      </c>
      <c r="X101" s="2">
        <f>AA92</f>
        <v>1</v>
      </c>
    </row>
    <row r="102" spans="17:24" x14ac:dyDescent="0.45">
      <c r="Q102"/>
      <c r="R102" s="82" t="str">
        <f>AD92</f>
        <v>DR Kongo</v>
      </c>
      <c r="S102" s="82"/>
      <c r="T102" s="82"/>
      <c r="U102" s="2">
        <f>AE92</f>
        <v>4</v>
      </c>
      <c r="V102" s="2">
        <f>AF92</f>
        <v>3</v>
      </c>
      <c r="W102" s="2">
        <f>AG92</f>
        <v>5</v>
      </c>
      <c r="X102" s="2">
        <f t="shared" ref="X102" si="12">AH92</f>
        <v>-2</v>
      </c>
    </row>
    <row r="103" spans="17:24" x14ac:dyDescent="0.45">
      <c r="Q103"/>
      <c r="R103" s="82" t="str">
        <f>AK92</f>
        <v>Ghana</v>
      </c>
      <c r="S103" s="82"/>
      <c r="T103" s="82"/>
      <c r="U103" s="2">
        <f>AL92</f>
        <v>2</v>
      </c>
      <c r="V103" s="2">
        <f t="shared" ref="V103:X103" si="13">AM92</f>
        <v>3</v>
      </c>
      <c r="W103" s="2">
        <f t="shared" si="13"/>
        <v>4</v>
      </c>
      <c r="X103" s="2">
        <f t="shared" si="13"/>
        <v>-1</v>
      </c>
    </row>
    <row r="104" spans="17:24" x14ac:dyDescent="0.45">
      <c r="R104" s="82" t="str">
        <f>B45</f>
        <v>Tschechien</v>
      </c>
      <c r="S104" s="82"/>
      <c r="T104" s="82"/>
      <c r="U104" s="2">
        <f>C45</f>
        <v>4</v>
      </c>
      <c r="V104" s="2">
        <f t="shared" ref="V104:X104" si="14">D45</f>
        <v>3</v>
      </c>
      <c r="W104" s="2">
        <f t="shared" si="14"/>
        <v>3</v>
      </c>
      <c r="X104" s="2">
        <f t="shared" si="14"/>
        <v>0</v>
      </c>
    </row>
    <row r="105" spans="17:24" x14ac:dyDescent="0.45">
      <c r="R105" s="82" t="str">
        <f>I45</f>
        <v>Bosnien-Herz.</v>
      </c>
      <c r="S105" s="82"/>
      <c r="T105" s="82"/>
      <c r="U105" s="2">
        <f>J45</f>
        <v>4</v>
      </c>
      <c r="V105" s="2">
        <f t="shared" ref="V105:X105" si="15">K45</f>
        <v>6</v>
      </c>
      <c r="W105" s="2">
        <f t="shared" si="15"/>
        <v>5</v>
      </c>
      <c r="X105" s="2">
        <f t="shared" si="15"/>
        <v>1</v>
      </c>
    </row>
    <row r="106" spans="17:24" x14ac:dyDescent="0.45">
      <c r="R106" s="82" t="str">
        <f>P45</f>
        <v>Schottland</v>
      </c>
      <c r="S106" s="82"/>
      <c r="T106" s="82"/>
      <c r="U106" s="2">
        <f>Q45</f>
        <v>4</v>
      </c>
      <c r="V106" s="2">
        <f t="shared" ref="V106:X106" si="16">R45</f>
        <v>5</v>
      </c>
      <c r="W106" s="2">
        <f t="shared" si="16"/>
        <v>4</v>
      </c>
      <c r="X106" s="2">
        <f t="shared" si="16"/>
        <v>1</v>
      </c>
    </row>
    <row r="107" spans="17:24" x14ac:dyDescent="0.45">
      <c r="R107" s="82" t="str">
        <f>W45</f>
        <v>Paraguay</v>
      </c>
      <c r="S107" s="82"/>
      <c r="T107" s="82"/>
      <c r="U107" s="2">
        <f>X45</f>
        <v>2</v>
      </c>
      <c r="V107" s="2">
        <f t="shared" ref="V107:W107" si="17">Y45</f>
        <v>4</v>
      </c>
      <c r="W107" s="2">
        <f t="shared" si="17"/>
        <v>5</v>
      </c>
      <c r="X107" s="2">
        <f>AA45</f>
        <v>-1</v>
      </c>
    </row>
    <row r="108" spans="17:24" x14ac:dyDescent="0.45">
      <c r="R108" s="82" t="str">
        <f>AD45</f>
        <v>Elfenbeinküste</v>
      </c>
      <c r="S108" s="82"/>
      <c r="T108" s="82"/>
      <c r="U108" s="2">
        <f>AE45</f>
        <v>4</v>
      </c>
      <c r="V108" s="2">
        <f t="shared" ref="V108:X108" si="18">AF45</f>
        <v>4</v>
      </c>
      <c r="W108" s="2">
        <f t="shared" si="18"/>
        <v>4</v>
      </c>
      <c r="X108" s="2">
        <f t="shared" si="18"/>
        <v>0</v>
      </c>
    </row>
    <row r="109" spans="17:24" x14ac:dyDescent="0.45">
      <c r="R109" s="82" t="str">
        <f>AK45</f>
        <v>Schweden</v>
      </c>
      <c r="S109" s="82"/>
      <c r="T109" s="82"/>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35</v>
      </c>
    </row>
    <row r="155" spans="1:23" x14ac:dyDescent="0.45">
      <c r="A155" s="23" t="s">
        <v>103</v>
      </c>
      <c r="B155" s="24">
        <f>SUM(H160:H231)</f>
        <v>33</v>
      </c>
    </row>
    <row r="156" spans="1:23" x14ac:dyDescent="0.45">
      <c r="A156" s="23" t="s">
        <v>104</v>
      </c>
      <c r="B156" s="24">
        <f>SUM(E234:E265)</f>
        <v>115</v>
      </c>
    </row>
    <row r="157" spans="1:23" x14ac:dyDescent="0.45">
      <c r="A157" s="25" t="s">
        <v>105</v>
      </c>
      <c r="B157" s="26">
        <f>B154+B155+B156</f>
        <v>183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35</v>
      </c>
      <c r="H232" s="24">
        <f>SUM(H160:H231)</f>
        <v>33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Senegal</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Südafrika</v>
      </c>
      <c r="D258" s="29" t="str">
        <f t="shared" ref="D258:D265" si="21">R112</f>
        <v>Österreich</v>
      </c>
      <c r="E258" s="28">
        <f t="shared" si="20"/>
        <v>5</v>
      </c>
    </row>
    <row r="259" spans="1:5" x14ac:dyDescent="0.45">
      <c r="A259" s="28">
        <v>26</v>
      </c>
      <c r="B259" s="29" t="s">
        <v>359</v>
      </c>
      <c r="C259" s="29" t="str">
        <f>Realität!R113</f>
        <v>Katar</v>
      </c>
      <c r="D259" s="29" t="str">
        <f t="shared" si="21"/>
        <v>Bosnien-Herz.</v>
      </c>
      <c r="E259" s="28">
        <f t="shared" si="20"/>
        <v>5</v>
      </c>
    </row>
    <row r="260" spans="1:5" x14ac:dyDescent="0.45">
      <c r="A260" s="28">
        <v>27</v>
      </c>
      <c r="B260" s="29" t="s">
        <v>360</v>
      </c>
      <c r="C260" s="29" t="str">
        <f>Realität!R114</f>
        <v>Marokko</v>
      </c>
      <c r="D260" s="29" t="str">
        <f t="shared" si="21"/>
        <v>Schottland</v>
      </c>
      <c r="E260" s="28">
        <f t="shared" si="20"/>
        <v>5</v>
      </c>
    </row>
    <row r="261" spans="1:5" x14ac:dyDescent="0.45">
      <c r="A261" s="28">
        <v>28</v>
      </c>
      <c r="B261" s="29" t="s">
        <v>361</v>
      </c>
      <c r="C261" s="29" t="str">
        <f>Realität!R115</f>
        <v>Iran</v>
      </c>
      <c r="D261" s="29" t="str">
        <f t="shared" si="21"/>
        <v>Norwegen</v>
      </c>
      <c r="E261" s="28">
        <f t="shared" si="20"/>
        <v>0</v>
      </c>
    </row>
    <row r="262" spans="1:5" x14ac:dyDescent="0.45">
      <c r="A262" s="28">
        <v>29</v>
      </c>
      <c r="B262" s="29" t="s">
        <v>362</v>
      </c>
      <c r="C262" s="29" t="str">
        <f>Realität!R116</f>
        <v>Saudi-Arabien</v>
      </c>
      <c r="D262" s="29" t="str">
        <f t="shared" si="21"/>
        <v>Elfenbeinküste</v>
      </c>
      <c r="E262" s="28">
        <f t="shared" si="20"/>
        <v>5</v>
      </c>
    </row>
    <row r="263" spans="1:5" x14ac:dyDescent="0.45">
      <c r="A263" s="28">
        <v>30</v>
      </c>
      <c r="B263" s="29" t="s">
        <v>363</v>
      </c>
      <c r="C263" s="29" t="str">
        <f>Realität!R117</f>
        <v>Irak</v>
      </c>
      <c r="D263" s="29" t="str">
        <f t="shared" si="21"/>
        <v>Tschechien</v>
      </c>
      <c r="E263" s="28">
        <f t="shared" si="20"/>
        <v>0</v>
      </c>
    </row>
    <row r="264" spans="1:5" x14ac:dyDescent="0.45">
      <c r="A264" s="28">
        <v>31</v>
      </c>
      <c r="B264" s="29" t="s">
        <v>364</v>
      </c>
      <c r="C264" s="29" t="str">
        <f>Realität!R118</f>
        <v>Österreich</v>
      </c>
      <c r="D264" s="29" t="str">
        <f t="shared" si="21"/>
        <v>DR Kongo</v>
      </c>
      <c r="E264" s="28">
        <f t="shared" si="20"/>
        <v>5</v>
      </c>
    </row>
    <row r="265" spans="1:5" x14ac:dyDescent="0.45">
      <c r="A265" s="28">
        <v>32</v>
      </c>
      <c r="B265" s="29" t="s">
        <v>365</v>
      </c>
      <c r="C265" s="29" t="str">
        <f>Realität!R119</f>
        <v>Usbekistan</v>
      </c>
      <c r="D265" s="29" t="str">
        <f t="shared" si="21"/>
        <v>Schweden</v>
      </c>
      <c r="E265" s="28">
        <f t="shared" si="20"/>
        <v>0</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4" t="s">
        <v>18</v>
      </c>
      <c r="C1" s="94"/>
      <c r="D1" s="58"/>
      <c r="E1" s="59"/>
      <c r="F1" s="59"/>
      <c r="G1" s="58"/>
      <c r="H1" s="94" t="s">
        <v>19</v>
      </c>
      <c r="I1" s="94"/>
      <c r="J1" s="94"/>
      <c r="K1" s="94"/>
      <c r="L1" s="59"/>
      <c r="M1" s="59"/>
      <c r="N1" s="58"/>
      <c r="O1" s="94" t="s">
        <v>20</v>
      </c>
      <c r="P1" s="94"/>
      <c r="Q1" s="94"/>
      <c r="R1" s="94"/>
      <c r="S1" s="59"/>
      <c r="T1" s="59"/>
      <c r="U1" s="58"/>
      <c r="V1" s="94" t="s">
        <v>21</v>
      </c>
      <c r="W1" s="94"/>
      <c r="X1" s="94"/>
      <c r="Y1" s="94"/>
      <c r="Z1" s="59"/>
      <c r="AA1" s="59"/>
      <c r="AB1" s="58"/>
      <c r="AC1" s="94" t="s">
        <v>22</v>
      </c>
      <c r="AD1" s="94"/>
      <c r="AE1" s="94"/>
      <c r="AF1" s="94"/>
      <c r="AG1" s="59"/>
      <c r="AH1" s="59"/>
      <c r="AI1" s="58"/>
      <c r="AJ1" s="94" t="s">
        <v>23</v>
      </c>
      <c r="AK1" s="94"/>
      <c r="AL1" s="94"/>
      <c r="AM1" s="94"/>
      <c r="AN1" s="59"/>
      <c r="AO1" s="59"/>
      <c r="AP1" s="58"/>
    </row>
    <row r="2" spans="1:42" ht="16.5" customHeight="1" x14ac:dyDescent="0.45">
      <c r="A2" s="58"/>
      <c r="B2" s="94"/>
      <c r="C2" s="94"/>
      <c r="D2" s="58"/>
      <c r="E2" s="59"/>
      <c r="F2" s="59"/>
      <c r="G2" s="58"/>
      <c r="H2" s="94"/>
      <c r="I2" s="94"/>
      <c r="J2" s="94"/>
      <c r="K2" s="94"/>
      <c r="L2" s="59"/>
      <c r="M2" s="59"/>
      <c r="N2" s="58"/>
      <c r="O2" s="94"/>
      <c r="P2" s="94"/>
      <c r="Q2" s="94"/>
      <c r="R2" s="94"/>
      <c r="S2" s="59"/>
      <c r="T2" s="59"/>
      <c r="U2" s="58"/>
      <c r="V2" s="94"/>
      <c r="W2" s="94"/>
      <c r="X2" s="94"/>
      <c r="Y2" s="94"/>
      <c r="Z2" s="59"/>
      <c r="AA2" s="59"/>
      <c r="AB2" s="58"/>
      <c r="AC2" s="94"/>
      <c r="AD2" s="94"/>
      <c r="AE2" s="94"/>
      <c r="AF2" s="94"/>
      <c r="AG2" s="59"/>
      <c r="AH2" s="59"/>
      <c r="AI2" s="58"/>
      <c r="AJ2" s="94"/>
      <c r="AK2" s="94"/>
      <c r="AL2" s="94"/>
      <c r="AM2" s="94"/>
      <c r="AN2" s="59"/>
      <c r="AO2" s="59"/>
      <c r="AP2" s="58"/>
    </row>
    <row r="3" spans="1:42" ht="16.5" customHeight="1" x14ac:dyDescent="0.45">
      <c r="A3" s="58"/>
      <c r="B3" s="92" t="s">
        <v>24</v>
      </c>
      <c r="C3" s="92"/>
      <c r="D3" s="58"/>
      <c r="E3" s="58"/>
      <c r="F3" s="58"/>
      <c r="G3" s="58"/>
      <c r="H3" s="58"/>
      <c r="I3" s="92" t="s">
        <v>24</v>
      </c>
      <c r="J3" s="92"/>
      <c r="K3" s="58"/>
      <c r="L3" s="58"/>
      <c r="M3" s="58"/>
      <c r="N3" s="58"/>
      <c r="O3" s="58"/>
      <c r="P3" s="92" t="s">
        <v>24</v>
      </c>
      <c r="Q3" s="92"/>
      <c r="R3" s="58"/>
      <c r="S3" s="58"/>
      <c r="T3" s="58"/>
      <c r="U3" s="58"/>
      <c r="V3" s="58"/>
      <c r="W3" s="92" t="s">
        <v>24</v>
      </c>
      <c r="X3" s="92"/>
      <c r="Y3" s="58"/>
      <c r="Z3" s="58"/>
      <c r="AA3" s="58"/>
      <c r="AB3" s="58"/>
      <c r="AC3" s="58"/>
      <c r="AD3" s="92" t="s">
        <v>24</v>
      </c>
      <c r="AE3" s="92"/>
      <c r="AF3" s="58"/>
      <c r="AG3" s="58"/>
      <c r="AH3" s="58"/>
      <c r="AI3" s="58"/>
      <c r="AJ3" s="58"/>
      <c r="AK3" s="92" t="s">
        <v>24</v>
      </c>
      <c r="AL3" s="92"/>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2" t="s">
        <v>49</v>
      </c>
      <c r="C14" s="92"/>
      <c r="D14" s="58"/>
      <c r="E14" s="58"/>
      <c r="F14" s="58"/>
      <c r="G14" s="58"/>
      <c r="H14" s="58"/>
      <c r="I14" s="92" t="s">
        <v>49</v>
      </c>
      <c r="J14" s="92"/>
      <c r="K14" s="58"/>
      <c r="L14" s="58"/>
      <c r="M14" s="58"/>
      <c r="N14" s="58"/>
      <c r="O14" s="58"/>
      <c r="P14" s="92" t="s">
        <v>49</v>
      </c>
      <c r="Q14" s="92"/>
      <c r="R14" s="58"/>
      <c r="S14" s="58"/>
      <c r="T14" s="58"/>
      <c r="U14" s="58"/>
      <c r="V14" s="58"/>
      <c r="W14" s="92" t="s">
        <v>49</v>
      </c>
      <c r="X14" s="92"/>
      <c r="Y14" s="58"/>
      <c r="Z14" s="58"/>
      <c r="AA14" s="58"/>
      <c r="AB14" s="58"/>
      <c r="AC14" s="58"/>
      <c r="AD14" s="92" t="s">
        <v>49</v>
      </c>
      <c r="AE14" s="92"/>
      <c r="AF14" s="58"/>
      <c r="AG14" s="58"/>
      <c r="AH14" s="58"/>
      <c r="AI14" s="58"/>
      <c r="AJ14" s="58"/>
      <c r="AK14" s="92" t="s">
        <v>49</v>
      </c>
      <c r="AL14" s="92"/>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2" t="s">
        <v>50</v>
      </c>
      <c r="C25" s="92"/>
      <c r="D25" s="58"/>
      <c r="E25" s="58"/>
      <c r="F25" s="58"/>
      <c r="G25" s="58"/>
      <c r="H25" s="58"/>
      <c r="I25" s="92" t="s">
        <v>50</v>
      </c>
      <c r="J25" s="92"/>
      <c r="K25" s="58"/>
      <c r="L25" s="58"/>
      <c r="M25" s="58"/>
      <c r="N25" s="58"/>
      <c r="O25" s="58"/>
      <c r="P25" s="92" t="s">
        <v>50</v>
      </c>
      <c r="Q25" s="92"/>
      <c r="R25" s="58"/>
      <c r="S25" s="58"/>
      <c r="T25" s="58"/>
      <c r="U25" s="58"/>
      <c r="V25" s="58"/>
      <c r="W25" s="92" t="s">
        <v>50</v>
      </c>
      <c r="X25" s="92"/>
      <c r="Y25" s="58"/>
      <c r="Z25" s="58"/>
      <c r="AA25" s="58"/>
      <c r="AB25" s="58"/>
      <c r="AC25" s="58"/>
      <c r="AD25" s="92" t="s">
        <v>50</v>
      </c>
      <c r="AE25" s="92"/>
      <c r="AF25" s="58"/>
      <c r="AG25" s="58"/>
      <c r="AH25" s="58"/>
      <c r="AI25" s="58"/>
      <c r="AJ25" s="58"/>
      <c r="AK25" s="92" t="s">
        <v>50</v>
      </c>
      <c r="AL25" s="92"/>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2" t="s">
        <v>56</v>
      </c>
      <c r="C42" s="92"/>
      <c r="D42" s="61"/>
      <c r="E42" s="61"/>
      <c r="F42" s="61"/>
      <c r="G42" s="58"/>
      <c r="H42" s="58"/>
      <c r="I42" s="92" t="s">
        <v>56</v>
      </c>
      <c r="J42" s="92"/>
      <c r="K42" s="61"/>
      <c r="L42" s="61"/>
      <c r="M42" s="61"/>
      <c r="N42" s="58"/>
      <c r="O42" s="58"/>
      <c r="P42" s="92" t="s">
        <v>56</v>
      </c>
      <c r="Q42" s="92"/>
      <c r="U42" s="58"/>
      <c r="V42" s="58"/>
      <c r="W42" s="92" t="s">
        <v>56</v>
      </c>
      <c r="X42" s="92"/>
      <c r="AB42" s="58"/>
      <c r="AC42" s="58"/>
      <c r="AD42" s="92" t="s">
        <v>56</v>
      </c>
      <c r="AE42" s="92"/>
      <c r="AI42" s="58"/>
      <c r="AJ42" s="58"/>
      <c r="AK42" s="92" t="s">
        <v>56</v>
      </c>
      <c r="AL42" s="92"/>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4" t="s">
        <v>57</v>
      </c>
      <c r="B48" s="94"/>
      <c r="C48" s="94"/>
      <c r="D48" s="94"/>
      <c r="E48" s="59"/>
      <c r="F48" s="59"/>
      <c r="G48" s="58"/>
      <c r="H48" s="94" t="s">
        <v>58</v>
      </c>
      <c r="I48" s="94"/>
      <c r="J48" s="94"/>
      <c r="K48" s="94"/>
      <c r="L48" s="59"/>
      <c r="M48" s="59"/>
      <c r="N48" s="58"/>
      <c r="O48" s="94" t="s">
        <v>59</v>
      </c>
      <c r="P48" s="94"/>
      <c r="Q48" s="94"/>
      <c r="R48" s="94"/>
      <c r="S48" s="59"/>
      <c r="T48" s="59"/>
      <c r="U48" s="58"/>
      <c r="V48" s="94" t="s">
        <v>60</v>
      </c>
      <c r="W48" s="94"/>
      <c r="X48" s="94"/>
      <c r="Y48" s="94"/>
      <c r="Z48" s="59"/>
      <c r="AA48" s="59"/>
      <c r="AB48" s="58"/>
      <c r="AC48" s="94" t="s">
        <v>61</v>
      </c>
      <c r="AD48" s="94"/>
      <c r="AE48" s="94"/>
      <c r="AF48" s="94"/>
      <c r="AG48" s="59"/>
      <c r="AH48" s="59"/>
      <c r="AI48" s="58"/>
      <c r="AJ48" s="94" t="s">
        <v>62</v>
      </c>
      <c r="AK48" s="94"/>
      <c r="AL48" s="94"/>
      <c r="AM48" s="94"/>
      <c r="AN48" s="59"/>
      <c r="AO48" s="59"/>
      <c r="AP48" s="58"/>
    </row>
    <row r="49" spans="1:42" ht="17.25" customHeight="1" x14ac:dyDescent="0.45">
      <c r="A49" s="94"/>
      <c r="B49" s="94"/>
      <c r="C49" s="94"/>
      <c r="D49" s="94"/>
      <c r="E49" s="59"/>
      <c r="F49" s="59"/>
      <c r="G49" s="58"/>
      <c r="H49" s="94"/>
      <c r="I49" s="94"/>
      <c r="J49" s="94"/>
      <c r="K49" s="94"/>
      <c r="L49" s="59"/>
      <c r="M49" s="59"/>
      <c r="N49" s="58"/>
      <c r="O49" s="94"/>
      <c r="P49" s="94"/>
      <c r="Q49" s="94"/>
      <c r="R49" s="94"/>
      <c r="S49" s="59"/>
      <c r="T49" s="59"/>
      <c r="U49" s="58"/>
      <c r="V49" s="94"/>
      <c r="W49" s="94"/>
      <c r="X49" s="94"/>
      <c r="Y49" s="94"/>
      <c r="Z49" s="59"/>
      <c r="AA49" s="59"/>
      <c r="AB49" s="58"/>
      <c r="AC49" s="94"/>
      <c r="AD49" s="94"/>
      <c r="AE49" s="94"/>
      <c r="AF49" s="94"/>
      <c r="AG49" s="59"/>
      <c r="AH49" s="59"/>
      <c r="AI49" s="58"/>
      <c r="AJ49" s="94"/>
      <c r="AK49" s="94"/>
      <c r="AL49" s="94"/>
      <c r="AM49" s="94"/>
      <c r="AN49" s="59"/>
      <c r="AO49" s="59"/>
      <c r="AP49" s="58"/>
    </row>
    <row r="50" spans="1:42" ht="16.5" customHeight="1" x14ac:dyDescent="0.45">
      <c r="A50" s="58"/>
      <c r="B50" s="92" t="s">
        <v>24</v>
      </c>
      <c r="C50" s="92"/>
      <c r="D50" s="58"/>
      <c r="E50" s="58"/>
      <c r="F50" s="58"/>
      <c r="G50" s="58"/>
      <c r="H50" s="58"/>
      <c r="I50" s="92" t="s">
        <v>24</v>
      </c>
      <c r="J50" s="92"/>
      <c r="K50" s="58"/>
      <c r="L50" s="58"/>
      <c r="M50" s="58"/>
      <c r="N50" s="58"/>
      <c r="O50" s="58"/>
      <c r="P50" s="92" t="s">
        <v>24</v>
      </c>
      <c r="Q50" s="92"/>
      <c r="R50" s="58"/>
      <c r="S50" s="58"/>
      <c r="T50" s="58"/>
      <c r="U50" s="58"/>
      <c r="V50" s="58"/>
      <c r="W50" s="92" t="s">
        <v>24</v>
      </c>
      <c r="X50" s="92"/>
      <c r="Y50" s="58"/>
      <c r="Z50" s="58"/>
      <c r="AA50" s="58"/>
      <c r="AB50" s="58"/>
      <c r="AC50" s="58"/>
      <c r="AD50" s="92" t="s">
        <v>24</v>
      </c>
      <c r="AE50" s="92"/>
      <c r="AF50" s="58"/>
      <c r="AG50" s="58"/>
      <c r="AH50" s="58"/>
      <c r="AI50" s="58"/>
      <c r="AJ50" s="58"/>
      <c r="AK50" s="92" t="s">
        <v>24</v>
      </c>
      <c r="AL50" s="92"/>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2" t="s">
        <v>49</v>
      </c>
      <c r="C61" s="92"/>
      <c r="D61" s="58"/>
      <c r="E61" s="58"/>
      <c r="F61" s="58"/>
      <c r="G61" s="58"/>
      <c r="H61" s="58"/>
      <c r="I61" s="92" t="s">
        <v>49</v>
      </c>
      <c r="J61" s="92"/>
      <c r="K61" s="58"/>
      <c r="L61" s="58"/>
      <c r="M61" s="58"/>
      <c r="N61" s="58"/>
      <c r="O61" s="58"/>
      <c r="P61" s="92" t="s">
        <v>49</v>
      </c>
      <c r="Q61" s="92"/>
      <c r="R61" s="58"/>
      <c r="S61" s="58"/>
      <c r="T61" s="58"/>
      <c r="U61" s="58"/>
      <c r="V61" s="58"/>
      <c r="W61" s="92" t="s">
        <v>49</v>
      </c>
      <c r="X61" s="92"/>
      <c r="Y61" s="58"/>
      <c r="Z61" s="58"/>
      <c r="AA61" s="58"/>
      <c r="AB61" s="58"/>
      <c r="AC61" s="58"/>
      <c r="AD61" s="92" t="s">
        <v>49</v>
      </c>
      <c r="AE61" s="92"/>
      <c r="AF61" s="58"/>
      <c r="AG61" s="58"/>
      <c r="AH61" s="58"/>
      <c r="AI61" s="58"/>
      <c r="AJ61" s="58"/>
      <c r="AK61" s="92" t="s">
        <v>49</v>
      </c>
      <c r="AL61" s="92"/>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2" t="s">
        <v>50</v>
      </c>
      <c r="C72" s="92"/>
      <c r="D72" s="58"/>
      <c r="E72" s="58"/>
      <c r="F72" s="58"/>
      <c r="G72" s="58"/>
      <c r="H72" s="58"/>
      <c r="I72" s="92" t="s">
        <v>50</v>
      </c>
      <c r="J72" s="92"/>
      <c r="K72" s="58"/>
      <c r="L72" s="58"/>
      <c r="M72" s="58"/>
      <c r="N72" s="58"/>
      <c r="O72" s="58"/>
      <c r="P72" s="92" t="s">
        <v>50</v>
      </c>
      <c r="Q72" s="92"/>
      <c r="R72" s="58"/>
      <c r="S72" s="58"/>
      <c r="T72" s="58"/>
      <c r="U72" s="58"/>
      <c r="V72" s="58"/>
      <c r="W72" s="92" t="s">
        <v>50</v>
      </c>
      <c r="X72" s="92"/>
      <c r="Y72" s="58"/>
      <c r="Z72" s="58"/>
      <c r="AA72" s="58"/>
      <c r="AB72" s="58"/>
      <c r="AC72" s="58"/>
      <c r="AD72" s="92" t="s">
        <v>50</v>
      </c>
      <c r="AE72" s="92"/>
      <c r="AF72" s="58"/>
      <c r="AG72" s="58"/>
      <c r="AH72" s="58"/>
      <c r="AI72" s="58"/>
      <c r="AJ72" s="58"/>
      <c r="AK72" s="92" t="s">
        <v>50</v>
      </c>
      <c r="AL72" s="92"/>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2" t="s">
        <v>56</v>
      </c>
      <c r="C89" s="92"/>
      <c r="G89" s="58"/>
      <c r="H89" s="58"/>
      <c r="I89" s="92" t="s">
        <v>56</v>
      </c>
      <c r="J89" s="92"/>
      <c r="K89" s="61"/>
      <c r="L89" s="61"/>
      <c r="M89" s="61"/>
      <c r="N89" s="58"/>
      <c r="O89" s="58"/>
      <c r="P89" s="92" t="s">
        <v>56</v>
      </c>
      <c r="Q89" s="92"/>
      <c r="R89" s="61"/>
      <c r="S89" s="61"/>
      <c r="T89" s="61"/>
      <c r="U89" s="58"/>
      <c r="V89" s="58"/>
      <c r="W89" s="92" t="s">
        <v>56</v>
      </c>
      <c r="X89" s="92"/>
      <c r="Y89" s="61"/>
      <c r="Z89" s="61"/>
      <c r="AA89" s="61"/>
      <c r="AB89" s="58"/>
      <c r="AC89" s="58"/>
      <c r="AD89" s="92" t="s">
        <v>56</v>
      </c>
      <c r="AE89" s="92"/>
      <c r="AI89" s="58"/>
      <c r="AJ89" s="58"/>
      <c r="AK89" s="92" t="s">
        <v>56</v>
      </c>
      <c r="AL89" s="92"/>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1" t="s">
        <v>51</v>
      </c>
      <c r="S97" s="91"/>
      <c r="T97" s="91"/>
      <c r="U97" s="60" t="s">
        <v>52</v>
      </c>
      <c r="V97" s="60" t="s">
        <v>88</v>
      </c>
      <c r="W97" s="60" t="s">
        <v>89</v>
      </c>
      <c r="X97" s="60" t="s">
        <v>90</v>
      </c>
    </row>
    <row r="98" spans="17:24" ht="16.5" customHeight="1" x14ac:dyDescent="0.45">
      <c r="R98" s="91" t="str">
        <f>B92</f>
        <v>Iran</v>
      </c>
      <c r="S98" s="91"/>
      <c r="T98" s="91"/>
      <c r="U98" s="60">
        <f>C92</f>
        <v>4</v>
      </c>
      <c r="V98" s="60">
        <f>D92</f>
        <v>2</v>
      </c>
      <c r="W98" s="60">
        <f>E92</f>
        <v>3</v>
      </c>
      <c r="X98" s="60">
        <f>F92</f>
        <v>-1</v>
      </c>
    </row>
    <row r="99" spans="17:24" ht="16.5" customHeight="1" x14ac:dyDescent="0.45">
      <c r="R99" s="91" t="str">
        <f>I92</f>
        <v>Kap Verde</v>
      </c>
      <c r="S99" s="91"/>
      <c r="T99" s="91"/>
      <c r="U99" s="60">
        <f>J92</f>
        <v>1</v>
      </c>
      <c r="V99" s="60">
        <f>K92</f>
        <v>1</v>
      </c>
      <c r="W99" s="60">
        <f>L92</f>
        <v>6</v>
      </c>
      <c r="X99" s="60">
        <f>M92</f>
        <v>-5</v>
      </c>
    </row>
    <row r="100" spans="17:24" ht="16.5" customHeight="1" x14ac:dyDescent="0.45">
      <c r="R100" s="91" t="str">
        <f>P92</f>
        <v>Senegal</v>
      </c>
      <c r="S100" s="91"/>
      <c r="T100" s="91"/>
      <c r="U100" s="60">
        <f>Q92</f>
        <v>3</v>
      </c>
      <c r="V100" s="60">
        <f>R92</f>
        <v>4</v>
      </c>
      <c r="W100" s="60">
        <f>S92</f>
        <v>4</v>
      </c>
      <c r="X100" s="60">
        <f>T92</f>
        <v>0</v>
      </c>
    </row>
    <row r="101" spans="17:24" ht="16.5" customHeight="1" x14ac:dyDescent="0.45">
      <c r="R101" s="91" t="str">
        <f>W92</f>
        <v>Algerien</v>
      </c>
      <c r="S101" s="91"/>
      <c r="T101" s="91"/>
      <c r="U101" s="60">
        <f>X92</f>
        <v>4</v>
      </c>
      <c r="V101" s="60">
        <f>Y92</f>
        <v>2</v>
      </c>
      <c r="W101" s="60">
        <f>Z92</f>
        <v>3</v>
      </c>
      <c r="X101" s="60">
        <f>AA92</f>
        <v>-1</v>
      </c>
    </row>
    <row r="102" spans="17:24" ht="16.5" customHeight="1" x14ac:dyDescent="0.45">
      <c r="R102" s="91" t="str">
        <f>AD92</f>
        <v>Usbekistan</v>
      </c>
      <c r="S102" s="91"/>
      <c r="T102" s="91"/>
      <c r="U102" s="60">
        <f>AE92</f>
        <v>1</v>
      </c>
      <c r="V102" s="60">
        <f>AF92</f>
        <v>1</v>
      </c>
      <c r="W102" s="60">
        <f>AG92</f>
        <v>5</v>
      </c>
      <c r="X102" s="60">
        <f>AH92</f>
        <v>-4</v>
      </c>
    </row>
    <row r="103" spans="17:24" ht="16.5" customHeight="1" x14ac:dyDescent="0.45">
      <c r="R103" s="91" t="str">
        <f>AK92</f>
        <v>Ghana</v>
      </c>
      <c r="S103" s="91"/>
      <c r="T103" s="91"/>
      <c r="U103" s="60">
        <f>AL92</f>
        <v>3</v>
      </c>
      <c r="V103" s="60">
        <f>AM92</f>
        <v>1</v>
      </c>
      <c r="W103" s="60">
        <f>AN92</f>
        <v>4</v>
      </c>
      <c r="X103" s="60">
        <f>AO92</f>
        <v>-3</v>
      </c>
    </row>
    <row r="104" spans="17:24" ht="16.5" customHeight="1" x14ac:dyDescent="0.45">
      <c r="R104" s="91" t="str">
        <f>B45</f>
        <v>Tschechien</v>
      </c>
      <c r="S104" s="91"/>
      <c r="T104" s="91"/>
      <c r="U104" s="60">
        <f>C45</f>
        <v>4</v>
      </c>
      <c r="V104" s="60">
        <f>D45</f>
        <v>4</v>
      </c>
      <c r="W104" s="60">
        <f>E45</f>
        <v>4</v>
      </c>
      <c r="X104" s="60">
        <f>F45</f>
        <v>0</v>
      </c>
    </row>
    <row r="105" spans="17:24" ht="16.5" customHeight="1" x14ac:dyDescent="0.45">
      <c r="R105" s="91" t="str">
        <f>I45</f>
        <v>Bosnien-Herz.</v>
      </c>
      <c r="S105" s="91"/>
      <c r="T105" s="91"/>
      <c r="U105" s="60">
        <f>J45</f>
        <v>3</v>
      </c>
      <c r="V105" s="60">
        <f>K45</f>
        <v>4</v>
      </c>
      <c r="W105" s="60">
        <f>L45</f>
        <v>5</v>
      </c>
      <c r="X105" s="60">
        <f>M45</f>
        <v>-1</v>
      </c>
    </row>
    <row r="106" spans="17:24" ht="16.5" customHeight="1" x14ac:dyDescent="0.45">
      <c r="R106" s="91" t="str">
        <f>P45</f>
        <v>Schottland</v>
      </c>
      <c r="S106" s="91"/>
      <c r="T106" s="91"/>
      <c r="U106" s="60">
        <f>Q45</f>
        <v>3</v>
      </c>
      <c r="V106" s="60">
        <f>R45</f>
        <v>1</v>
      </c>
      <c r="W106" s="60">
        <f>S45</f>
        <v>4</v>
      </c>
      <c r="X106" s="60">
        <f>T45</f>
        <v>-3</v>
      </c>
    </row>
    <row r="107" spans="17:24" ht="16.5" customHeight="1" x14ac:dyDescent="0.45">
      <c r="R107" s="91" t="str">
        <f>W45</f>
        <v>Paraguay</v>
      </c>
      <c r="S107" s="91"/>
      <c r="T107" s="91"/>
      <c r="U107" s="60">
        <f>X45</f>
        <v>4</v>
      </c>
      <c r="V107" s="60">
        <f>Y45</f>
        <v>2</v>
      </c>
      <c r="W107" s="60">
        <f>Z45</f>
        <v>3</v>
      </c>
      <c r="X107" s="60">
        <f>AA45</f>
        <v>-1</v>
      </c>
    </row>
    <row r="108" spans="17:24" ht="16.5" customHeight="1" x14ac:dyDescent="0.45">
      <c r="R108" s="91" t="str">
        <f>AD45</f>
        <v>Ecuador</v>
      </c>
      <c r="S108" s="91"/>
      <c r="T108" s="91"/>
      <c r="U108" s="60">
        <f>AE45</f>
        <v>4</v>
      </c>
      <c r="V108" s="60">
        <f>AF45</f>
        <v>3</v>
      </c>
      <c r="W108" s="60">
        <f>AG45</f>
        <v>2</v>
      </c>
      <c r="X108" s="60">
        <f>AH45</f>
        <v>1</v>
      </c>
    </row>
    <row r="109" spans="17:24" ht="16.5" customHeight="1" x14ac:dyDescent="0.45">
      <c r="R109" s="91" t="str">
        <f>AK45</f>
        <v>Schweden</v>
      </c>
      <c r="S109" s="91"/>
      <c r="T109" s="91"/>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5" t="s">
        <v>101</v>
      </c>
      <c r="B152" s="83"/>
      <c r="C152" s="83"/>
      <c r="D152" s="83"/>
      <c r="E152" s="83"/>
      <c r="F152" s="83"/>
      <c r="G152" s="83"/>
      <c r="H152" s="83"/>
    </row>
    <row r="153" spans="1:23" x14ac:dyDescent="0.45">
      <c r="A153" s="2"/>
      <c r="B153" s="2"/>
      <c r="C153" s="2"/>
      <c r="D153" s="2"/>
      <c r="E153" s="2"/>
      <c r="F153" s="2"/>
      <c r="G153" s="2"/>
      <c r="H153" s="2"/>
    </row>
    <row r="154" spans="1:23" x14ac:dyDescent="0.45">
      <c r="A154" s="23" t="s">
        <v>102</v>
      </c>
      <c r="B154" s="24">
        <f>SUM(G160:G231)</f>
        <v>20</v>
      </c>
      <c r="C154" s="2"/>
      <c r="D154" s="2"/>
      <c r="E154" s="2"/>
      <c r="F154" s="2"/>
      <c r="G154" s="2"/>
      <c r="H154" s="2"/>
    </row>
    <row r="155" spans="1:23" x14ac:dyDescent="0.45">
      <c r="A155" s="23" t="s">
        <v>103</v>
      </c>
      <c r="B155" s="24">
        <f>SUM(H160:H231)</f>
        <v>32</v>
      </c>
      <c r="C155" s="2"/>
      <c r="D155" s="2"/>
      <c r="E155" s="2"/>
      <c r="F155" s="2"/>
      <c r="G155" s="2"/>
      <c r="H155" s="2"/>
    </row>
    <row r="156" spans="1:23" x14ac:dyDescent="0.45">
      <c r="A156" s="23" t="s">
        <v>104</v>
      </c>
      <c r="B156" s="24">
        <f>SUM(E234:E265)</f>
        <v>115</v>
      </c>
      <c r="C156" s="2"/>
      <c r="D156" s="2"/>
      <c r="E156" s="2"/>
      <c r="F156" s="2"/>
      <c r="G156" s="2"/>
      <c r="H156" s="2"/>
    </row>
    <row r="157" spans="1:23" x14ac:dyDescent="0.45">
      <c r="A157" s="25" t="s">
        <v>105</v>
      </c>
      <c r="B157" s="26">
        <f>B154+B155+B156</f>
        <v>167</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20</v>
      </c>
      <c r="H232" s="24">
        <f>SUM(H160:H231)</f>
        <v>32</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Schottland</v>
      </c>
      <c r="D238" s="29" t="str">
        <f>P43</f>
        <v>Brasilien</v>
      </c>
      <c r="E238" s="28">
        <f t="shared" si="0"/>
        <v>5</v>
      </c>
      <c r="F238" s="2"/>
      <c r="G238" s="2"/>
      <c r="H238" s="2"/>
    </row>
    <row r="239" spans="1:8" x14ac:dyDescent="0.45">
      <c r="A239" s="28">
        <v>6</v>
      </c>
      <c r="B239" s="29" t="s">
        <v>339</v>
      </c>
      <c r="C239" s="29" t="str">
        <f>Realität!P44</f>
        <v>Brasilien</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Senegal</v>
      </c>
      <c r="D251" s="29" t="str">
        <f>P91</f>
        <v>Norwegen</v>
      </c>
      <c r="E251" s="28">
        <f t="shared" si="0"/>
        <v>0</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Algerien</v>
      </c>
      <c r="D253" s="29" t="str">
        <f>W91</f>
        <v>Österreich</v>
      </c>
      <c r="E253" s="28">
        <f t="shared" si="0"/>
        <v>5</v>
      </c>
      <c r="F253" s="2"/>
      <c r="G253" s="2"/>
      <c r="H253" s="2"/>
    </row>
    <row r="254" spans="1:8" x14ac:dyDescent="0.45">
      <c r="A254" s="28">
        <v>21</v>
      </c>
      <c r="B254" s="29" t="s">
        <v>354</v>
      </c>
      <c r="C254" s="29" t="str">
        <f>Realität!AD90</f>
        <v>Portugal</v>
      </c>
      <c r="D254" s="29" t="str">
        <f>AD90</f>
        <v>Portugal</v>
      </c>
      <c r="E254" s="28">
        <f t="shared" si="0"/>
        <v>5</v>
      </c>
      <c r="F254" s="2"/>
      <c r="G254" s="2"/>
      <c r="H254" s="2"/>
    </row>
    <row r="255" spans="1:8" x14ac:dyDescent="0.45">
      <c r="A255" s="28">
        <v>22</v>
      </c>
      <c r="B255" s="29" t="s">
        <v>355</v>
      </c>
      <c r="C255" s="29" t="str">
        <f>Realität!AD91</f>
        <v>DR Kongo</v>
      </c>
      <c r="D255" s="29" t="str">
        <f>AD91</f>
        <v>Kolumbien</v>
      </c>
      <c r="E255" s="28">
        <f t="shared" si="0"/>
        <v>0</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Südafrika</v>
      </c>
      <c r="D258" s="29" t="str">
        <f t="shared" ref="D258:D265" si="1">R112</f>
        <v>Ecuador</v>
      </c>
      <c r="E258" s="28">
        <f t="shared" si="0"/>
        <v>0</v>
      </c>
      <c r="F258" s="2"/>
      <c r="G258" s="2"/>
      <c r="H258" s="2"/>
    </row>
    <row r="259" spans="1:8" x14ac:dyDescent="0.45">
      <c r="A259" s="28">
        <v>26</v>
      </c>
      <c r="B259" s="29" t="s">
        <v>359</v>
      </c>
      <c r="C259" s="29" t="str">
        <f>Realität!R113</f>
        <v>Katar</v>
      </c>
      <c r="D259" s="29" t="str">
        <f t="shared" si="1"/>
        <v>Tschechien</v>
      </c>
      <c r="E259" s="28">
        <f t="shared" si="0"/>
        <v>0</v>
      </c>
      <c r="F259" s="2"/>
      <c r="G259" s="2"/>
      <c r="H259" s="2"/>
    </row>
    <row r="260" spans="1:8" x14ac:dyDescent="0.45">
      <c r="A260" s="28">
        <v>27</v>
      </c>
      <c r="B260" s="29" t="s">
        <v>360</v>
      </c>
      <c r="C260" s="29" t="str">
        <f>Realität!R114</f>
        <v>Marokko</v>
      </c>
      <c r="D260" s="29" t="str">
        <f t="shared" si="1"/>
        <v>Schweden</v>
      </c>
      <c r="E260" s="28">
        <f t="shared" si="0"/>
        <v>0</v>
      </c>
      <c r="F260" s="2"/>
      <c r="G260" s="2"/>
      <c r="H260" s="2"/>
    </row>
    <row r="261" spans="1:8" x14ac:dyDescent="0.45">
      <c r="A261" s="28">
        <v>28</v>
      </c>
      <c r="B261" s="29" t="s">
        <v>361</v>
      </c>
      <c r="C261" s="29" t="str">
        <f>Realität!R115</f>
        <v>Iran</v>
      </c>
      <c r="D261" s="29" t="str">
        <f t="shared" si="1"/>
        <v>Iran</v>
      </c>
      <c r="E261" s="28">
        <f t="shared" si="0"/>
        <v>5</v>
      </c>
      <c r="F261" s="2"/>
      <c r="G261" s="2"/>
      <c r="H261" s="2"/>
    </row>
    <row r="262" spans="1:8" x14ac:dyDescent="0.45">
      <c r="A262" s="28">
        <v>29</v>
      </c>
      <c r="B262" s="29" t="s">
        <v>362</v>
      </c>
      <c r="C262" s="29" t="str">
        <f>Realität!R116</f>
        <v>Saudi-Arabien</v>
      </c>
      <c r="D262" s="29" t="str">
        <f t="shared" si="1"/>
        <v>Algerien</v>
      </c>
      <c r="E262" s="28">
        <f t="shared" si="0"/>
        <v>5</v>
      </c>
      <c r="F262" s="2"/>
      <c r="G262" s="2"/>
      <c r="H262" s="2"/>
    </row>
    <row r="263" spans="1:8" x14ac:dyDescent="0.45">
      <c r="A263" s="28">
        <v>30</v>
      </c>
      <c r="B263" s="29" t="s">
        <v>363</v>
      </c>
      <c r="C263" s="29" t="str">
        <f>Realität!R117</f>
        <v>Irak</v>
      </c>
      <c r="D263" s="29" t="str">
        <f t="shared" si="1"/>
        <v>Paraguay</v>
      </c>
      <c r="E263" s="28">
        <f t="shared" si="0"/>
        <v>0</v>
      </c>
      <c r="F263" s="2"/>
      <c r="G263" s="2"/>
      <c r="H263" s="2"/>
    </row>
    <row r="264" spans="1:8" x14ac:dyDescent="0.45">
      <c r="A264" s="28">
        <v>31</v>
      </c>
      <c r="B264" s="29" t="s">
        <v>364</v>
      </c>
      <c r="C264" s="29" t="str">
        <f>Realität!R118</f>
        <v>Österreich</v>
      </c>
      <c r="D264" s="29" t="str">
        <f t="shared" si="1"/>
        <v>Senegal</v>
      </c>
      <c r="E264" s="28">
        <f t="shared" si="0"/>
        <v>5</v>
      </c>
      <c r="F264" s="2"/>
      <c r="G264" s="2"/>
      <c r="H264" s="2"/>
    </row>
    <row r="265" spans="1:8" x14ac:dyDescent="0.45">
      <c r="A265" s="28">
        <v>32</v>
      </c>
      <c r="B265" s="29" t="s">
        <v>365</v>
      </c>
      <c r="C265" s="29" t="str">
        <f>Realität!R119</f>
        <v>Usbekistan</v>
      </c>
      <c r="D265" s="29" t="str">
        <f t="shared" si="1"/>
        <v>Bosnien-Herz.</v>
      </c>
      <c r="E265" s="28">
        <f t="shared" si="0"/>
        <v>5</v>
      </c>
      <c r="F265" s="2"/>
      <c r="G265" s="2"/>
      <c r="H265" s="2"/>
    </row>
    <row r="266" spans="1:8" x14ac:dyDescent="0.45">
      <c r="A266" s="2"/>
      <c r="B266" s="2"/>
      <c r="C266" s="2"/>
      <c r="D266" s="23" t="s">
        <v>330</v>
      </c>
      <c r="E266" s="24">
        <f>SUM(E234:E265)</f>
        <v>115</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79" t="s">
        <v>18</v>
      </c>
      <c r="C1" s="83"/>
      <c r="D1" s="4"/>
      <c r="E1" s="6"/>
      <c r="F1" s="6"/>
      <c r="G1" s="4"/>
      <c r="H1" s="79" t="s">
        <v>19</v>
      </c>
      <c r="I1" s="83"/>
      <c r="J1" s="83"/>
      <c r="K1" s="83"/>
      <c r="L1" s="6"/>
      <c r="M1" s="6"/>
      <c r="N1" s="4"/>
      <c r="O1" s="79" t="s">
        <v>20</v>
      </c>
      <c r="P1" s="83"/>
      <c r="Q1" s="83"/>
      <c r="R1" s="83"/>
      <c r="S1" s="6"/>
      <c r="T1" s="6"/>
      <c r="U1" s="4"/>
      <c r="V1" s="79" t="s">
        <v>21</v>
      </c>
      <c r="W1" s="83"/>
      <c r="X1" s="83"/>
      <c r="Y1" s="83"/>
      <c r="Z1" s="6"/>
      <c r="AA1" s="6"/>
      <c r="AB1" s="4"/>
      <c r="AC1" s="79" t="s">
        <v>22</v>
      </c>
      <c r="AD1" s="83"/>
      <c r="AE1" s="83"/>
      <c r="AF1" s="83"/>
      <c r="AG1" s="6"/>
      <c r="AH1" s="6"/>
      <c r="AI1" s="4"/>
      <c r="AJ1" s="79" t="s">
        <v>23</v>
      </c>
      <c r="AK1" s="83"/>
      <c r="AL1" s="83"/>
      <c r="AM1" s="83"/>
      <c r="AN1" s="6"/>
      <c r="AO1" s="6"/>
      <c r="AP1" s="4"/>
    </row>
    <row r="2" spans="1:42" x14ac:dyDescent="0.45">
      <c r="A2" s="4"/>
      <c r="B2" s="83"/>
      <c r="C2" s="83"/>
      <c r="D2" s="4"/>
      <c r="E2" s="6"/>
      <c r="F2" s="6"/>
      <c r="G2" s="4"/>
      <c r="H2" s="83"/>
      <c r="I2" s="83"/>
      <c r="J2" s="83"/>
      <c r="K2" s="83"/>
      <c r="L2" s="6"/>
      <c r="M2" s="6"/>
      <c r="N2" s="4"/>
      <c r="O2" s="83"/>
      <c r="P2" s="83"/>
      <c r="Q2" s="83"/>
      <c r="R2" s="83"/>
      <c r="S2" s="6"/>
      <c r="T2" s="6"/>
      <c r="U2" s="4"/>
      <c r="V2" s="83"/>
      <c r="W2" s="83"/>
      <c r="X2" s="83"/>
      <c r="Y2" s="83"/>
      <c r="Z2" s="6"/>
      <c r="AA2" s="6"/>
      <c r="AB2" s="4"/>
      <c r="AC2" s="83"/>
      <c r="AD2" s="83"/>
      <c r="AE2" s="83"/>
      <c r="AF2" s="83"/>
      <c r="AG2" s="6"/>
      <c r="AH2" s="6"/>
      <c r="AI2" s="4"/>
      <c r="AJ2" s="83"/>
      <c r="AK2" s="83"/>
      <c r="AL2" s="83"/>
      <c r="AM2" s="83"/>
      <c r="AN2" s="6"/>
      <c r="AO2" s="6"/>
      <c r="AP2" s="4"/>
    </row>
    <row r="3" spans="1:42" x14ac:dyDescent="0.45">
      <c r="A3" s="4"/>
      <c r="B3" s="81" t="s">
        <v>24</v>
      </c>
      <c r="C3" s="83"/>
      <c r="D3" s="4"/>
      <c r="E3" s="4"/>
      <c r="F3" s="4"/>
      <c r="G3" s="4"/>
      <c r="H3" s="4"/>
      <c r="I3" s="81" t="s">
        <v>24</v>
      </c>
      <c r="J3" s="83"/>
      <c r="K3" s="4"/>
      <c r="L3" s="4"/>
      <c r="M3" s="4"/>
      <c r="N3" s="4"/>
      <c r="O3" s="4"/>
      <c r="P3" s="81" t="s">
        <v>24</v>
      </c>
      <c r="Q3" s="83"/>
      <c r="R3" s="4"/>
      <c r="S3" s="4"/>
      <c r="T3" s="4"/>
      <c r="U3" s="4"/>
      <c r="V3" s="4"/>
      <c r="W3" s="81" t="s">
        <v>24</v>
      </c>
      <c r="X3" s="83"/>
      <c r="Y3" s="4"/>
      <c r="Z3" s="4"/>
      <c r="AA3" s="4"/>
      <c r="AB3" s="4"/>
      <c r="AC3" s="4"/>
      <c r="AD3" s="81" t="s">
        <v>24</v>
      </c>
      <c r="AE3" s="83"/>
      <c r="AF3" s="4"/>
      <c r="AG3" s="4"/>
      <c r="AH3" s="4"/>
      <c r="AI3" s="4"/>
      <c r="AJ3" s="4"/>
      <c r="AK3" s="81" t="s">
        <v>24</v>
      </c>
      <c r="AL3" s="83"/>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80" t="str">
        <f>IF(B5=C5,"Unentschieden",IF(B5&gt;C5,B4,C4))</f>
        <v>Mexiko</v>
      </c>
      <c r="C6" s="95"/>
      <c r="D6" s="4"/>
      <c r="E6" s="4"/>
      <c r="F6" s="4"/>
      <c r="G6" s="4"/>
      <c r="H6" s="4"/>
      <c r="I6" s="80" t="str">
        <f>IF(I5=J5,"Unentschieden",IF(I5&gt;J5,I4,J4))</f>
        <v>Kanada</v>
      </c>
      <c r="J6" s="95"/>
      <c r="K6" s="4"/>
      <c r="L6" s="4"/>
      <c r="M6" s="4"/>
      <c r="N6" s="4"/>
      <c r="O6" s="4"/>
      <c r="P6" s="80" t="str">
        <f>IF(P5=Q5,"Unentschieden",IF(P5&gt;Q5,P4,Q4))</f>
        <v>Brasilien</v>
      </c>
      <c r="Q6" s="95"/>
      <c r="R6" s="4"/>
      <c r="S6" s="4"/>
      <c r="T6" s="4"/>
      <c r="U6" s="4"/>
      <c r="V6" s="4"/>
      <c r="W6" s="80" t="str">
        <f>IF(W5=X5,"Unentschieden",IF(W5&gt;X5,W4,X4))</f>
        <v>USA</v>
      </c>
      <c r="X6" s="95"/>
      <c r="Y6" s="4"/>
      <c r="Z6" s="4"/>
      <c r="AA6" s="4"/>
      <c r="AB6" s="4"/>
      <c r="AC6" s="4"/>
      <c r="AD6" s="80" t="str">
        <f>IF(AD5=AE5,"Unentschieden",IF(AD5&gt;AE5,AD4,AE4))</f>
        <v>Deutschland</v>
      </c>
      <c r="AE6" s="95"/>
      <c r="AF6" s="4"/>
      <c r="AG6" s="4"/>
      <c r="AH6" s="4"/>
      <c r="AI6" s="4"/>
      <c r="AJ6" s="4"/>
      <c r="AK6" s="80"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80" t="str">
        <f>IF(B10=C10,"Unentschieden",IF(B10&gt;C10,B9,C9))</f>
        <v>Unentschieden</v>
      </c>
      <c r="C11" s="95"/>
      <c r="D11" s="4"/>
      <c r="E11" s="4"/>
      <c r="F11" s="4"/>
      <c r="G11" s="4"/>
      <c r="H11" s="4"/>
      <c r="I11" s="80" t="str">
        <f>IF(I10=J10,"Unentschieden",IF(I10&gt;J10,I9,J9))</f>
        <v>Schweiz</v>
      </c>
      <c r="J11" s="95"/>
      <c r="K11" s="4"/>
      <c r="L11" s="4"/>
      <c r="M11" s="4"/>
      <c r="N11" s="4"/>
      <c r="O11" s="4"/>
      <c r="P11" s="80" t="str">
        <f>IF(P10=Q10,"Unentschieden",IF(P10&gt;Q10,P9,Q9))</f>
        <v>Schottland</v>
      </c>
      <c r="Q11" s="95"/>
      <c r="R11" s="4"/>
      <c r="S11" s="4"/>
      <c r="T11" s="4"/>
      <c r="U11" s="4"/>
      <c r="V11" s="4"/>
      <c r="W11" s="80" t="str">
        <f>IF(W10=X10,"Unentschieden",IF(W10&gt;X10,W9,X9))</f>
        <v>Türkei</v>
      </c>
      <c r="X11" s="95"/>
      <c r="Y11" s="4"/>
      <c r="Z11" s="4"/>
      <c r="AA11" s="4"/>
      <c r="AB11" s="4"/>
      <c r="AC11" s="4"/>
      <c r="AD11" s="80" t="str">
        <f>IF(AD10=AE10,"Unentschieden",IF(AD10&gt;AE10,AD9,AE9))</f>
        <v>Elfenbeinküste</v>
      </c>
      <c r="AE11" s="95"/>
      <c r="AF11" s="4"/>
      <c r="AG11" s="4"/>
      <c r="AH11" s="4"/>
      <c r="AI11" s="4"/>
      <c r="AJ11" s="4"/>
      <c r="AK11" s="80"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3"/>
      <c r="D14" s="4"/>
      <c r="E14" s="4"/>
      <c r="F14" s="4"/>
      <c r="G14" s="4"/>
      <c r="H14" s="4"/>
      <c r="I14" s="81" t="s">
        <v>49</v>
      </c>
      <c r="J14" s="83"/>
      <c r="K14" s="4"/>
      <c r="L14" s="4"/>
      <c r="M14" s="4"/>
      <c r="N14" s="4"/>
      <c r="O14" s="4"/>
      <c r="P14" s="81" t="s">
        <v>49</v>
      </c>
      <c r="Q14" s="83"/>
      <c r="R14" s="4"/>
      <c r="S14" s="4"/>
      <c r="T14" s="4"/>
      <c r="U14" s="4"/>
      <c r="V14" s="4"/>
      <c r="W14" s="81" t="s">
        <v>49</v>
      </c>
      <c r="X14" s="83"/>
      <c r="Y14" s="4"/>
      <c r="Z14" s="4"/>
      <c r="AA14" s="4"/>
      <c r="AB14" s="4"/>
      <c r="AC14" s="4"/>
      <c r="AD14" s="81" t="s">
        <v>49</v>
      </c>
      <c r="AE14" s="83"/>
      <c r="AF14" s="4"/>
      <c r="AG14" s="4"/>
      <c r="AH14" s="4"/>
      <c r="AI14" s="4"/>
      <c r="AJ14" s="4"/>
      <c r="AK14" s="81" t="s">
        <v>49</v>
      </c>
      <c r="AL14" s="83"/>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80" t="str">
        <f>IF(B16=C16,"Unentschieden",IF(B16&gt;C16,B15,C15))</f>
        <v>Tschechien</v>
      </c>
      <c r="C17" s="95"/>
      <c r="D17" s="4"/>
      <c r="E17" s="4"/>
      <c r="F17" s="4"/>
      <c r="G17" s="4"/>
      <c r="H17" s="4"/>
      <c r="I17" s="80" t="str">
        <f>IF(I16=J16,"Unentschieden",IF(I16&gt;J16,I15,J15))</f>
        <v>Schweiz</v>
      </c>
      <c r="J17" s="95"/>
      <c r="K17" s="4"/>
      <c r="L17" s="4"/>
      <c r="M17" s="4"/>
      <c r="N17" s="4"/>
      <c r="O17" s="4"/>
      <c r="P17" s="80" t="str">
        <f>IF(P16=Q16,"Unentschieden",IF(P16&gt;Q16,P15,Q15))</f>
        <v>Marokko</v>
      </c>
      <c r="Q17" s="95"/>
      <c r="R17" s="4"/>
      <c r="S17" s="4"/>
      <c r="T17" s="4"/>
      <c r="U17" s="4"/>
      <c r="V17" s="4"/>
      <c r="W17" s="80" t="str">
        <f>IF(W16=X16,"Unentschieden",IF(W16&gt;X16,W15,X15))</f>
        <v>Unentschieden</v>
      </c>
      <c r="X17" s="95"/>
      <c r="Y17" s="4"/>
      <c r="Z17" s="4"/>
      <c r="AA17" s="4"/>
      <c r="AB17" s="4"/>
      <c r="AC17" s="4"/>
      <c r="AD17" s="80" t="str">
        <f>IF(AD16=AE16,"Unentschieden",IF(AD16&gt;AE16,AD15,AE15))</f>
        <v>Ecuador</v>
      </c>
      <c r="AE17" s="95"/>
      <c r="AF17" s="4"/>
      <c r="AG17" s="4"/>
      <c r="AH17" s="4"/>
      <c r="AI17" s="4"/>
      <c r="AJ17" s="4"/>
      <c r="AK17" s="80"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80" t="str">
        <f>IF(B21=C21,"Unentschieden",IF(B21&gt;C21,B20,C20))</f>
        <v>Mexiko</v>
      </c>
      <c r="C22" s="95"/>
      <c r="D22" s="4"/>
      <c r="E22" s="4"/>
      <c r="F22" s="4"/>
      <c r="G22" s="4"/>
      <c r="H22" s="4"/>
      <c r="I22" s="80" t="str">
        <f>IF(I21=J21,"Unentschieden",IF(I21&gt;J21,I20,J20))</f>
        <v>Kanada</v>
      </c>
      <c r="J22" s="95"/>
      <c r="K22" s="4"/>
      <c r="L22" s="4"/>
      <c r="M22" s="4"/>
      <c r="N22" s="4"/>
      <c r="O22" s="4"/>
      <c r="P22" s="80" t="str">
        <f>IF(P21=Q21,"Unentschieden",IF(P21&gt;Q21,P20,Q20))</f>
        <v>Brasilien</v>
      </c>
      <c r="Q22" s="95"/>
      <c r="R22" s="4"/>
      <c r="S22" s="4"/>
      <c r="T22" s="4"/>
      <c r="U22" s="4"/>
      <c r="V22" s="4"/>
      <c r="W22" s="80" t="str">
        <f>IF(W21=X21,"Unentschieden",IF(W21&gt;X21,W20,X20))</f>
        <v>USA</v>
      </c>
      <c r="X22" s="95"/>
      <c r="Y22" s="4"/>
      <c r="Z22" s="4"/>
      <c r="AA22" s="4"/>
      <c r="AB22" s="4"/>
      <c r="AC22" s="4"/>
      <c r="AD22" s="80" t="str">
        <f>IF(AD21=AE21,"Unentschieden",IF(AD21&gt;AE21,AD20,AE20))</f>
        <v>Deutschland</v>
      </c>
      <c r="AE22" s="95"/>
      <c r="AF22" s="4"/>
      <c r="AG22" s="4"/>
      <c r="AH22" s="4"/>
      <c r="AI22" s="4"/>
      <c r="AJ22" s="4"/>
      <c r="AK22" s="80"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3"/>
      <c r="D25" s="4"/>
      <c r="E25" s="4"/>
      <c r="F25" s="4"/>
      <c r="G25" s="4"/>
      <c r="H25" s="4"/>
      <c r="I25" s="81" t="s">
        <v>50</v>
      </c>
      <c r="J25" s="83"/>
      <c r="K25" s="4"/>
      <c r="L25" s="4"/>
      <c r="M25" s="4"/>
      <c r="N25" s="4"/>
      <c r="O25" s="4"/>
      <c r="P25" s="81" t="s">
        <v>50</v>
      </c>
      <c r="Q25" s="83"/>
      <c r="R25" s="4"/>
      <c r="S25" s="4"/>
      <c r="T25" s="4"/>
      <c r="U25" s="4"/>
      <c r="V25" s="4"/>
      <c r="W25" s="81" t="s">
        <v>50</v>
      </c>
      <c r="X25" s="83"/>
      <c r="Y25" s="4"/>
      <c r="Z25" s="4"/>
      <c r="AA25" s="4"/>
      <c r="AB25" s="4"/>
      <c r="AC25" s="4"/>
      <c r="AD25" s="81" t="s">
        <v>50</v>
      </c>
      <c r="AE25" s="83"/>
      <c r="AF25" s="4"/>
      <c r="AG25" s="4"/>
      <c r="AH25" s="4"/>
      <c r="AI25" s="4"/>
      <c r="AJ25" s="4"/>
      <c r="AK25" s="81" t="s">
        <v>50</v>
      </c>
      <c r="AL25" s="83"/>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80" t="str">
        <f>IF(B27=C27,"Unentschieden",IF(B27&gt;C27,B26,C26))</f>
        <v>Unentschieden</v>
      </c>
      <c r="C28" s="95"/>
      <c r="D28" s="4"/>
      <c r="E28" s="4"/>
      <c r="F28" s="4"/>
      <c r="G28" s="4"/>
      <c r="H28" s="4"/>
      <c r="I28" s="80" t="str">
        <f>IF(I27=J27,"Unentschieden",IF(I27&gt;J27,I26,J26))</f>
        <v>Katar</v>
      </c>
      <c r="J28" s="95"/>
      <c r="K28" s="4"/>
      <c r="L28" s="4"/>
      <c r="M28" s="4"/>
      <c r="N28" s="4"/>
      <c r="O28" s="4"/>
      <c r="P28" s="80" t="str">
        <f>IF(P27=Q27,"Unentschieden",IF(P27&gt;Q27,P26,Q26))</f>
        <v>Marokko</v>
      </c>
      <c r="Q28" s="95"/>
      <c r="R28" s="4"/>
      <c r="S28" s="4"/>
      <c r="T28" s="4"/>
      <c r="U28" s="4"/>
      <c r="V28" s="4"/>
      <c r="W28" s="80" t="str">
        <f>IF(W27=X27,"Unentschieden",IF(W27&gt;X27,W26,X26))</f>
        <v>Australien</v>
      </c>
      <c r="X28" s="95"/>
      <c r="Y28" s="4"/>
      <c r="Z28" s="4"/>
      <c r="AA28" s="4"/>
      <c r="AB28" s="4"/>
      <c r="AC28" s="4"/>
      <c r="AD28" s="80" t="str">
        <f>IF(AD27=AE27,"Unentschieden",IF(AD27&gt;AE27,AD26,AE26))</f>
        <v>Unentschieden</v>
      </c>
      <c r="AE28" s="95"/>
      <c r="AF28" s="4"/>
      <c r="AG28" s="4"/>
      <c r="AH28" s="4"/>
      <c r="AI28" s="4"/>
      <c r="AJ28" s="4"/>
      <c r="AK28" s="80"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80" t="str">
        <f>IF(B32=C32,"Unentschieden",IF(B32&gt;C32,B31,C31))</f>
        <v>Mexiko</v>
      </c>
      <c r="C33" s="95"/>
      <c r="D33" s="4"/>
      <c r="E33" s="4"/>
      <c r="F33" s="4"/>
      <c r="G33" s="4"/>
      <c r="H33" s="4"/>
      <c r="I33" s="80" t="str">
        <f>IF(I32=J32,"Unentschieden",IF(I32&gt;J32,I31,J31))</f>
        <v>Unentschieden</v>
      </c>
      <c r="J33" s="95"/>
      <c r="K33" s="4"/>
      <c r="L33" s="4"/>
      <c r="M33" s="4"/>
      <c r="N33" s="4"/>
      <c r="O33" s="4"/>
      <c r="P33" s="80" t="str">
        <f>IF(P32=Q32,"Unentschieden",IF(P32&gt;Q32,P31,Q31))</f>
        <v>Brasilien</v>
      </c>
      <c r="Q33" s="95"/>
      <c r="R33" s="4"/>
      <c r="S33" s="4"/>
      <c r="T33" s="4"/>
      <c r="U33" s="4"/>
      <c r="V33" s="4"/>
      <c r="W33" s="80" t="str">
        <f>IF(W32=X32,"Unentschieden",IF(W32&gt;X32,W31,X31))</f>
        <v>Unentschieden</v>
      </c>
      <c r="X33" s="95"/>
      <c r="Y33" s="4"/>
      <c r="Z33" s="4"/>
      <c r="AA33" s="4"/>
      <c r="AB33" s="4"/>
      <c r="AC33" s="4"/>
      <c r="AD33" s="80" t="str">
        <f>IF(AD32=AE32,"Unentschieden",IF(AD32&gt;AE32,AD31,AE31))</f>
        <v>Deutschland</v>
      </c>
      <c r="AE33" s="95"/>
      <c r="AF33" s="4"/>
      <c r="AG33" s="4"/>
      <c r="AH33" s="4"/>
      <c r="AI33" s="4"/>
      <c r="AJ33" s="4"/>
      <c r="AK33" s="80"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3"/>
      <c r="D42" s="1"/>
      <c r="E42" s="1"/>
      <c r="F42" s="1"/>
      <c r="G42" s="4"/>
      <c r="H42" s="4"/>
      <c r="I42" s="81" t="s">
        <v>56</v>
      </c>
      <c r="J42" s="83"/>
      <c r="K42" s="1"/>
      <c r="L42" s="1"/>
      <c r="M42" s="1"/>
      <c r="N42" s="4"/>
      <c r="O42" s="4"/>
      <c r="P42" s="81" t="s">
        <v>56</v>
      </c>
      <c r="Q42" s="83"/>
      <c r="U42" s="4"/>
      <c r="V42" s="4"/>
      <c r="W42" s="81" t="s">
        <v>56</v>
      </c>
      <c r="X42" s="83"/>
      <c r="AB42" s="4"/>
      <c r="AC42" s="4"/>
      <c r="AD42" s="81" t="s">
        <v>56</v>
      </c>
      <c r="AE42" s="83"/>
      <c r="AI42" s="4"/>
      <c r="AJ42" s="4"/>
      <c r="AK42" s="81" t="s">
        <v>56</v>
      </c>
      <c r="AL42" s="83"/>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3"/>
      <c r="C48" s="83"/>
      <c r="D48" s="83"/>
      <c r="E48" s="6"/>
      <c r="F48" s="6"/>
      <c r="G48" s="4"/>
      <c r="H48" s="79" t="s">
        <v>58</v>
      </c>
      <c r="I48" s="83"/>
      <c r="J48" s="83"/>
      <c r="K48" s="83"/>
      <c r="L48" s="6"/>
      <c r="M48" s="6"/>
      <c r="N48" s="4"/>
      <c r="O48" s="79" t="s">
        <v>59</v>
      </c>
      <c r="P48" s="83"/>
      <c r="Q48" s="83"/>
      <c r="R48" s="83"/>
      <c r="S48" s="6"/>
      <c r="T48" s="6"/>
      <c r="U48" s="4"/>
      <c r="V48" s="79" t="s">
        <v>60</v>
      </c>
      <c r="W48" s="83"/>
      <c r="X48" s="83"/>
      <c r="Y48" s="83"/>
      <c r="Z48" s="6"/>
      <c r="AA48" s="6"/>
      <c r="AB48" s="4"/>
      <c r="AC48" s="79" t="s">
        <v>61</v>
      </c>
      <c r="AD48" s="83"/>
      <c r="AE48" s="83"/>
      <c r="AF48" s="83"/>
      <c r="AG48" s="6"/>
      <c r="AH48" s="6"/>
      <c r="AI48" s="4"/>
      <c r="AJ48" s="79" t="s">
        <v>62</v>
      </c>
      <c r="AK48" s="83"/>
      <c r="AL48" s="83"/>
      <c r="AM48" s="83"/>
      <c r="AN48" s="6"/>
      <c r="AO48" s="6"/>
      <c r="AP48" s="4"/>
    </row>
    <row r="49" spans="1:42" ht="17.55" customHeight="1" x14ac:dyDescent="0.45">
      <c r="A49" s="83"/>
      <c r="B49" s="83"/>
      <c r="C49" s="83"/>
      <c r="D49" s="83"/>
      <c r="E49" s="6"/>
      <c r="F49" s="6"/>
      <c r="G49" s="4"/>
      <c r="H49" s="83"/>
      <c r="I49" s="83"/>
      <c r="J49" s="83"/>
      <c r="K49" s="83"/>
      <c r="L49" s="6"/>
      <c r="M49" s="6"/>
      <c r="N49" s="4"/>
      <c r="O49" s="83"/>
      <c r="P49" s="83"/>
      <c r="Q49" s="83"/>
      <c r="R49" s="83"/>
      <c r="S49" s="6"/>
      <c r="T49" s="6"/>
      <c r="U49" s="4"/>
      <c r="V49" s="83"/>
      <c r="W49" s="83"/>
      <c r="X49" s="83"/>
      <c r="Y49" s="83"/>
      <c r="Z49" s="6"/>
      <c r="AA49" s="6"/>
      <c r="AB49" s="4"/>
      <c r="AC49" s="83"/>
      <c r="AD49" s="83"/>
      <c r="AE49" s="83"/>
      <c r="AF49" s="83"/>
      <c r="AG49" s="6"/>
      <c r="AH49" s="6"/>
      <c r="AI49" s="4"/>
      <c r="AJ49" s="83"/>
      <c r="AK49" s="83"/>
      <c r="AL49" s="83"/>
      <c r="AM49" s="83"/>
      <c r="AN49" s="6"/>
      <c r="AO49" s="6"/>
      <c r="AP49" s="4"/>
    </row>
    <row r="50" spans="1:42" x14ac:dyDescent="0.45">
      <c r="A50" s="4"/>
      <c r="B50" s="81" t="s">
        <v>24</v>
      </c>
      <c r="C50" s="83"/>
      <c r="D50" s="4"/>
      <c r="E50" s="4"/>
      <c r="F50" s="4"/>
      <c r="G50" s="4"/>
      <c r="H50" s="4"/>
      <c r="I50" s="81" t="s">
        <v>24</v>
      </c>
      <c r="J50" s="83"/>
      <c r="K50" s="4"/>
      <c r="L50" s="4"/>
      <c r="M50" s="4"/>
      <c r="N50" s="4"/>
      <c r="O50" s="4"/>
      <c r="P50" s="81" t="s">
        <v>24</v>
      </c>
      <c r="Q50" s="83"/>
      <c r="R50" s="4"/>
      <c r="S50" s="4"/>
      <c r="T50" s="4"/>
      <c r="U50" s="4"/>
      <c r="V50" s="4"/>
      <c r="W50" s="81" t="s">
        <v>24</v>
      </c>
      <c r="X50" s="83"/>
      <c r="Y50" s="4"/>
      <c r="Z50" s="4"/>
      <c r="AA50" s="4"/>
      <c r="AB50" s="4"/>
      <c r="AC50" s="4"/>
      <c r="AD50" s="81" t="s">
        <v>24</v>
      </c>
      <c r="AE50" s="83"/>
      <c r="AF50" s="4"/>
      <c r="AG50" s="4"/>
      <c r="AH50" s="4"/>
      <c r="AI50" s="4"/>
      <c r="AJ50" s="4"/>
      <c r="AK50" s="81" t="s">
        <v>24</v>
      </c>
      <c r="AL50" s="83"/>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80" t="str">
        <f>IF(B52=C52,"Unentschieden",IF(B52&gt;C52,B51,C51))</f>
        <v>Belgien</v>
      </c>
      <c r="C53" s="95"/>
      <c r="D53" s="4"/>
      <c r="E53" s="4"/>
      <c r="F53" s="4"/>
      <c r="G53" s="4"/>
      <c r="H53" s="4"/>
      <c r="I53" s="80" t="str">
        <f>IF(I52=J52,"Unentschieden",IF(I52&gt;J52,I51,J51))</f>
        <v>Spanien</v>
      </c>
      <c r="J53" s="95"/>
      <c r="K53" s="4"/>
      <c r="L53" s="4"/>
      <c r="M53" s="4"/>
      <c r="N53" s="4"/>
      <c r="O53" s="4"/>
      <c r="P53" s="80" t="str">
        <f>IF(P52=Q52,"Unentschieden",IF(P52&gt;Q52,P51,Q51))</f>
        <v>Frankreich</v>
      </c>
      <c r="Q53" s="95"/>
      <c r="R53" s="4"/>
      <c r="S53" s="4"/>
      <c r="T53" s="4"/>
      <c r="U53" s="4"/>
      <c r="V53" s="4"/>
      <c r="W53" s="80" t="str">
        <f>IF(W52=X52,"Unentschieden",IF(W52&gt;X52,W51,X51))</f>
        <v>Argentinien</v>
      </c>
      <c r="X53" s="95"/>
      <c r="Y53" s="4"/>
      <c r="Z53" s="4"/>
      <c r="AA53" s="4"/>
      <c r="AB53" s="4"/>
      <c r="AC53" s="4"/>
      <c r="AD53" s="80" t="str">
        <f>IF(AD52=AE52,"Unentschieden",IF(AD52&gt;AE52,AD51,AE51))</f>
        <v>Portugal</v>
      </c>
      <c r="AE53" s="95"/>
      <c r="AF53" s="4"/>
      <c r="AG53" s="4"/>
      <c r="AH53" s="4"/>
      <c r="AI53" s="4"/>
      <c r="AJ53" s="4"/>
      <c r="AK53" s="80"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80" t="str">
        <f>IF(B57=C57,"Unentschieden",IF(B57&gt;C57,B56,C56))</f>
        <v>Iran</v>
      </c>
      <c r="C58" s="95"/>
      <c r="D58" s="4"/>
      <c r="E58" s="4"/>
      <c r="F58" s="4"/>
      <c r="G58" s="4"/>
      <c r="H58" s="4"/>
      <c r="I58" s="80" t="str">
        <f>IF(I57=J57,"Unentschieden",IF(I57&gt;J57,I56,J56))</f>
        <v>Uruguay</v>
      </c>
      <c r="J58" s="95"/>
      <c r="K58" s="4"/>
      <c r="L58" s="4"/>
      <c r="M58" s="4"/>
      <c r="N58" s="4"/>
      <c r="O58" s="4"/>
      <c r="P58" s="80" t="str">
        <f>IF(P57=Q57,"Unentschieden",IF(P57&gt;Q57,P56,Q56))</f>
        <v>Norwegen</v>
      </c>
      <c r="Q58" s="95"/>
      <c r="R58" s="4"/>
      <c r="S58" s="4"/>
      <c r="T58" s="4"/>
      <c r="U58" s="4"/>
      <c r="V58" s="4"/>
      <c r="W58" s="80" t="str">
        <f>IF(W57=X57,"Unentschieden",IF(W57&gt;X57,W56,X56))</f>
        <v>Unentschieden</v>
      </c>
      <c r="X58" s="95"/>
      <c r="Y58" s="4"/>
      <c r="Z58" s="4"/>
      <c r="AA58" s="4"/>
      <c r="AB58" s="4"/>
      <c r="AC58" s="4"/>
      <c r="AD58" s="80" t="str">
        <f>IF(AD57=AE57,"Unentschieden",IF(AD57&gt;AE57,AD56,AE56))</f>
        <v>Kolumbien</v>
      </c>
      <c r="AE58" s="95"/>
      <c r="AF58" s="4"/>
      <c r="AG58" s="4"/>
      <c r="AH58" s="4"/>
      <c r="AI58" s="4"/>
      <c r="AJ58" s="4"/>
      <c r="AK58" s="80"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3"/>
      <c r="D61" s="4"/>
      <c r="E61" s="4"/>
      <c r="F61" s="4"/>
      <c r="G61" s="4"/>
      <c r="H61" s="4"/>
      <c r="I61" s="81" t="s">
        <v>49</v>
      </c>
      <c r="J61" s="83"/>
      <c r="K61" s="4"/>
      <c r="L61" s="4"/>
      <c r="M61" s="4"/>
      <c r="N61" s="4"/>
      <c r="O61" s="4"/>
      <c r="P61" s="81" t="s">
        <v>49</v>
      </c>
      <c r="Q61" s="83"/>
      <c r="R61" s="4"/>
      <c r="S61" s="4"/>
      <c r="T61" s="4"/>
      <c r="U61" s="4"/>
      <c r="V61" s="4"/>
      <c r="W61" s="81" t="s">
        <v>49</v>
      </c>
      <c r="X61" s="83"/>
      <c r="Y61" s="4"/>
      <c r="Z61" s="4"/>
      <c r="AA61" s="4"/>
      <c r="AB61" s="4"/>
      <c r="AC61" s="4"/>
      <c r="AD61" s="81" t="s">
        <v>49</v>
      </c>
      <c r="AE61" s="83"/>
      <c r="AF61" s="4"/>
      <c r="AG61" s="4"/>
      <c r="AH61" s="4"/>
      <c r="AI61" s="4"/>
      <c r="AJ61" s="4"/>
      <c r="AK61" s="81" t="s">
        <v>49</v>
      </c>
      <c r="AL61" s="83"/>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80" t="str">
        <f>IF(B63=C63,"Unentschieden",IF(B63&gt;C63,B62,C62))</f>
        <v>Belgien</v>
      </c>
      <c r="C64" s="95"/>
      <c r="D64" s="4"/>
      <c r="E64" s="4"/>
      <c r="F64" s="4"/>
      <c r="G64" s="4"/>
      <c r="H64" s="4"/>
      <c r="I64" s="80" t="str">
        <f>IF(I63=J63,"Unentschieden",IF(I63&gt;J63,I62,J62))</f>
        <v>Spanien</v>
      </c>
      <c r="J64" s="95"/>
      <c r="K64" s="4"/>
      <c r="L64" s="4"/>
      <c r="M64" s="4"/>
      <c r="N64" s="4"/>
      <c r="O64" s="4"/>
      <c r="P64" s="80" t="str">
        <f>IF(P63=Q63,"Unentschieden",IF(P63&gt;Q63,P62,Q62))</f>
        <v>Frankreich</v>
      </c>
      <c r="Q64" s="95"/>
      <c r="R64" s="4"/>
      <c r="S64" s="4"/>
      <c r="T64" s="4"/>
      <c r="U64" s="4"/>
      <c r="V64" s="4"/>
      <c r="W64" s="80" t="str">
        <f>IF(W63=X63,"Unentschieden",IF(W63&gt;X63,W62,X62))</f>
        <v>Argentinien</v>
      </c>
      <c r="X64" s="95"/>
      <c r="Y64" s="4"/>
      <c r="Z64" s="4"/>
      <c r="AA64" s="4"/>
      <c r="AB64" s="4"/>
      <c r="AC64" s="4"/>
      <c r="AD64" s="80" t="str">
        <f>IF(AD63=AE63,"Unentschieden",IF(AD63&gt;AE63,AD62,AE62))</f>
        <v>Portugal</v>
      </c>
      <c r="AE64" s="95"/>
      <c r="AF64" s="4"/>
      <c r="AG64" s="4"/>
      <c r="AH64" s="4"/>
      <c r="AI64" s="4"/>
      <c r="AJ64" s="4"/>
      <c r="AK64" s="80"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80" t="str">
        <f>IF(B68=C68,"Unentschieden",IF(B68&gt;C68,B67,C67))</f>
        <v>Unentschieden</v>
      </c>
      <c r="C69" s="95"/>
      <c r="D69" s="4"/>
      <c r="E69" s="4"/>
      <c r="F69" s="4"/>
      <c r="G69" s="4"/>
      <c r="H69" s="4"/>
      <c r="I69" s="80" t="str">
        <f>IF(I68=J68,"Unentschieden",IF(I68&gt;J68,I67,J67))</f>
        <v>Uruguay</v>
      </c>
      <c r="J69" s="95"/>
      <c r="K69" s="4"/>
      <c r="L69" s="4"/>
      <c r="M69" s="4"/>
      <c r="N69" s="4"/>
      <c r="O69" s="4"/>
      <c r="P69" s="80" t="str">
        <f>IF(P68=Q68,"Unentschieden",IF(P68&gt;Q68,P67,Q67))</f>
        <v>Unentschieden</v>
      </c>
      <c r="Q69" s="95"/>
      <c r="R69" s="4"/>
      <c r="S69" s="4"/>
      <c r="T69" s="4"/>
      <c r="U69" s="4"/>
      <c r="V69" s="4"/>
      <c r="W69" s="80" t="str">
        <f>IF(W68=X68,"Unentschieden",IF(W68&gt;X68,W67,X67))</f>
        <v>Algerien</v>
      </c>
      <c r="X69" s="95"/>
      <c r="Y69" s="4"/>
      <c r="Z69" s="4"/>
      <c r="AA69" s="4"/>
      <c r="AB69" s="4"/>
      <c r="AC69" s="4"/>
      <c r="AD69" s="80" t="str">
        <f>IF(AD68=AE68,"Unentschieden",IF(AD68&gt;AE68,AD67,AE67))</f>
        <v>DR Kongo</v>
      </c>
      <c r="AE69" s="95"/>
      <c r="AF69" s="4"/>
      <c r="AG69" s="4"/>
      <c r="AH69" s="4"/>
      <c r="AI69" s="4"/>
      <c r="AJ69" s="4"/>
      <c r="AK69" s="80"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3"/>
      <c r="D72" s="4"/>
      <c r="E72" s="4"/>
      <c r="F72" s="4"/>
      <c r="G72" s="4"/>
      <c r="H72" s="4"/>
      <c r="I72" s="81" t="s">
        <v>50</v>
      </c>
      <c r="J72" s="83"/>
      <c r="K72" s="4"/>
      <c r="L72" s="4"/>
      <c r="M72" s="4"/>
      <c r="N72" s="4"/>
      <c r="O72" s="4"/>
      <c r="P72" s="81" t="s">
        <v>50</v>
      </c>
      <c r="Q72" s="83"/>
      <c r="R72" s="4"/>
      <c r="S72" s="4"/>
      <c r="T72" s="4"/>
      <c r="U72" s="4"/>
      <c r="V72" s="4"/>
      <c r="W72" s="81" t="s">
        <v>50</v>
      </c>
      <c r="X72" s="83"/>
      <c r="Y72" s="4"/>
      <c r="Z72" s="4"/>
      <c r="AA72" s="4"/>
      <c r="AB72" s="4"/>
      <c r="AC72" s="4"/>
      <c r="AD72" s="81" t="s">
        <v>50</v>
      </c>
      <c r="AE72" s="83"/>
      <c r="AF72" s="4"/>
      <c r="AG72" s="4"/>
      <c r="AH72" s="4"/>
      <c r="AI72" s="4"/>
      <c r="AJ72" s="4"/>
      <c r="AK72" s="81" t="s">
        <v>50</v>
      </c>
      <c r="AL72" s="83"/>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80" t="str">
        <f>IF(B74=C74,"Unentschieden",IF(B74&gt;C74,B73,C73))</f>
        <v>Belgien</v>
      </c>
      <c r="C75" s="95"/>
      <c r="D75" s="4"/>
      <c r="E75" s="4"/>
      <c r="F75" s="4"/>
      <c r="G75" s="4"/>
      <c r="H75" s="4"/>
      <c r="I75" s="80" t="str">
        <f>IF(I74=J74,"Unentschieden",IF(I74&gt;J74,I73,J73))</f>
        <v>Spanien</v>
      </c>
      <c r="J75" s="95"/>
      <c r="K75" s="4"/>
      <c r="L75" s="4"/>
      <c r="M75" s="4"/>
      <c r="N75" s="4"/>
      <c r="O75" s="4"/>
      <c r="P75" s="80" t="str">
        <f>IF(P74=Q74,"Unentschieden",IF(P74&gt;Q74,P73,Q73))</f>
        <v>Frankreich</v>
      </c>
      <c r="Q75" s="95"/>
      <c r="R75" s="4"/>
      <c r="S75" s="4"/>
      <c r="T75" s="4"/>
      <c r="U75" s="4"/>
      <c r="V75" s="4"/>
      <c r="W75" s="80" t="str">
        <f>IF(W74=X74,"Unentschieden",IF(W74&gt;X74,W73,X73))</f>
        <v>Argentinien</v>
      </c>
      <c r="X75" s="95"/>
      <c r="Y75" s="4"/>
      <c r="Z75" s="4"/>
      <c r="AA75" s="4"/>
      <c r="AB75" s="4"/>
      <c r="AC75" s="4"/>
      <c r="AD75" s="80" t="str">
        <f>IF(AD74=AE74,"Unentschieden",IF(AD74&gt;AE74,AD73,AE73))</f>
        <v>Unentschieden</v>
      </c>
      <c r="AE75" s="95"/>
      <c r="AF75" s="4"/>
      <c r="AG75" s="4"/>
      <c r="AH75" s="4"/>
      <c r="AI75" s="4"/>
      <c r="AJ75" s="4"/>
      <c r="AK75" s="80"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80" t="str">
        <f>IF(B79=C79,"Unentschieden",IF(B79&gt;C79,B78,C78))</f>
        <v>Iran</v>
      </c>
      <c r="C80" s="95"/>
      <c r="D80" s="4"/>
      <c r="E80" s="4"/>
      <c r="F80" s="4"/>
      <c r="G80" s="4"/>
      <c r="H80" s="4"/>
      <c r="I80" s="80" t="str">
        <f>IF(I79=J79,"Unentschieden",IF(I79&gt;J79,I78,J78))</f>
        <v>Saudi-Arabien</v>
      </c>
      <c r="J80" s="95"/>
      <c r="K80" s="4"/>
      <c r="L80" s="4"/>
      <c r="M80" s="4"/>
      <c r="N80" s="4"/>
      <c r="O80" s="4"/>
      <c r="P80" s="80" t="str">
        <f>IF(P79=Q79,"Unentschieden",IF(P79&gt;Q79,P78,Q78))</f>
        <v>Senegal</v>
      </c>
      <c r="Q80" s="95"/>
      <c r="R80" s="4"/>
      <c r="S80" s="4"/>
      <c r="T80" s="4"/>
      <c r="U80" s="4"/>
      <c r="V80" s="4"/>
      <c r="W80" s="80" t="str">
        <f>IF(W79=X79,"Unentschieden",IF(W79&gt;X79,W78,X78))</f>
        <v>Unentschieden</v>
      </c>
      <c r="X80" s="95"/>
      <c r="Y80" s="4"/>
      <c r="Z80" s="4"/>
      <c r="AA80" s="4"/>
      <c r="AB80" s="4"/>
      <c r="AC80" s="4"/>
      <c r="AD80" s="80" t="str">
        <f>IF(AD79=AE79,"Unentschieden",IF(AD79&gt;AE79,AD78,AE78))</f>
        <v>Unentschieden</v>
      </c>
      <c r="AE80" s="95"/>
      <c r="AF80" s="4"/>
      <c r="AG80" s="4"/>
      <c r="AH80" s="4"/>
      <c r="AI80" s="4"/>
      <c r="AJ80" s="4"/>
      <c r="AK80" s="80"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3"/>
      <c r="G89" s="4"/>
      <c r="H89" s="4"/>
      <c r="I89" s="81" t="s">
        <v>56</v>
      </c>
      <c r="J89" s="83"/>
      <c r="K89" s="1"/>
      <c r="L89" s="1"/>
      <c r="M89" s="1"/>
      <c r="N89" s="4"/>
      <c r="O89" s="4"/>
      <c r="P89" s="81" t="s">
        <v>56</v>
      </c>
      <c r="Q89" s="83"/>
      <c r="R89" s="1"/>
      <c r="S89" s="1"/>
      <c r="T89" s="1"/>
      <c r="U89" s="4"/>
      <c r="V89" s="4"/>
      <c r="W89" s="81" t="s">
        <v>56</v>
      </c>
      <c r="X89" s="83"/>
      <c r="Y89" s="1"/>
      <c r="Z89" s="1"/>
      <c r="AA89" s="1"/>
      <c r="AB89" s="4"/>
      <c r="AC89" s="4"/>
      <c r="AD89" s="81" t="s">
        <v>56</v>
      </c>
      <c r="AE89" s="83"/>
      <c r="AI89" s="4"/>
      <c r="AJ89" s="4"/>
      <c r="AK89" s="81" t="s">
        <v>56</v>
      </c>
      <c r="AL89" s="83"/>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82" t="s">
        <v>51</v>
      </c>
      <c r="S97" s="83"/>
      <c r="T97" s="83"/>
      <c r="U97" s="2" t="s">
        <v>52</v>
      </c>
      <c r="V97" s="2" t="s">
        <v>88</v>
      </c>
      <c r="W97" s="2" t="s">
        <v>89</v>
      </c>
      <c r="X97" s="2" t="s">
        <v>90</v>
      </c>
    </row>
    <row r="98" spans="17:24" x14ac:dyDescent="0.45">
      <c r="R98" s="82" t="str">
        <f>B92</f>
        <v>Ägypten</v>
      </c>
      <c r="S98" s="83"/>
      <c r="T98" s="83"/>
      <c r="U98" s="2">
        <f>C92</f>
        <v>1</v>
      </c>
      <c r="V98" s="2">
        <f>D92</f>
        <v>2</v>
      </c>
      <c r="W98" s="2">
        <f>E92</f>
        <v>5</v>
      </c>
      <c r="X98" s="2">
        <f>F92</f>
        <v>-3</v>
      </c>
    </row>
    <row r="99" spans="17:24" x14ac:dyDescent="0.45">
      <c r="R99" s="82" t="str">
        <f>I92</f>
        <v>Saudi-Arabien</v>
      </c>
      <c r="S99" s="83"/>
      <c r="T99" s="83"/>
      <c r="U99" s="2">
        <f>J92</f>
        <v>3</v>
      </c>
      <c r="V99" s="2">
        <f>K92</f>
        <v>4</v>
      </c>
      <c r="W99" s="2">
        <f>L92</f>
        <v>6</v>
      </c>
      <c r="X99" s="2">
        <f>M92</f>
        <v>-2</v>
      </c>
    </row>
    <row r="100" spans="17:24" x14ac:dyDescent="0.45">
      <c r="R100" s="82" t="str">
        <f>P92</f>
        <v>Senegal</v>
      </c>
      <c r="S100" s="83"/>
      <c r="T100" s="83"/>
      <c r="U100" s="2">
        <f>Q92</f>
        <v>4</v>
      </c>
      <c r="V100" s="2">
        <f>R92</f>
        <v>6</v>
      </c>
      <c r="W100" s="2">
        <f>S92</f>
        <v>5</v>
      </c>
      <c r="X100" s="2">
        <f>T92</f>
        <v>1</v>
      </c>
    </row>
    <row r="101" spans="17:24" x14ac:dyDescent="0.45">
      <c r="R101" s="82" t="str">
        <f>W92</f>
        <v>Österreich</v>
      </c>
      <c r="S101" s="83"/>
      <c r="T101" s="83"/>
      <c r="U101" s="2">
        <f>X92</f>
        <v>2</v>
      </c>
      <c r="V101" s="2">
        <f>Y92</f>
        <v>2</v>
      </c>
      <c r="W101" s="2">
        <f>Z92</f>
        <v>4</v>
      </c>
      <c r="X101" s="2">
        <f>AA92</f>
        <v>-2</v>
      </c>
    </row>
    <row r="102" spans="17:24" x14ac:dyDescent="0.45">
      <c r="R102" s="82" t="str">
        <f>AD92</f>
        <v>DR Kongo</v>
      </c>
      <c r="S102" s="83"/>
      <c r="T102" s="83"/>
      <c r="U102" s="2">
        <f>AE92</f>
        <v>4</v>
      </c>
      <c r="V102" s="2">
        <f>AF92</f>
        <v>4</v>
      </c>
      <c r="W102" s="2">
        <f>AG92</f>
        <v>5</v>
      </c>
      <c r="X102" s="2">
        <f>AH92</f>
        <v>-1</v>
      </c>
    </row>
    <row r="103" spans="17:24" x14ac:dyDescent="0.45">
      <c r="R103" s="82" t="str">
        <f>AK92</f>
        <v>Ghana</v>
      </c>
      <c r="S103" s="83"/>
      <c r="T103" s="83"/>
      <c r="U103" s="2">
        <f>AL92</f>
        <v>1</v>
      </c>
      <c r="V103" s="2">
        <f>AM92</f>
        <v>2</v>
      </c>
      <c r="W103" s="2">
        <f>AN92</f>
        <v>4</v>
      </c>
      <c r="X103" s="2">
        <f>AO92</f>
        <v>-2</v>
      </c>
    </row>
    <row r="104" spans="17:24" x14ac:dyDescent="0.45">
      <c r="R104" s="82" t="str">
        <f>B45</f>
        <v>Südkorea</v>
      </c>
      <c r="S104" s="83"/>
      <c r="T104" s="83"/>
      <c r="U104" s="2">
        <f>C45</f>
        <v>2</v>
      </c>
      <c r="V104" s="2">
        <f>D45</f>
        <v>3</v>
      </c>
      <c r="W104" s="2">
        <f>E45</f>
        <v>4</v>
      </c>
      <c r="X104" s="2">
        <f>F45</f>
        <v>-1</v>
      </c>
    </row>
    <row r="105" spans="17:24" x14ac:dyDescent="0.45">
      <c r="R105" s="82" t="str">
        <f>I45</f>
        <v>Katar</v>
      </c>
      <c r="S105" s="83"/>
      <c r="T105" s="83"/>
      <c r="U105" s="2">
        <f>J45</f>
        <v>3</v>
      </c>
      <c r="V105" s="2">
        <f>K45</f>
        <v>4</v>
      </c>
      <c r="W105" s="2">
        <f>L45</f>
        <v>6</v>
      </c>
      <c r="X105" s="2">
        <f>M45</f>
        <v>-2</v>
      </c>
    </row>
    <row r="106" spans="17:24" x14ac:dyDescent="0.45">
      <c r="R106" s="82" t="str">
        <f>P45</f>
        <v>Schottland</v>
      </c>
      <c r="S106" s="83"/>
      <c r="T106" s="83"/>
      <c r="U106" s="2">
        <f>Q45</f>
        <v>3</v>
      </c>
      <c r="V106" s="2">
        <f>R45</f>
        <v>4</v>
      </c>
      <c r="W106" s="2">
        <f>S45</f>
        <v>6</v>
      </c>
      <c r="X106" s="2">
        <f>T45</f>
        <v>-2</v>
      </c>
    </row>
    <row r="107" spans="17:24" x14ac:dyDescent="0.45">
      <c r="R107" s="82" t="str">
        <f>W45</f>
        <v>Australien</v>
      </c>
      <c r="S107" s="83"/>
      <c r="T107" s="83"/>
      <c r="U107" s="2">
        <f>X45</f>
        <v>3</v>
      </c>
      <c r="V107" s="2">
        <f>Y45</f>
        <v>4</v>
      </c>
      <c r="W107" s="2">
        <f>Z45</f>
        <v>4</v>
      </c>
      <c r="X107" s="2">
        <f>AA45</f>
        <v>0</v>
      </c>
    </row>
    <row r="108" spans="17:24" x14ac:dyDescent="0.45">
      <c r="R108" s="82" t="str">
        <f>AD45</f>
        <v>Ecuador</v>
      </c>
      <c r="S108" s="83"/>
      <c r="T108" s="83"/>
      <c r="U108" s="2">
        <f>AE45</f>
        <v>3</v>
      </c>
      <c r="V108" s="2">
        <f>AF45</f>
        <v>4</v>
      </c>
      <c r="W108" s="2">
        <f>AG45</f>
        <v>4</v>
      </c>
      <c r="X108" s="2">
        <f>AH45</f>
        <v>0</v>
      </c>
    </row>
    <row r="109" spans="17:24" x14ac:dyDescent="0.45">
      <c r="R109" s="82" t="str">
        <f>AK45</f>
        <v>Japan</v>
      </c>
      <c r="S109" s="83"/>
      <c r="T109" s="83"/>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20</v>
      </c>
    </row>
    <row r="155" spans="1:23" x14ac:dyDescent="0.45">
      <c r="A155" s="23" t="s">
        <v>103</v>
      </c>
      <c r="B155" s="24">
        <f>SUM(H160:H231)</f>
        <v>29</v>
      </c>
    </row>
    <row r="156" spans="1:23" x14ac:dyDescent="0.45">
      <c r="A156" s="23" t="s">
        <v>104</v>
      </c>
      <c r="B156" s="24">
        <f>SUM(E234:E265)</f>
        <v>120</v>
      </c>
    </row>
    <row r="157" spans="1:23" x14ac:dyDescent="0.45">
      <c r="A157" s="25" t="s">
        <v>105</v>
      </c>
      <c r="B157" s="26">
        <f>B154+B155+B156</f>
        <v>169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29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Schweden</v>
      </c>
      <c r="E244" s="28">
        <f t="shared" si="0"/>
        <v>0</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Senegal</v>
      </c>
      <c r="E258" s="28">
        <f t="shared" si="0"/>
        <v>5</v>
      </c>
    </row>
    <row r="259" spans="1:5" x14ac:dyDescent="0.45">
      <c r="A259" s="28">
        <v>26</v>
      </c>
      <c r="B259" s="29" t="s">
        <v>359</v>
      </c>
      <c r="C259" s="29" t="str">
        <f>Realität!R113</f>
        <v>Katar</v>
      </c>
      <c r="D259" s="29" t="str">
        <f t="shared" si="1"/>
        <v>DR Kongo</v>
      </c>
      <c r="E259" s="28">
        <f t="shared" si="0"/>
        <v>5</v>
      </c>
    </row>
    <row r="260" spans="1:5" x14ac:dyDescent="0.45">
      <c r="A260" s="28">
        <v>27</v>
      </c>
      <c r="B260" s="29" t="s">
        <v>360</v>
      </c>
      <c r="C260" s="29" t="str">
        <f>Realität!R114</f>
        <v>Marokko</v>
      </c>
      <c r="D260" s="29" t="str">
        <f t="shared" si="1"/>
        <v>Australien</v>
      </c>
      <c r="E260" s="28">
        <f t="shared" si="0"/>
        <v>5</v>
      </c>
    </row>
    <row r="261" spans="1:5" x14ac:dyDescent="0.45">
      <c r="A261" s="28">
        <v>28</v>
      </c>
      <c r="B261" s="29" t="s">
        <v>361</v>
      </c>
      <c r="C261" s="29" t="str">
        <f>Realität!R115</f>
        <v>Iran</v>
      </c>
      <c r="D261" s="29" t="str">
        <f t="shared" si="1"/>
        <v>Ecuador</v>
      </c>
      <c r="E261" s="28">
        <f t="shared" si="0"/>
        <v>0</v>
      </c>
    </row>
    <row r="262" spans="1:5" x14ac:dyDescent="0.45">
      <c r="A262" s="28">
        <v>29</v>
      </c>
      <c r="B262" s="29" t="s">
        <v>362</v>
      </c>
      <c r="C262" s="29" t="str">
        <f>Realität!R116</f>
        <v>Saudi-Arabien</v>
      </c>
      <c r="D262" s="29" t="str">
        <f t="shared" si="1"/>
        <v>Saudi-Arabien</v>
      </c>
      <c r="E262" s="28">
        <f t="shared" si="0"/>
        <v>5</v>
      </c>
    </row>
    <row r="263" spans="1:5" x14ac:dyDescent="0.45">
      <c r="A263" s="28">
        <v>30</v>
      </c>
      <c r="B263" s="29" t="s">
        <v>363</v>
      </c>
      <c r="C263" s="29" t="str">
        <f>Realität!R117</f>
        <v>Irak</v>
      </c>
      <c r="D263" s="29" t="str">
        <f t="shared" si="1"/>
        <v>Katar</v>
      </c>
      <c r="E263" s="28">
        <f t="shared" si="0"/>
        <v>5</v>
      </c>
    </row>
    <row r="264" spans="1:5" x14ac:dyDescent="0.45">
      <c r="A264" s="28">
        <v>31</v>
      </c>
      <c r="B264" s="29" t="s">
        <v>364</v>
      </c>
      <c r="C264" s="29" t="str">
        <f>Realität!R118</f>
        <v>Österreich</v>
      </c>
      <c r="D264" s="29" t="str">
        <f t="shared" si="1"/>
        <v>Schottland</v>
      </c>
      <c r="E264" s="28">
        <f t="shared" si="0"/>
        <v>5</v>
      </c>
    </row>
    <row r="265" spans="1:5" x14ac:dyDescent="0.45">
      <c r="A265" s="28">
        <v>32</v>
      </c>
      <c r="B265" s="29" t="s">
        <v>365</v>
      </c>
      <c r="C265" s="29" t="str">
        <f>Realität!R119</f>
        <v>Usbekistan</v>
      </c>
      <c r="D265" s="29" t="str">
        <f t="shared" si="1"/>
        <v>Südkorea</v>
      </c>
      <c r="E265" s="28">
        <f t="shared" si="0"/>
        <v>5</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E1" workbookViewId="0">
      <selection activeCell="Q5" sqref="Q5"/>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Australien</v>
      </c>
      <c r="X22" s="80"/>
      <c r="Y22" s="4"/>
      <c r="Z22" s="4"/>
      <c r="AA22" s="4"/>
      <c r="AB22" s="4"/>
      <c r="AC22" s="4"/>
      <c r="AD22" s="80" t="str">
        <f>IF(AD21=AE21,"Unentschieden",IF(AD21&gt;AE21,AD20,AE20))</f>
        <v>Elfenbeinküste</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4</v>
      </c>
      <c r="W98" s="2">
        <f>E92</f>
        <v>4</v>
      </c>
      <c r="X98" s="2">
        <f>F92</f>
        <v>0</v>
      </c>
    </row>
    <row r="99" spans="17:24" x14ac:dyDescent="0.45">
      <c r="Q99"/>
      <c r="R99" s="82" t="str">
        <f>I92</f>
        <v>Saudi-Arabien</v>
      </c>
      <c r="S99" s="82"/>
      <c r="T99" s="82"/>
      <c r="U99" s="2">
        <f>J92</f>
        <v>3</v>
      </c>
      <c r="V99" s="2">
        <f>K92</f>
        <v>4</v>
      </c>
      <c r="W99" s="2">
        <f>L92</f>
        <v>6</v>
      </c>
      <c r="X99" s="2">
        <f>M92</f>
        <v>-2</v>
      </c>
    </row>
    <row r="100" spans="17:24" x14ac:dyDescent="0.45">
      <c r="Q100"/>
      <c r="R100" s="82" t="str">
        <f>P92</f>
        <v>Senegal</v>
      </c>
      <c r="S100" s="82"/>
      <c r="T100" s="82"/>
      <c r="U100" s="2">
        <f>Q92</f>
        <v>3</v>
      </c>
      <c r="V100" s="2">
        <f>R92</f>
        <v>6</v>
      </c>
      <c r="W100" s="2">
        <f>S92</f>
        <v>7</v>
      </c>
      <c r="X100" s="2">
        <f>T92</f>
        <v>-1</v>
      </c>
    </row>
    <row r="101" spans="17:24" x14ac:dyDescent="0.45">
      <c r="Q101"/>
      <c r="R101" s="82" t="str">
        <f>W92</f>
        <v>Algerien</v>
      </c>
      <c r="S101" s="82"/>
      <c r="T101" s="82"/>
      <c r="U101" s="2">
        <f>X92</f>
        <v>4</v>
      </c>
      <c r="V101" s="2">
        <f>Y92</f>
        <v>3</v>
      </c>
      <c r="W101" s="2">
        <f>Z92</f>
        <v>2</v>
      </c>
      <c r="X101" s="2">
        <f>AA92</f>
        <v>1</v>
      </c>
    </row>
    <row r="102" spans="17:24" x14ac:dyDescent="0.45">
      <c r="Q102"/>
      <c r="R102" s="82" t="str">
        <f>AD92</f>
        <v>DR Kongo</v>
      </c>
      <c r="S102" s="82"/>
      <c r="T102" s="82"/>
      <c r="U102" s="2">
        <f>AE92</f>
        <v>3</v>
      </c>
      <c r="V102" s="2">
        <f>AF92</f>
        <v>4</v>
      </c>
      <c r="W102" s="2">
        <f>AG92</f>
        <v>3</v>
      </c>
      <c r="X102" s="2">
        <f t="shared" ref="X102" si="12">AH92</f>
        <v>1</v>
      </c>
    </row>
    <row r="103" spans="17:24" x14ac:dyDescent="0.45">
      <c r="Q103"/>
      <c r="R103" s="82" t="str">
        <f>AK92</f>
        <v>Panama</v>
      </c>
      <c r="S103" s="82"/>
      <c r="T103" s="82"/>
      <c r="U103" s="2">
        <f>AL92</f>
        <v>3</v>
      </c>
      <c r="V103" s="2">
        <f t="shared" ref="V103:X103" si="13">AM92</f>
        <v>2</v>
      </c>
      <c r="W103" s="2">
        <f t="shared" si="13"/>
        <v>6</v>
      </c>
      <c r="X103" s="2">
        <f t="shared" si="13"/>
        <v>-4</v>
      </c>
    </row>
    <row r="104" spans="17:24" x14ac:dyDescent="0.45">
      <c r="R104" s="82" t="str">
        <f>B45</f>
        <v>Tschechien</v>
      </c>
      <c r="S104" s="82"/>
      <c r="T104" s="82"/>
      <c r="U104" s="2">
        <f>C45</f>
        <v>3</v>
      </c>
      <c r="V104" s="2">
        <f t="shared" ref="V104:X104" si="14">D45</f>
        <v>4</v>
      </c>
      <c r="W104" s="2">
        <f t="shared" si="14"/>
        <v>5</v>
      </c>
      <c r="X104" s="2">
        <f t="shared" si="14"/>
        <v>-1</v>
      </c>
    </row>
    <row r="105" spans="17:24" x14ac:dyDescent="0.45">
      <c r="R105" s="82" t="str">
        <f>I45</f>
        <v>Bosnien-Herz.</v>
      </c>
      <c r="S105" s="82"/>
      <c r="T105" s="82"/>
      <c r="U105" s="2">
        <f>J45</f>
        <v>3</v>
      </c>
      <c r="V105" s="2">
        <f t="shared" ref="V105:X105" si="15">K45</f>
        <v>2</v>
      </c>
      <c r="W105" s="2">
        <f t="shared" si="15"/>
        <v>4</v>
      </c>
      <c r="X105" s="2">
        <f t="shared" si="15"/>
        <v>-2</v>
      </c>
    </row>
    <row r="106" spans="17:24" x14ac:dyDescent="0.45">
      <c r="R106" s="82" t="str">
        <f>P45</f>
        <v>Schottland</v>
      </c>
      <c r="S106" s="82"/>
      <c r="T106" s="82"/>
      <c r="U106" s="2">
        <f>Q45</f>
        <v>4</v>
      </c>
      <c r="V106" s="2">
        <f t="shared" ref="V106:X106" si="16">R45</f>
        <v>4</v>
      </c>
      <c r="W106" s="2">
        <f t="shared" si="16"/>
        <v>2</v>
      </c>
      <c r="X106" s="2">
        <f t="shared" si="16"/>
        <v>2</v>
      </c>
    </row>
    <row r="107" spans="17:24" x14ac:dyDescent="0.45">
      <c r="R107" s="82" t="str">
        <f>W45</f>
        <v>USA</v>
      </c>
      <c r="S107" s="82"/>
      <c r="T107" s="82"/>
      <c r="U107" s="2">
        <f>X45</f>
        <v>3</v>
      </c>
      <c r="V107" s="2">
        <f t="shared" ref="V107:W107" si="17">Y45</f>
        <v>3</v>
      </c>
      <c r="W107" s="2">
        <f t="shared" si="17"/>
        <v>4</v>
      </c>
      <c r="X107" s="2">
        <f>AA45</f>
        <v>-1</v>
      </c>
    </row>
    <row r="108" spans="17:24" x14ac:dyDescent="0.45">
      <c r="R108" s="82" t="str">
        <f>AD45</f>
        <v>Ecuador</v>
      </c>
      <c r="S108" s="82"/>
      <c r="T108" s="82"/>
      <c r="U108" s="2">
        <f>AE45</f>
        <v>4</v>
      </c>
      <c r="V108" s="2">
        <f t="shared" ref="V108:X108" si="18">AF45</f>
        <v>4</v>
      </c>
      <c r="W108" s="2">
        <f t="shared" si="18"/>
        <v>2</v>
      </c>
      <c r="X108" s="2">
        <f t="shared" si="18"/>
        <v>2</v>
      </c>
    </row>
    <row r="109" spans="17:24" x14ac:dyDescent="0.45">
      <c r="R109" s="82" t="str">
        <f>AK45</f>
        <v>Schweden</v>
      </c>
      <c r="S109" s="82"/>
      <c r="T109" s="82"/>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25</v>
      </c>
    </row>
    <row r="155" spans="1:23" x14ac:dyDescent="0.45">
      <c r="A155" s="23" t="s">
        <v>103</v>
      </c>
      <c r="B155" s="24">
        <f>SUM(H160:H231)</f>
        <v>26</v>
      </c>
    </row>
    <row r="156" spans="1:23" x14ac:dyDescent="0.45">
      <c r="A156" s="23" t="s">
        <v>104</v>
      </c>
      <c r="B156" s="24">
        <f>SUM(E234:E265)</f>
        <v>125</v>
      </c>
    </row>
    <row r="157" spans="1:23" x14ac:dyDescent="0.45">
      <c r="A157" s="25" t="s">
        <v>105</v>
      </c>
      <c r="B157" s="26">
        <f>B154+B155+B156</f>
        <v>176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26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Kolumbien</v>
      </c>
      <c r="E254" s="28">
        <f t="shared" si="20"/>
        <v>0</v>
      </c>
    </row>
    <row r="255" spans="1:5" x14ac:dyDescent="0.45">
      <c r="A255" s="28">
        <v>22</v>
      </c>
      <c r="B255" s="29" t="s">
        <v>355</v>
      </c>
      <c r="C255" s="29" t="str">
        <f>Realität!AD91</f>
        <v>DR Kongo</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Südafrika</v>
      </c>
      <c r="D258" s="29" t="str">
        <f t="shared" ref="D258:D265" si="21">R112</f>
        <v>Schottland</v>
      </c>
      <c r="E258" s="28">
        <f t="shared" si="20"/>
        <v>5</v>
      </c>
    </row>
    <row r="259" spans="1:5" x14ac:dyDescent="0.45">
      <c r="A259" s="28">
        <v>26</v>
      </c>
      <c r="B259" s="29" t="s">
        <v>359</v>
      </c>
      <c r="C259" s="29" t="str">
        <f>Realität!R113</f>
        <v>Katar</v>
      </c>
      <c r="D259" s="29" t="str">
        <f t="shared" si="21"/>
        <v>Ecuador</v>
      </c>
      <c r="E259" s="28">
        <f t="shared" si="20"/>
        <v>0</v>
      </c>
    </row>
    <row r="260" spans="1:5" x14ac:dyDescent="0.45">
      <c r="A260" s="28">
        <v>27</v>
      </c>
      <c r="B260" s="29" t="s">
        <v>360</v>
      </c>
      <c r="C260" s="29" t="str">
        <f>Realität!R114</f>
        <v>Marokko</v>
      </c>
      <c r="D260" s="29" t="str">
        <f t="shared" si="21"/>
        <v>Algerien</v>
      </c>
      <c r="E260" s="28">
        <f t="shared" si="20"/>
        <v>5</v>
      </c>
    </row>
    <row r="261" spans="1:5" x14ac:dyDescent="0.45">
      <c r="A261" s="28">
        <v>28</v>
      </c>
      <c r="B261" s="29" t="s">
        <v>361</v>
      </c>
      <c r="C261" s="29" t="str">
        <f>Realität!R115</f>
        <v>Iran</v>
      </c>
      <c r="D261" s="29" t="str">
        <f t="shared" si="21"/>
        <v>DR Kongo</v>
      </c>
      <c r="E261" s="28">
        <f t="shared" si="20"/>
        <v>5</v>
      </c>
    </row>
    <row r="262" spans="1:5" x14ac:dyDescent="0.45">
      <c r="A262" s="28">
        <v>29</v>
      </c>
      <c r="B262" s="29" t="s">
        <v>362</v>
      </c>
      <c r="C262" s="29" t="str">
        <f>Realität!R116</f>
        <v>Saudi-Arabien</v>
      </c>
      <c r="D262" s="29" t="str">
        <f t="shared" si="21"/>
        <v>Ägypten</v>
      </c>
      <c r="E262" s="28">
        <f t="shared" si="20"/>
        <v>5</v>
      </c>
    </row>
    <row r="263" spans="1:5" x14ac:dyDescent="0.45">
      <c r="A263" s="28">
        <v>30</v>
      </c>
      <c r="B263" s="29" t="s">
        <v>363</v>
      </c>
      <c r="C263" s="29" t="str">
        <f>Realität!R117</f>
        <v>Irak</v>
      </c>
      <c r="D263" s="29" t="str">
        <f t="shared" si="21"/>
        <v>Senegal</v>
      </c>
      <c r="E263" s="28">
        <f t="shared" si="20"/>
        <v>5</v>
      </c>
    </row>
    <row r="264" spans="1:5" x14ac:dyDescent="0.45">
      <c r="A264" s="28">
        <v>31</v>
      </c>
      <c r="B264" s="29" t="s">
        <v>364</v>
      </c>
      <c r="C264" s="29" t="str">
        <f>Realität!R118</f>
        <v>Österreich</v>
      </c>
      <c r="D264" s="29" t="str">
        <f t="shared" si="21"/>
        <v>Tschechien</v>
      </c>
      <c r="E264" s="28">
        <f t="shared" si="20"/>
        <v>0</v>
      </c>
    </row>
    <row r="265" spans="1:5" x14ac:dyDescent="0.45">
      <c r="A265" s="28">
        <v>32</v>
      </c>
      <c r="B265" s="29" t="s">
        <v>365</v>
      </c>
      <c r="C265" s="29" t="str">
        <f>Realität!R119</f>
        <v>Usbekistan</v>
      </c>
      <c r="D265" s="29" t="str">
        <f t="shared" si="21"/>
        <v>USA</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topLeftCell="A217" zoomScale="68" zoomScaleNormal="132"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Unentschieden</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t="s">
        <v>374</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Tunesien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1</v>
      </c>
      <c r="AM39" s="1">
        <f>AK10+AL21+AL27</f>
        <v>2</v>
      </c>
      <c r="AN39" s="1" t="e">
        <f>AL10+AK21+AK27</f>
        <v>#VALUE!</v>
      </c>
      <c r="AO39" s="1" t="e">
        <f t="shared" si="5"/>
        <v>#VALUE!</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3</v>
      </c>
      <c r="AM40" s="1" t="e">
        <f>AL10+AK16+AK32</f>
        <v>#VALUE!</v>
      </c>
      <c r="AN40" s="1">
        <f>AK10+AL16+AL32</f>
        <v>6</v>
      </c>
      <c r="AO40" s="1" t="e">
        <f t="shared" si="5"/>
        <v>#VALUE!</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Tunesien</v>
      </c>
      <c r="AL45" s="1">
        <v>3</v>
      </c>
      <c r="AM45" s="1" t="e">
        <v>#VALUE!</v>
      </c>
      <c r="AN45" s="1">
        <v>6</v>
      </c>
      <c r="AO45" s="1" t="e">
        <v>#VALUE!</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Schweden</v>
      </c>
      <c r="AL46" s="1">
        <v>1</v>
      </c>
      <c r="AM46" s="1">
        <v>2</v>
      </c>
      <c r="AN46" s="1" t="e">
        <v>#VALUE!</v>
      </c>
      <c r="AO46" s="1" t="e">
        <v>#VALUE!</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80" t="str">
        <f>IF(B63=C63,"Unentschieden",IF(B63&gt;C63,B62,C62))</f>
        <v>Unentschieden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f>X68</f>
        <v>1</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Unentschieden</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1</v>
      </c>
      <c r="W98" s="2">
        <f>E92</f>
        <v>4</v>
      </c>
      <c r="X98" s="2">
        <f>F92</f>
        <v>-3</v>
      </c>
    </row>
    <row r="99" spans="17:24" x14ac:dyDescent="0.45">
      <c r="Q99"/>
      <c r="R99" s="82" t="str">
        <f>I92</f>
        <v>Saudi-Arabien</v>
      </c>
      <c r="S99" s="82"/>
      <c r="T99" s="82"/>
      <c r="U99" s="2">
        <f>J92</f>
        <v>3</v>
      </c>
      <c r="V99" s="2">
        <f>K92</f>
        <v>2</v>
      </c>
      <c r="W99" s="2">
        <f>L92</f>
        <v>6</v>
      </c>
      <c r="X99" s="2">
        <f>M92</f>
        <v>-4</v>
      </c>
    </row>
    <row r="100" spans="17:24" x14ac:dyDescent="0.45">
      <c r="Q100"/>
      <c r="R100" s="82" t="str">
        <f>P92</f>
        <v>Senegal</v>
      </c>
      <c r="S100" s="82"/>
      <c r="T100" s="82"/>
      <c r="U100" s="2">
        <f>Q92</f>
        <v>2</v>
      </c>
      <c r="V100" s="2">
        <f>R92</f>
        <v>2</v>
      </c>
      <c r="W100" s="2">
        <f>S92</f>
        <v>4</v>
      </c>
      <c r="X100" s="2">
        <f>T92</f>
        <v>-2</v>
      </c>
    </row>
    <row r="101" spans="17:24" x14ac:dyDescent="0.45">
      <c r="Q101"/>
      <c r="R101" s="82" t="str">
        <f>W92</f>
        <v>Algerien</v>
      </c>
      <c r="S101" s="82"/>
      <c r="T101" s="82"/>
      <c r="U101" s="2">
        <f>X92</f>
        <v>1</v>
      </c>
      <c r="V101" s="2">
        <f>Y92</f>
        <v>1</v>
      </c>
      <c r="W101" s="2">
        <f>Z92</f>
        <v>3</v>
      </c>
      <c r="X101" s="2">
        <f>AA92</f>
        <v>-2</v>
      </c>
    </row>
    <row r="102" spans="17:24" x14ac:dyDescent="0.45">
      <c r="Q102"/>
      <c r="R102" s="82" t="str">
        <f>AD92</f>
        <v>DR Kongo</v>
      </c>
      <c r="S102" s="82"/>
      <c r="T102" s="82"/>
      <c r="U102" s="2">
        <f>AE92</f>
        <v>3</v>
      </c>
      <c r="V102" s="2">
        <f>AF92</f>
        <v>2</v>
      </c>
      <c r="W102" s="2">
        <f>AG92</f>
        <v>4</v>
      </c>
      <c r="X102" s="2">
        <f t="shared" ref="X102" si="12">AH92</f>
        <v>-2</v>
      </c>
    </row>
    <row r="103" spans="17:24" x14ac:dyDescent="0.45">
      <c r="Q103"/>
      <c r="R103" s="82" t="str">
        <f>AK92</f>
        <v>Ghana</v>
      </c>
      <c r="S103" s="82"/>
      <c r="T103" s="82"/>
      <c r="U103" s="2">
        <f>AL92</f>
        <v>3</v>
      </c>
      <c r="V103" s="2">
        <f t="shared" ref="V103:X103" si="13">AM92</f>
        <v>2</v>
      </c>
      <c r="W103" s="2">
        <f t="shared" si="13"/>
        <v>4</v>
      </c>
      <c r="X103" s="2">
        <f t="shared" si="13"/>
        <v>-2</v>
      </c>
    </row>
    <row r="104" spans="17:24" x14ac:dyDescent="0.45">
      <c r="R104" s="82" t="str">
        <f>B45</f>
        <v>Südafrika</v>
      </c>
      <c r="S104" s="82"/>
      <c r="T104" s="82"/>
      <c r="U104" s="2">
        <f>C45</f>
        <v>3</v>
      </c>
      <c r="V104" s="2">
        <f t="shared" ref="V104:X104" si="14">D45</f>
        <v>3</v>
      </c>
      <c r="W104" s="2">
        <f t="shared" si="14"/>
        <v>4</v>
      </c>
      <c r="X104" s="2">
        <f t="shared" si="14"/>
        <v>-1</v>
      </c>
    </row>
    <row r="105" spans="17:24" x14ac:dyDescent="0.45">
      <c r="R105" s="82" t="str">
        <f>I45</f>
        <v>Kanada</v>
      </c>
      <c r="S105" s="82"/>
      <c r="T105" s="82"/>
      <c r="U105" s="2">
        <f>J45</f>
        <v>3</v>
      </c>
      <c r="V105" s="2">
        <f t="shared" ref="V105:X105" si="15">K45</f>
        <v>4</v>
      </c>
      <c r="W105" s="2">
        <f t="shared" si="15"/>
        <v>5</v>
      </c>
      <c r="X105" s="2">
        <f t="shared" si="15"/>
        <v>-1</v>
      </c>
    </row>
    <row r="106" spans="17:24" x14ac:dyDescent="0.45">
      <c r="R106" s="82" t="str">
        <f>P45</f>
        <v>Schottland</v>
      </c>
      <c r="S106" s="82"/>
      <c r="T106" s="82"/>
      <c r="U106" s="2">
        <f>Q45</f>
        <v>3</v>
      </c>
      <c r="V106" s="2">
        <f t="shared" ref="V106:X106" si="16">R45</f>
        <v>4</v>
      </c>
      <c r="W106" s="2">
        <f t="shared" si="16"/>
        <v>5</v>
      </c>
      <c r="X106" s="2">
        <f t="shared" si="16"/>
        <v>-1</v>
      </c>
    </row>
    <row r="107" spans="17:24" x14ac:dyDescent="0.45">
      <c r="R107" s="82" t="str">
        <f>W45</f>
        <v>USA</v>
      </c>
      <c r="S107" s="82"/>
      <c r="T107" s="82"/>
      <c r="U107" s="2">
        <f>X45</f>
        <v>2</v>
      </c>
      <c r="V107" s="2">
        <f t="shared" ref="V107:W107" si="17">Y45</f>
        <v>2</v>
      </c>
      <c r="W107" s="2">
        <f t="shared" si="17"/>
        <v>4</v>
      </c>
      <c r="X107" s="2">
        <f>AA45</f>
        <v>-2</v>
      </c>
    </row>
    <row r="108" spans="17:24" x14ac:dyDescent="0.45">
      <c r="R108" s="82" t="str">
        <f>AD45</f>
        <v>Elfenbeinküste</v>
      </c>
      <c r="S108" s="82"/>
      <c r="T108" s="82"/>
      <c r="U108" s="2">
        <f>AE45</f>
        <v>4</v>
      </c>
      <c r="V108" s="2">
        <f t="shared" ref="V108:X108" si="18">AF45</f>
        <v>4</v>
      </c>
      <c r="W108" s="2">
        <f t="shared" si="18"/>
        <v>4</v>
      </c>
      <c r="X108" s="2">
        <f t="shared" si="18"/>
        <v>0</v>
      </c>
    </row>
    <row r="109" spans="17:24" x14ac:dyDescent="0.45">
      <c r="R109" s="82" t="str">
        <f>AK45</f>
        <v>Tunesien</v>
      </c>
      <c r="S109" s="82"/>
      <c r="T109" s="82"/>
      <c r="U109" s="2">
        <f>AL45</f>
        <v>3</v>
      </c>
      <c r="V109" s="2" t="e">
        <f t="shared" ref="V109:W109" si="19">AM45</f>
        <v>#VALUE!</v>
      </c>
      <c r="W109" s="2">
        <f t="shared" si="19"/>
        <v>6</v>
      </c>
      <c r="X109" s="2" t="e">
        <f>AO45</f>
        <v>#VALUE!</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Tunesien</v>
      </c>
      <c r="U113" s="2">
        <v>3</v>
      </c>
      <c r="V113" s="2" t="e">
        <v>#VALUE!</v>
      </c>
      <c r="W113" s="2">
        <v>6</v>
      </c>
      <c r="X113" s="2" t="e">
        <v>#VALUE!</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15</v>
      </c>
    </row>
    <row r="155" spans="1:23" x14ac:dyDescent="0.45">
      <c r="A155" s="23" t="s">
        <v>103</v>
      </c>
      <c r="B155" s="24">
        <f>SUM(H160:H231)</f>
        <v>26</v>
      </c>
    </row>
    <row r="156" spans="1:23" x14ac:dyDescent="0.45">
      <c r="A156" s="23" t="s">
        <v>104</v>
      </c>
      <c r="B156" s="24">
        <f>SUM(E234:E265)</f>
        <v>115</v>
      </c>
    </row>
    <row r="157" spans="1:23" x14ac:dyDescent="0.45">
      <c r="A157" s="25" t="s">
        <v>105</v>
      </c>
      <c r="B157" s="26">
        <f>B154+B155+B156</f>
        <v>156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26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Elfenbeinküste</v>
      </c>
      <c r="E258" s="28">
        <f t="shared" si="20"/>
        <v>5</v>
      </c>
    </row>
    <row r="259" spans="1:5" x14ac:dyDescent="0.45">
      <c r="A259" s="28">
        <v>26</v>
      </c>
      <c r="B259" s="29" t="s">
        <v>359</v>
      </c>
      <c r="C259" s="29" t="str">
        <f>Realität!R113</f>
        <v>Katar</v>
      </c>
      <c r="D259" s="29" t="str">
        <f t="shared" si="21"/>
        <v>Tunesien</v>
      </c>
      <c r="E259" s="28">
        <f t="shared" si="20"/>
        <v>0</v>
      </c>
    </row>
    <row r="260" spans="1:5" x14ac:dyDescent="0.45">
      <c r="A260" s="28">
        <v>27</v>
      </c>
      <c r="B260" s="29" t="s">
        <v>360</v>
      </c>
      <c r="C260" s="29" t="str">
        <f>Realität!R114</f>
        <v>Marokko</v>
      </c>
      <c r="D260" s="29" t="str">
        <f t="shared" si="21"/>
        <v>Kanada</v>
      </c>
      <c r="E260" s="28">
        <f t="shared" si="20"/>
        <v>5</v>
      </c>
    </row>
    <row r="261" spans="1:5" x14ac:dyDescent="0.45">
      <c r="A261" s="28">
        <v>28</v>
      </c>
      <c r="B261" s="29" t="s">
        <v>361</v>
      </c>
      <c r="C261" s="29" t="str">
        <f>Realität!R115</f>
        <v>Iran</v>
      </c>
      <c r="D261" s="29" t="str">
        <f t="shared" si="21"/>
        <v>Schottland</v>
      </c>
      <c r="E261" s="28">
        <f t="shared" si="20"/>
        <v>5</v>
      </c>
    </row>
    <row r="262" spans="1:5" x14ac:dyDescent="0.45">
      <c r="A262" s="28">
        <v>29</v>
      </c>
      <c r="B262" s="29" t="s">
        <v>362</v>
      </c>
      <c r="C262" s="29" t="str">
        <f>Realität!R116</f>
        <v>Saudi-Arabien</v>
      </c>
      <c r="D262" s="29" t="str">
        <f t="shared" si="21"/>
        <v>Südafrika</v>
      </c>
      <c r="E262" s="28">
        <f t="shared" si="20"/>
        <v>5</v>
      </c>
    </row>
    <row r="263" spans="1:5" x14ac:dyDescent="0.45">
      <c r="A263" s="28">
        <v>30</v>
      </c>
      <c r="B263" s="29" t="s">
        <v>363</v>
      </c>
      <c r="C263" s="29" t="str">
        <f>Realität!R117</f>
        <v>Irak</v>
      </c>
      <c r="D263" s="29" t="str">
        <f t="shared" si="21"/>
        <v>DR Kongo</v>
      </c>
      <c r="E263" s="28">
        <f t="shared" si="20"/>
        <v>5</v>
      </c>
    </row>
    <row r="264" spans="1:5" x14ac:dyDescent="0.45">
      <c r="A264" s="28">
        <v>31</v>
      </c>
      <c r="B264" s="29" t="s">
        <v>364</v>
      </c>
      <c r="C264" s="29" t="str">
        <f>Realität!R118</f>
        <v>Österreich</v>
      </c>
      <c r="D264" s="29" t="str">
        <f t="shared" si="21"/>
        <v>Ghana</v>
      </c>
      <c r="E264" s="28">
        <f t="shared" si="20"/>
        <v>0</v>
      </c>
    </row>
    <row r="265" spans="1:5" x14ac:dyDescent="0.45">
      <c r="A265" s="28">
        <v>32</v>
      </c>
      <c r="B265" s="29" t="s">
        <v>365</v>
      </c>
      <c r="C265" s="29" t="str">
        <f>Realität!R119</f>
        <v>Usbekistan</v>
      </c>
      <c r="D265" s="29" t="str">
        <f t="shared" si="21"/>
        <v>Ägypten</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9" t="s">
        <v>18</v>
      </c>
      <c r="C1" s="83"/>
      <c r="D1" s="4"/>
      <c r="E1" s="6"/>
      <c r="F1" s="6"/>
      <c r="G1" s="4"/>
      <c r="H1" s="79" t="s">
        <v>19</v>
      </c>
      <c r="I1" s="83"/>
      <c r="J1" s="83"/>
      <c r="K1" s="83"/>
      <c r="L1" s="6"/>
      <c r="M1" s="6"/>
      <c r="N1" s="4"/>
      <c r="O1" s="79" t="s">
        <v>20</v>
      </c>
      <c r="P1" s="83"/>
      <c r="Q1" s="83"/>
      <c r="R1" s="83"/>
      <c r="S1" s="6"/>
      <c r="T1" s="6"/>
      <c r="U1" s="4"/>
      <c r="V1" s="79" t="s">
        <v>21</v>
      </c>
      <c r="W1" s="83"/>
      <c r="X1" s="83"/>
      <c r="Y1" s="83"/>
      <c r="Z1" s="6"/>
      <c r="AA1" s="6"/>
      <c r="AB1" s="4"/>
      <c r="AC1" s="79" t="s">
        <v>22</v>
      </c>
      <c r="AD1" s="83"/>
      <c r="AE1" s="83"/>
      <c r="AF1" s="83"/>
      <c r="AG1" s="6"/>
      <c r="AH1" s="6"/>
      <c r="AI1" s="4"/>
      <c r="AJ1" s="79" t="s">
        <v>23</v>
      </c>
      <c r="AK1" s="83"/>
      <c r="AL1" s="83"/>
      <c r="AM1" s="83"/>
      <c r="AN1" s="6"/>
      <c r="AO1" s="6"/>
      <c r="AP1" s="4"/>
    </row>
    <row r="2" spans="1:42" x14ac:dyDescent="0.45">
      <c r="A2" s="4"/>
      <c r="B2" s="83"/>
      <c r="C2" s="83"/>
      <c r="D2" s="4"/>
      <c r="E2" s="6"/>
      <c r="F2" s="6"/>
      <c r="G2" s="4"/>
      <c r="H2" s="83"/>
      <c r="I2" s="83"/>
      <c r="J2" s="83"/>
      <c r="K2" s="83"/>
      <c r="L2" s="6"/>
      <c r="M2" s="6"/>
      <c r="N2" s="4"/>
      <c r="O2" s="83"/>
      <c r="P2" s="83"/>
      <c r="Q2" s="83"/>
      <c r="R2" s="83"/>
      <c r="S2" s="6"/>
      <c r="T2" s="6"/>
      <c r="U2" s="4"/>
      <c r="V2" s="83"/>
      <c r="W2" s="83"/>
      <c r="X2" s="83"/>
      <c r="Y2" s="83"/>
      <c r="Z2" s="6"/>
      <c r="AA2" s="6"/>
      <c r="AB2" s="4"/>
      <c r="AC2" s="83"/>
      <c r="AD2" s="83"/>
      <c r="AE2" s="83"/>
      <c r="AF2" s="83"/>
      <c r="AG2" s="6"/>
      <c r="AH2" s="6"/>
      <c r="AI2" s="4"/>
      <c r="AJ2" s="83"/>
      <c r="AK2" s="83"/>
      <c r="AL2" s="83"/>
      <c r="AM2" s="83"/>
      <c r="AN2" s="6"/>
      <c r="AO2" s="6"/>
      <c r="AP2" s="4"/>
    </row>
    <row r="3" spans="1:42" x14ac:dyDescent="0.45">
      <c r="A3" s="4"/>
      <c r="B3" s="81" t="s">
        <v>24</v>
      </c>
      <c r="C3" s="83"/>
      <c r="D3" s="4"/>
      <c r="E3" s="4"/>
      <c r="F3" s="4"/>
      <c r="G3" s="4"/>
      <c r="H3" s="4"/>
      <c r="I3" s="81" t="s">
        <v>24</v>
      </c>
      <c r="J3" s="83"/>
      <c r="K3" s="4"/>
      <c r="L3" s="4"/>
      <c r="M3" s="4"/>
      <c r="N3" s="4"/>
      <c r="O3" s="4"/>
      <c r="P3" s="81" t="s">
        <v>24</v>
      </c>
      <c r="Q3" s="83"/>
      <c r="R3" s="4"/>
      <c r="S3" s="4"/>
      <c r="T3" s="4"/>
      <c r="U3" s="4"/>
      <c r="V3" s="4"/>
      <c r="W3" s="81" t="s">
        <v>24</v>
      </c>
      <c r="X3" s="83"/>
      <c r="Y3" s="4"/>
      <c r="Z3" s="4"/>
      <c r="AA3" s="4"/>
      <c r="AB3" s="4"/>
      <c r="AC3" s="4"/>
      <c r="AD3" s="81" t="s">
        <v>24</v>
      </c>
      <c r="AE3" s="83"/>
      <c r="AF3" s="4"/>
      <c r="AG3" s="4"/>
      <c r="AH3" s="4"/>
      <c r="AI3" s="4"/>
      <c r="AJ3" s="4"/>
      <c r="AK3" s="81" t="s">
        <v>24</v>
      </c>
      <c r="AL3" s="83"/>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80" t="str">
        <f>IF(B5=C5,"Unentschieden",IF(B5&gt;C5,B4,C4))</f>
        <v>Mexiko</v>
      </c>
      <c r="C6" s="95"/>
      <c r="D6" s="4"/>
      <c r="E6" s="4"/>
      <c r="F6" s="4"/>
      <c r="G6" s="4"/>
      <c r="H6" s="4"/>
      <c r="I6" s="80" t="str">
        <f>IF(I5=J5,"Unentschieden",IF(I5&gt;J5,I4,J4))</f>
        <v>Kanada</v>
      </c>
      <c r="J6" s="95"/>
      <c r="K6" s="4"/>
      <c r="L6" s="4"/>
      <c r="M6" s="4"/>
      <c r="N6" s="4"/>
      <c r="O6" s="4"/>
      <c r="P6" s="80" t="str">
        <f>IF(P5=Q5,"Unentschieden",IF(P5&gt;Q5,P4,Q4))</f>
        <v>Brasilien</v>
      </c>
      <c r="Q6" s="95"/>
      <c r="R6" s="4"/>
      <c r="S6" s="4"/>
      <c r="T6" s="4"/>
      <c r="U6" s="4"/>
      <c r="V6" s="4"/>
      <c r="W6" s="80" t="str">
        <f>IF(W5=X5,"Unentschieden",IF(W5&gt;X5,W4,X4))</f>
        <v>USA</v>
      </c>
      <c r="X6" s="95"/>
      <c r="Y6" s="4"/>
      <c r="Z6" s="4"/>
      <c r="AA6" s="4"/>
      <c r="AB6" s="4"/>
      <c r="AC6" s="4"/>
      <c r="AD6" s="80" t="str">
        <f>IF(AD5=AE5,"Unentschieden",IF(AD5&gt;AE5,AD4,AE4))</f>
        <v>Deutschland</v>
      </c>
      <c r="AE6" s="95"/>
      <c r="AF6" s="4"/>
      <c r="AG6" s="4"/>
      <c r="AH6" s="4"/>
      <c r="AI6" s="4"/>
      <c r="AJ6" s="4"/>
      <c r="AK6" s="80"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80" t="str">
        <f>IF(B10=C10,"Unentschieden",IF(B10&gt;C10,B9,C9))</f>
        <v>Unentschieden</v>
      </c>
      <c r="C11" s="95"/>
      <c r="D11" s="4"/>
      <c r="E11" s="4"/>
      <c r="F11" s="4"/>
      <c r="G11" s="4"/>
      <c r="H11" s="4"/>
      <c r="I11" s="80" t="str">
        <f>IF(I10=J10,"Unentschieden",IF(I10&gt;J10,I9,J9))</f>
        <v>Schweiz</v>
      </c>
      <c r="J11" s="95"/>
      <c r="K11" s="4"/>
      <c r="L11" s="4"/>
      <c r="M11" s="4"/>
      <c r="N11" s="4"/>
      <c r="O11" s="4"/>
      <c r="P11" s="80" t="str">
        <f>IF(P10=Q10,"Unentschieden",IF(P10&gt;Q10,P9,Q9))</f>
        <v>Schottland</v>
      </c>
      <c r="Q11" s="95"/>
      <c r="R11" s="4"/>
      <c r="S11" s="4"/>
      <c r="T11" s="4"/>
      <c r="U11" s="4"/>
      <c r="V11" s="4"/>
      <c r="W11" s="80" t="str">
        <f>IF(W10=X10,"Unentschieden",IF(W10&gt;X10,W9,X9))</f>
        <v>Türkei</v>
      </c>
      <c r="X11" s="95"/>
      <c r="Y11" s="4"/>
      <c r="Z11" s="4"/>
      <c r="AA11" s="4"/>
      <c r="AB11" s="4"/>
      <c r="AC11" s="4"/>
      <c r="AD11" s="80" t="str">
        <f>IF(AD10=AE10,"Unentschieden",IF(AD10&gt;AE10,AD9,AE9))</f>
        <v>Unentschieden</v>
      </c>
      <c r="AE11" s="95"/>
      <c r="AF11" s="4"/>
      <c r="AG11" s="4"/>
      <c r="AH11" s="4"/>
      <c r="AI11" s="4"/>
      <c r="AJ11" s="4"/>
      <c r="AK11" s="80"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3"/>
      <c r="D14" s="4"/>
      <c r="E14" s="4"/>
      <c r="F14" s="4"/>
      <c r="G14" s="4"/>
      <c r="H14" s="4"/>
      <c r="I14" s="81" t="s">
        <v>49</v>
      </c>
      <c r="J14" s="83"/>
      <c r="K14" s="4"/>
      <c r="L14" s="4"/>
      <c r="M14" s="4"/>
      <c r="N14" s="4"/>
      <c r="O14" s="4"/>
      <c r="P14" s="81" t="s">
        <v>49</v>
      </c>
      <c r="Q14" s="83"/>
      <c r="R14" s="4"/>
      <c r="S14" s="4"/>
      <c r="T14" s="4"/>
      <c r="U14" s="4"/>
      <c r="V14" s="4"/>
      <c r="W14" s="81" t="s">
        <v>49</v>
      </c>
      <c r="X14" s="83"/>
      <c r="Y14" s="4"/>
      <c r="Z14" s="4"/>
      <c r="AA14" s="4"/>
      <c r="AB14" s="4"/>
      <c r="AC14" s="4"/>
      <c r="AD14" s="81" t="s">
        <v>49</v>
      </c>
      <c r="AE14" s="83"/>
      <c r="AF14" s="4"/>
      <c r="AG14" s="4"/>
      <c r="AH14" s="4"/>
      <c r="AI14" s="4"/>
      <c r="AJ14" s="4"/>
      <c r="AK14" s="81" t="s">
        <v>49</v>
      </c>
      <c r="AL14" s="83"/>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80" t="str">
        <f>IF(B16=C16,"Unentschieden",IF(B16&gt;C16,B15,C15))</f>
        <v>Tschechien</v>
      </c>
      <c r="C17" s="95"/>
      <c r="D17" s="4"/>
      <c r="E17" s="4"/>
      <c r="F17" s="4"/>
      <c r="G17" s="4"/>
      <c r="H17" s="4"/>
      <c r="I17" s="80" t="str">
        <f>IF(I16=J16,"Unentschieden",IF(I16&gt;J16,I15,J15))</f>
        <v>Schweiz</v>
      </c>
      <c r="J17" s="95"/>
      <c r="K17" s="4"/>
      <c r="L17" s="4"/>
      <c r="M17" s="4"/>
      <c r="N17" s="4"/>
      <c r="O17" s="4"/>
      <c r="P17" s="80" t="str">
        <f>IF(P16=Q16,"Unentschieden",IF(P16&gt;Q16,P15,Q15))</f>
        <v>Marokko</v>
      </c>
      <c r="Q17" s="95"/>
      <c r="R17" s="4"/>
      <c r="S17" s="4"/>
      <c r="T17" s="4"/>
      <c r="U17" s="4"/>
      <c r="V17" s="4"/>
      <c r="W17" s="80" t="str">
        <f>IF(W16=X16,"Unentschieden",IF(W16&gt;X16,W15,X15))</f>
        <v>Unentschieden</v>
      </c>
      <c r="X17" s="95"/>
      <c r="Y17" s="4"/>
      <c r="Z17" s="4"/>
      <c r="AA17" s="4"/>
      <c r="AB17" s="4"/>
      <c r="AC17" s="4"/>
      <c r="AD17" s="80" t="str">
        <f>IF(AD16=AE16,"Unentschieden",IF(AD16&gt;AE16,AD15,AE15))</f>
        <v>Ecuador</v>
      </c>
      <c r="AE17" s="95"/>
      <c r="AF17" s="4"/>
      <c r="AG17" s="4"/>
      <c r="AH17" s="4"/>
      <c r="AI17" s="4"/>
      <c r="AJ17" s="4"/>
      <c r="AK17" s="80"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80" t="str">
        <f>IF(B21=C21,"Unentschieden",IF(B21&gt;C21,B20,C20))</f>
        <v>Mexiko</v>
      </c>
      <c r="C22" s="95"/>
      <c r="D22" s="4"/>
      <c r="E22" s="4"/>
      <c r="F22" s="4"/>
      <c r="G22" s="4"/>
      <c r="H22" s="4"/>
      <c r="I22" s="80" t="str">
        <f>IF(I21=J21,"Unentschieden",IF(I21&gt;J21,I20,J20))</f>
        <v>Kanada</v>
      </c>
      <c r="J22" s="95"/>
      <c r="K22" s="4"/>
      <c r="L22" s="4"/>
      <c r="M22" s="4"/>
      <c r="N22" s="4"/>
      <c r="O22" s="4"/>
      <c r="P22" s="80" t="str">
        <f>IF(P21=Q21,"Unentschieden",IF(P21&gt;Q21,P20,Q20))</f>
        <v>Brasilien</v>
      </c>
      <c r="Q22" s="95"/>
      <c r="R22" s="4"/>
      <c r="S22" s="4"/>
      <c r="T22" s="4"/>
      <c r="U22" s="4"/>
      <c r="V22" s="4"/>
      <c r="W22" s="80" t="str">
        <f>IF(W21=X21,"Unentschieden",IF(W21&gt;X21,W20,X20))</f>
        <v>USA</v>
      </c>
      <c r="X22" s="95"/>
      <c r="Y22" s="4"/>
      <c r="Z22" s="4"/>
      <c r="AA22" s="4"/>
      <c r="AB22" s="4"/>
      <c r="AC22" s="4"/>
      <c r="AD22" s="80" t="str">
        <f>IF(AD21=AE21,"Unentschieden",IF(AD21&gt;AE21,AD20,AE20))</f>
        <v>Deutschland</v>
      </c>
      <c r="AE22" s="95"/>
      <c r="AF22" s="4"/>
      <c r="AG22" s="4"/>
      <c r="AH22" s="4"/>
      <c r="AI22" s="4"/>
      <c r="AJ22" s="4"/>
      <c r="AK22" s="80"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3"/>
      <c r="D25" s="4"/>
      <c r="E25" s="4"/>
      <c r="F25" s="4"/>
      <c r="G25" s="4"/>
      <c r="H25" s="4"/>
      <c r="I25" s="81" t="s">
        <v>50</v>
      </c>
      <c r="J25" s="83"/>
      <c r="K25" s="4"/>
      <c r="L25" s="4"/>
      <c r="M25" s="4"/>
      <c r="N25" s="4"/>
      <c r="O25" s="4"/>
      <c r="P25" s="81" t="s">
        <v>50</v>
      </c>
      <c r="Q25" s="83"/>
      <c r="R25" s="4"/>
      <c r="S25" s="4"/>
      <c r="T25" s="4"/>
      <c r="U25" s="4"/>
      <c r="V25" s="4"/>
      <c r="W25" s="81" t="s">
        <v>50</v>
      </c>
      <c r="X25" s="83"/>
      <c r="Y25" s="4"/>
      <c r="Z25" s="4"/>
      <c r="AA25" s="4"/>
      <c r="AB25" s="4"/>
      <c r="AC25" s="4"/>
      <c r="AD25" s="81" t="s">
        <v>50</v>
      </c>
      <c r="AE25" s="83"/>
      <c r="AF25" s="4"/>
      <c r="AG25" s="4"/>
      <c r="AH25" s="4"/>
      <c r="AI25" s="4"/>
      <c r="AJ25" s="4"/>
      <c r="AK25" s="81" t="s">
        <v>50</v>
      </c>
      <c r="AL25" s="83"/>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80" t="str">
        <f>IF(B27=C27,"Unentschieden",IF(B27&gt;C27,B26,C26))</f>
        <v>Südkorea</v>
      </c>
      <c r="C28" s="95"/>
      <c r="D28" s="4"/>
      <c r="E28" s="4"/>
      <c r="F28" s="4"/>
      <c r="G28" s="4"/>
      <c r="H28" s="4"/>
      <c r="I28" s="80" t="str">
        <f>IF(I27=J27,"Unentschieden",IF(I27&gt;J27,I26,J26))</f>
        <v>Bosnien-Herz.</v>
      </c>
      <c r="J28" s="95"/>
      <c r="K28" s="4"/>
      <c r="L28" s="4"/>
      <c r="M28" s="4"/>
      <c r="N28" s="4"/>
      <c r="O28" s="4"/>
      <c r="P28" s="80" t="str">
        <f>IF(P27=Q27,"Unentschieden",IF(P27&gt;Q27,P26,Q26))</f>
        <v>Marokko</v>
      </c>
      <c r="Q28" s="95"/>
      <c r="R28" s="4"/>
      <c r="S28" s="4"/>
      <c r="T28" s="4"/>
      <c r="U28" s="4"/>
      <c r="V28" s="4"/>
      <c r="W28" s="80" t="str">
        <f>IF(W27=X27,"Unentschieden",IF(W27&gt;X27,W26,X26))</f>
        <v>Paraguay</v>
      </c>
      <c r="X28" s="95"/>
      <c r="Y28" s="4"/>
      <c r="Z28" s="4"/>
      <c r="AA28" s="4"/>
      <c r="AB28" s="4"/>
      <c r="AC28" s="4"/>
      <c r="AD28" s="80" t="str">
        <f>IF(AD27=AE27,"Unentschieden",IF(AD27&gt;AE27,AD26,AE26))</f>
        <v>Elfenbeinküste</v>
      </c>
      <c r="AE28" s="95"/>
      <c r="AF28" s="4"/>
      <c r="AG28" s="4"/>
      <c r="AH28" s="4"/>
      <c r="AI28" s="4"/>
      <c r="AJ28" s="4"/>
      <c r="AK28" s="80"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80" t="str">
        <f>IF(B32=C32,"Unentschieden",IF(B32&gt;C32,B31,C31))</f>
        <v>Mexiko</v>
      </c>
      <c r="C33" s="95"/>
      <c r="D33" s="4"/>
      <c r="E33" s="4"/>
      <c r="F33" s="4"/>
      <c r="G33" s="4"/>
      <c r="H33" s="4"/>
      <c r="I33" s="80" t="str">
        <f>IF(I32=J32,"Unentschieden",IF(I32&gt;J32,I31,J31))</f>
        <v>Unentschieden</v>
      </c>
      <c r="J33" s="95"/>
      <c r="K33" s="4"/>
      <c r="L33" s="4"/>
      <c r="M33" s="4"/>
      <c r="N33" s="4"/>
      <c r="O33" s="4"/>
      <c r="P33" s="80" t="str">
        <f>IF(P32=Q32,"Unentschieden",IF(P32&gt;Q32,P31,Q31))</f>
        <v>Brasilien</v>
      </c>
      <c r="Q33" s="95"/>
      <c r="R33" s="4"/>
      <c r="S33" s="4"/>
      <c r="T33" s="4"/>
      <c r="U33" s="4"/>
      <c r="V33" s="4"/>
      <c r="W33" s="80" t="str">
        <f>IF(W32=X32,"Unentschieden",IF(W32&gt;X32,W31,X31))</f>
        <v>USA</v>
      </c>
      <c r="X33" s="95"/>
      <c r="Y33" s="4"/>
      <c r="Z33" s="4"/>
      <c r="AA33" s="4"/>
      <c r="AB33" s="4"/>
      <c r="AC33" s="4"/>
      <c r="AD33" s="80" t="str">
        <f>IF(AD32=AE32,"Unentschieden",IF(AD32&gt;AE32,AD31,AE31))</f>
        <v>Deutschland</v>
      </c>
      <c r="AE33" s="95"/>
      <c r="AF33" s="4"/>
      <c r="AG33" s="4"/>
      <c r="AH33" s="4"/>
      <c r="AI33" s="4"/>
      <c r="AJ33" s="4"/>
      <c r="AK33" s="80"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3"/>
      <c r="D42" s="1"/>
      <c r="E42" s="1"/>
      <c r="F42" s="1"/>
      <c r="G42" s="4"/>
      <c r="H42" s="4"/>
      <c r="I42" s="81" t="s">
        <v>56</v>
      </c>
      <c r="J42" s="83"/>
      <c r="K42" s="1"/>
      <c r="L42" s="1"/>
      <c r="M42" s="1"/>
      <c r="N42" s="4"/>
      <c r="O42" s="4"/>
      <c r="P42" s="81" t="s">
        <v>56</v>
      </c>
      <c r="Q42" s="83"/>
      <c r="U42" s="4"/>
      <c r="V42" s="4"/>
      <c r="W42" s="81" t="s">
        <v>56</v>
      </c>
      <c r="X42" s="83"/>
      <c r="AB42" s="4"/>
      <c r="AC42" s="4"/>
      <c r="AD42" s="81" t="s">
        <v>56</v>
      </c>
      <c r="AE42" s="83"/>
      <c r="AI42" s="4"/>
      <c r="AJ42" s="4"/>
      <c r="AK42" s="81" t="s">
        <v>56</v>
      </c>
      <c r="AL42" s="83"/>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3"/>
      <c r="C48" s="83"/>
      <c r="D48" s="83"/>
      <c r="E48" s="6"/>
      <c r="F48" s="6"/>
      <c r="G48" s="4"/>
      <c r="H48" s="79" t="s">
        <v>58</v>
      </c>
      <c r="I48" s="83"/>
      <c r="J48" s="83"/>
      <c r="K48" s="83"/>
      <c r="L48" s="6"/>
      <c r="M48" s="6"/>
      <c r="N48" s="4"/>
      <c r="O48" s="79" t="s">
        <v>59</v>
      </c>
      <c r="P48" s="83"/>
      <c r="Q48" s="83"/>
      <c r="R48" s="83"/>
      <c r="S48" s="6"/>
      <c r="T48" s="6"/>
      <c r="U48" s="4"/>
      <c r="V48" s="79" t="s">
        <v>60</v>
      </c>
      <c r="W48" s="83"/>
      <c r="X48" s="83"/>
      <c r="Y48" s="83"/>
      <c r="Z48" s="6"/>
      <c r="AA48" s="6"/>
      <c r="AB48" s="4"/>
      <c r="AC48" s="79" t="s">
        <v>61</v>
      </c>
      <c r="AD48" s="83"/>
      <c r="AE48" s="83"/>
      <c r="AF48" s="83"/>
      <c r="AG48" s="6"/>
      <c r="AH48" s="6"/>
      <c r="AI48" s="4"/>
      <c r="AJ48" s="79" t="s">
        <v>62</v>
      </c>
      <c r="AK48" s="83"/>
      <c r="AL48" s="83"/>
      <c r="AM48" s="83"/>
      <c r="AN48" s="6"/>
      <c r="AO48" s="6"/>
      <c r="AP48" s="4"/>
    </row>
    <row r="49" spans="1:42" ht="17.399999999999999" customHeight="1" x14ac:dyDescent="0.45">
      <c r="A49" s="83"/>
      <c r="B49" s="83"/>
      <c r="C49" s="83"/>
      <c r="D49" s="83"/>
      <c r="E49" s="6"/>
      <c r="F49" s="6"/>
      <c r="G49" s="4"/>
      <c r="H49" s="83"/>
      <c r="I49" s="83"/>
      <c r="J49" s="83"/>
      <c r="K49" s="83"/>
      <c r="L49" s="6"/>
      <c r="M49" s="6"/>
      <c r="N49" s="4"/>
      <c r="O49" s="83"/>
      <c r="P49" s="83"/>
      <c r="Q49" s="83"/>
      <c r="R49" s="83"/>
      <c r="S49" s="6"/>
      <c r="T49" s="6"/>
      <c r="U49" s="4"/>
      <c r="V49" s="83"/>
      <c r="W49" s="83"/>
      <c r="X49" s="83"/>
      <c r="Y49" s="83"/>
      <c r="Z49" s="6"/>
      <c r="AA49" s="6"/>
      <c r="AB49" s="4"/>
      <c r="AC49" s="83"/>
      <c r="AD49" s="83"/>
      <c r="AE49" s="83"/>
      <c r="AF49" s="83"/>
      <c r="AG49" s="6"/>
      <c r="AH49" s="6"/>
      <c r="AI49" s="4"/>
      <c r="AJ49" s="83"/>
      <c r="AK49" s="83"/>
      <c r="AL49" s="83"/>
      <c r="AM49" s="83"/>
      <c r="AN49" s="6"/>
      <c r="AO49" s="6"/>
      <c r="AP49" s="4"/>
    </row>
    <row r="50" spans="1:42" x14ac:dyDescent="0.45">
      <c r="A50" s="4"/>
      <c r="B50" s="81" t="s">
        <v>24</v>
      </c>
      <c r="C50" s="83"/>
      <c r="D50" s="4"/>
      <c r="E50" s="4"/>
      <c r="F50" s="4"/>
      <c r="G50" s="4"/>
      <c r="H50" s="4"/>
      <c r="I50" s="81" t="s">
        <v>24</v>
      </c>
      <c r="J50" s="83"/>
      <c r="K50" s="4"/>
      <c r="L50" s="4"/>
      <c r="M50" s="4"/>
      <c r="N50" s="4"/>
      <c r="O50" s="4"/>
      <c r="P50" s="81" t="s">
        <v>24</v>
      </c>
      <c r="Q50" s="83"/>
      <c r="R50" s="4"/>
      <c r="S50" s="4"/>
      <c r="T50" s="4"/>
      <c r="U50" s="4"/>
      <c r="V50" s="4"/>
      <c r="W50" s="81" t="s">
        <v>24</v>
      </c>
      <c r="X50" s="83"/>
      <c r="Y50" s="4"/>
      <c r="Z50" s="4"/>
      <c r="AA50" s="4"/>
      <c r="AB50" s="4"/>
      <c r="AC50" s="4"/>
      <c r="AD50" s="81" t="s">
        <v>24</v>
      </c>
      <c r="AE50" s="83"/>
      <c r="AF50" s="4"/>
      <c r="AG50" s="4"/>
      <c r="AH50" s="4"/>
      <c r="AI50" s="4"/>
      <c r="AJ50" s="4"/>
      <c r="AK50" s="81" t="s">
        <v>24</v>
      </c>
      <c r="AL50" s="83"/>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80" t="str">
        <f>IF(B52=C52,"Unentschieden",IF(B52&gt;C52,B51,C51))</f>
        <v>Belgien</v>
      </c>
      <c r="C53" s="95"/>
      <c r="D53" s="4"/>
      <c r="E53" s="4"/>
      <c r="F53" s="4"/>
      <c r="G53" s="4"/>
      <c r="H53" s="4"/>
      <c r="I53" s="80" t="str">
        <f>IF(I52=J52,"Unentschieden",IF(I52&gt;J52,I51,J51))</f>
        <v>Spanien</v>
      </c>
      <c r="J53" s="95"/>
      <c r="K53" s="4"/>
      <c r="L53" s="4"/>
      <c r="M53" s="4"/>
      <c r="N53" s="4"/>
      <c r="O53" s="4"/>
      <c r="P53" s="80" t="str">
        <f>IF(P52=Q52,"Unentschieden",IF(P52&gt;Q52,P51,Q51))</f>
        <v>Frankreich</v>
      </c>
      <c r="Q53" s="95"/>
      <c r="R53" s="4"/>
      <c r="S53" s="4"/>
      <c r="T53" s="4"/>
      <c r="U53" s="4"/>
      <c r="V53" s="4"/>
      <c r="W53" s="80" t="str">
        <f>IF(W52=X52,"Unentschieden",IF(W52&gt;X52,W51,X51))</f>
        <v>Argentinien</v>
      </c>
      <c r="X53" s="95"/>
      <c r="Y53" s="4"/>
      <c r="Z53" s="4"/>
      <c r="AA53" s="4"/>
      <c r="AB53" s="4"/>
      <c r="AC53" s="4"/>
      <c r="AD53" s="80" t="str">
        <f>IF(AD52=AE52,"Unentschieden",IF(AD52&gt;AE52,AD51,AE51))</f>
        <v>Portugal</v>
      </c>
      <c r="AE53" s="95"/>
      <c r="AF53" s="4"/>
      <c r="AG53" s="4"/>
      <c r="AH53" s="4"/>
      <c r="AI53" s="4"/>
      <c r="AJ53" s="4"/>
      <c r="AK53" s="80"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80" t="str">
        <f>IF(B57=C57,"Unentschieden",IF(B57&gt;C57,B56,C56))</f>
        <v>Iran</v>
      </c>
      <c r="C58" s="95"/>
      <c r="D58" s="4"/>
      <c r="E58" s="4"/>
      <c r="F58" s="4"/>
      <c r="G58" s="4"/>
      <c r="H58" s="4"/>
      <c r="I58" s="80" t="str">
        <f>IF(I57=J57,"Unentschieden",IF(I57&gt;J57,I56,J56))</f>
        <v>Uruguay</v>
      </c>
      <c r="J58" s="95"/>
      <c r="K58" s="4"/>
      <c r="L58" s="4"/>
      <c r="M58" s="4"/>
      <c r="N58" s="4"/>
      <c r="O58" s="4"/>
      <c r="P58" s="80" t="str">
        <f>IF(P57=Q57,"Unentschieden",IF(P57&gt;Q57,P56,Q56))</f>
        <v>Norwegen</v>
      </c>
      <c r="Q58" s="95"/>
      <c r="R58" s="4"/>
      <c r="S58" s="4"/>
      <c r="T58" s="4"/>
      <c r="U58" s="4"/>
      <c r="V58" s="4"/>
      <c r="W58" s="80" t="str">
        <f>IF(W57=X57,"Unentschieden",IF(W57&gt;X57,W56,X56))</f>
        <v>Österreich</v>
      </c>
      <c r="X58" s="95"/>
      <c r="Y58" s="4"/>
      <c r="Z58" s="4"/>
      <c r="AA58" s="4"/>
      <c r="AB58" s="4"/>
      <c r="AC58" s="4"/>
      <c r="AD58" s="80" t="str">
        <f>IF(AD57=AE57,"Unentschieden",IF(AD57&gt;AE57,AD56,AE56))</f>
        <v>Kolumbien</v>
      </c>
      <c r="AE58" s="95"/>
      <c r="AF58" s="4"/>
      <c r="AG58" s="4"/>
      <c r="AH58" s="4"/>
      <c r="AI58" s="4"/>
      <c r="AJ58" s="4"/>
      <c r="AK58" s="80"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3"/>
      <c r="D61" s="4"/>
      <c r="E61" s="4"/>
      <c r="F61" s="4"/>
      <c r="G61" s="4"/>
      <c r="H61" s="4"/>
      <c r="I61" s="81" t="s">
        <v>49</v>
      </c>
      <c r="J61" s="83"/>
      <c r="K61" s="4"/>
      <c r="L61" s="4"/>
      <c r="M61" s="4"/>
      <c r="N61" s="4"/>
      <c r="O61" s="4"/>
      <c r="P61" s="81" t="s">
        <v>49</v>
      </c>
      <c r="Q61" s="83"/>
      <c r="R61" s="4"/>
      <c r="S61" s="4"/>
      <c r="T61" s="4"/>
      <c r="U61" s="4"/>
      <c r="V61" s="4"/>
      <c r="W61" s="81" t="s">
        <v>49</v>
      </c>
      <c r="X61" s="83"/>
      <c r="Y61" s="4"/>
      <c r="Z61" s="4"/>
      <c r="AA61" s="4"/>
      <c r="AB61" s="4"/>
      <c r="AC61" s="4"/>
      <c r="AD61" s="81" t="s">
        <v>49</v>
      </c>
      <c r="AE61" s="83"/>
      <c r="AF61" s="4"/>
      <c r="AG61" s="4"/>
      <c r="AH61" s="4"/>
      <c r="AI61" s="4"/>
      <c r="AJ61" s="4"/>
      <c r="AK61" s="81" t="s">
        <v>49</v>
      </c>
      <c r="AL61" s="83"/>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80" t="str">
        <f>IF(B63=C63,"Unentschieden",IF(B63&gt;C63,B62,C62))</f>
        <v>Belgien</v>
      </c>
      <c r="C64" s="95"/>
      <c r="D64" s="4"/>
      <c r="E64" s="4"/>
      <c r="F64" s="4"/>
      <c r="G64" s="4"/>
      <c r="H64" s="4"/>
      <c r="I64" s="80" t="str">
        <f>IF(I63=J63,"Unentschieden",IF(I63&gt;J63,I62,J62))</f>
        <v>Spanien</v>
      </c>
      <c r="J64" s="95"/>
      <c r="K64" s="4"/>
      <c r="L64" s="4"/>
      <c r="M64" s="4"/>
      <c r="N64" s="4"/>
      <c r="O64" s="4"/>
      <c r="P64" s="80" t="str">
        <f>IF(P63=Q63,"Unentschieden",IF(P63&gt;Q63,P62,Q62))</f>
        <v>Frankreich</v>
      </c>
      <c r="Q64" s="95"/>
      <c r="R64" s="4"/>
      <c r="S64" s="4"/>
      <c r="T64" s="4"/>
      <c r="U64" s="4"/>
      <c r="V64" s="4"/>
      <c r="W64" s="80" t="str">
        <f>IF(W63=X63,"Unentschieden",IF(W63&gt;X63,W62,X62))</f>
        <v>Argentinien</v>
      </c>
      <c r="X64" s="95"/>
      <c r="Y64" s="4"/>
      <c r="Z64" s="4"/>
      <c r="AA64" s="4"/>
      <c r="AB64" s="4"/>
      <c r="AC64" s="4"/>
      <c r="AD64" s="80" t="str">
        <f>IF(AD63=AE63,"Unentschieden",IF(AD63&gt;AE63,AD62,AE62))</f>
        <v>Portugal</v>
      </c>
      <c r="AE64" s="95"/>
      <c r="AF64" s="4"/>
      <c r="AG64" s="4"/>
      <c r="AH64" s="4"/>
      <c r="AI64" s="4"/>
      <c r="AJ64" s="4"/>
      <c r="AK64" s="80"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80" t="str">
        <f>IF(B68=C68,"Unentschieden",IF(B68&gt;C68,B67,C67))</f>
        <v>Ägypten</v>
      </c>
      <c r="C69" s="95"/>
      <c r="D69" s="4"/>
      <c r="E69" s="4"/>
      <c r="F69" s="4"/>
      <c r="G69" s="4"/>
      <c r="H69" s="4"/>
      <c r="I69" s="80" t="str">
        <f>IF(I68=J68,"Unentschieden",IF(I68&gt;J68,I67,J67))</f>
        <v>Uruguay</v>
      </c>
      <c r="J69" s="95"/>
      <c r="K69" s="4"/>
      <c r="L69" s="4"/>
      <c r="M69" s="4"/>
      <c r="N69" s="4"/>
      <c r="O69" s="4"/>
      <c r="P69" s="80" t="str">
        <f>IF(P68=Q68,"Unentschieden",IF(P68&gt;Q68,P67,Q67))</f>
        <v>Norwegen</v>
      </c>
      <c r="Q69" s="95"/>
      <c r="R69" s="4"/>
      <c r="S69" s="4"/>
      <c r="T69" s="4"/>
      <c r="U69" s="4"/>
      <c r="V69" s="4"/>
      <c r="W69" s="80" t="str">
        <f>IF(W68=X68,"Unentschieden",IF(W68&gt;X68,W67,X67))</f>
        <v>Algerien</v>
      </c>
      <c r="X69" s="95"/>
      <c r="Y69" s="4"/>
      <c r="Z69" s="4"/>
      <c r="AA69" s="4"/>
      <c r="AB69" s="4"/>
      <c r="AC69" s="4"/>
      <c r="AD69" s="80" t="str">
        <f>IF(AD68=AE68,"Unentschieden",IF(AD68&gt;AE68,AD67,AE67))</f>
        <v>Kolumbien</v>
      </c>
      <c r="AE69" s="95"/>
      <c r="AF69" s="4"/>
      <c r="AG69" s="4"/>
      <c r="AH69" s="4"/>
      <c r="AI69" s="4"/>
      <c r="AJ69" s="4"/>
      <c r="AK69" s="80"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3"/>
      <c r="D72" s="4"/>
      <c r="E72" s="4"/>
      <c r="F72" s="4"/>
      <c r="G72" s="4"/>
      <c r="H72" s="4"/>
      <c r="I72" s="81" t="s">
        <v>50</v>
      </c>
      <c r="J72" s="83"/>
      <c r="K72" s="4"/>
      <c r="L72" s="4"/>
      <c r="M72" s="4"/>
      <c r="N72" s="4"/>
      <c r="O72" s="4"/>
      <c r="P72" s="81" t="s">
        <v>50</v>
      </c>
      <c r="Q72" s="83"/>
      <c r="R72" s="4"/>
      <c r="S72" s="4"/>
      <c r="T72" s="4"/>
      <c r="U72" s="4"/>
      <c r="V72" s="4"/>
      <c r="W72" s="81" t="s">
        <v>50</v>
      </c>
      <c r="X72" s="83"/>
      <c r="Y72" s="4"/>
      <c r="Z72" s="4"/>
      <c r="AA72" s="4"/>
      <c r="AB72" s="4"/>
      <c r="AC72" s="4"/>
      <c r="AD72" s="81" t="s">
        <v>50</v>
      </c>
      <c r="AE72" s="83"/>
      <c r="AF72" s="4"/>
      <c r="AG72" s="4"/>
      <c r="AH72" s="4"/>
      <c r="AI72" s="4"/>
      <c r="AJ72" s="4"/>
      <c r="AK72" s="81" t="s">
        <v>50</v>
      </c>
      <c r="AL72" s="83"/>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80" t="str">
        <f>IF(B74=C74,"Unentschieden",IF(B74&gt;C74,B73,C73))</f>
        <v>Belgien</v>
      </c>
      <c r="C75" s="95"/>
      <c r="D75" s="4"/>
      <c r="E75" s="4"/>
      <c r="F75" s="4"/>
      <c r="G75" s="4"/>
      <c r="H75" s="4"/>
      <c r="I75" s="80" t="str">
        <f>IF(I74=J74,"Unentschieden",IF(I74&gt;J74,I73,J73))</f>
        <v>Spanien</v>
      </c>
      <c r="J75" s="95"/>
      <c r="K75" s="4"/>
      <c r="L75" s="4"/>
      <c r="M75" s="4"/>
      <c r="N75" s="4"/>
      <c r="O75" s="4"/>
      <c r="P75" s="80" t="str">
        <f>IF(P74=Q74,"Unentschieden",IF(P74&gt;Q74,P73,Q73))</f>
        <v>Frankreich</v>
      </c>
      <c r="Q75" s="95"/>
      <c r="R75" s="4"/>
      <c r="S75" s="4"/>
      <c r="T75" s="4"/>
      <c r="U75" s="4"/>
      <c r="V75" s="4"/>
      <c r="W75" s="80" t="str">
        <f>IF(W74=X74,"Unentschieden",IF(W74&gt;X74,W73,X73))</f>
        <v>Argentinien</v>
      </c>
      <c r="X75" s="95"/>
      <c r="Y75" s="4"/>
      <c r="Z75" s="4"/>
      <c r="AA75" s="4"/>
      <c r="AB75" s="4"/>
      <c r="AC75" s="4"/>
      <c r="AD75" s="80" t="str">
        <f>IF(AD74=AE74,"Unentschieden",IF(AD74&gt;AE74,AD73,AE73))</f>
        <v>Portugal</v>
      </c>
      <c r="AE75" s="95"/>
      <c r="AF75" s="4"/>
      <c r="AG75" s="4"/>
      <c r="AH75" s="4"/>
      <c r="AI75" s="4"/>
      <c r="AJ75" s="4"/>
      <c r="AK75" s="80"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80" t="str">
        <f>IF(B79=C79,"Unentschieden",IF(B79&gt;C79,B78,C78))</f>
        <v>Ägypten</v>
      </c>
      <c r="C80" s="95"/>
      <c r="D80" s="4"/>
      <c r="E80" s="4"/>
      <c r="F80" s="4"/>
      <c r="G80" s="4"/>
      <c r="H80" s="4"/>
      <c r="I80" s="80" t="str">
        <f>IF(I79=J79,"Unentschieden",IF(I79&gt;J79,I78,J78))</f>
        <v>Unentschieden</v>
      </c>
      <c r="J80" s="95"/>
      <c r="K80" s="4"/>
      <c r="L80" s="4"/>
      <c r="M80" s="4"/>
      <c r="N80" s="4"/>
      <c r="O80" s="4"/>
      <c r="P80" s="80" t="str">
        <f>IF(P79=Q79,"Unentschieden",IF(P79&gt;Q79,P78,Q78))</f>
        <v>Senegal</v>
      </c>
      <c r="Q80" s="95"/>
      <c r="R80" s="4"/>
      <c r="S80" s="4"/>
      <c r="T80" s="4"/>
      <c r="U80" s="4"/>
      <c r="V80" s="4"/>
      <c r="W80" s="80" t="str">
        <f>IF(W79=X79,"Unentschieden",IF(W79&gt;X79,W78,X78))</f>
        <v>Österreich</v>
      </c>
      <c r="X80" s="95"/>
      <c r="Y80" s="4"/>
      <c r="Z80" s="4"/>
      <c r="AA80" s="4"/>
      <c r="AB80" s="4"/>
      <c r="AC80" s="4"/>
      <c r="AD80" s="80" t="str">
        <f>IF(AD79=AE79,"Unentschieden",IF(AD79&gt;AE79,AD78,AE78))</f>
        <v>Unentschieden</v>
      </c>
      <c r="AE80" s="95"/>
      <c r="AF80" s="4"/>
      <c r="AG80" s="4"/>
      <c r="AH80" s="4"/>
      <c r="AI80" s="4"/>
      <c r="AJ80" s="4"/>
      <c r="AK80" s="80"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3"/>
      <c r="G89" s="4"/>
      <c r="H89" s="4"/>
      <c r="I89" s="81" t="s">
        <v>56</v>
      </c>
      <c r="J89" s="83"/>
      <c r="K89" s="1"/>
      <c r="L89" s="1"/>
      <c r="M89" s="1"/>
      <c r="N89" s="4"/>
      <c r="O89" s="4"/>
      <c r="P89" s="81" t="s">
        <v>56</v>
      </c>
      <c r="Q89" s="83"/>
      <c r="R89" s="1"/>
      <c r="S89" s="1"/>
      <c r="T89" s="1"/>
      <c r="U89" s="4"/>
      <c r="V89" s="4"/>
      <c r="W89" s="81" t="s">
        <v>56</v>
      </c>
      <c r="X89" s="83"/>
      <c r="Y89" s="1"/>
      <c r="Z89" s="1"/>
      <c r="AA89" s="1"/>
      <c r="AB89" s="4"/>
      <c r="AC89" s="4"/>
      <c r="AD89" s="81" t="s">
        <v>56</v>
      </c>
      <c r="AE89" s="83"/>
      <c r="AI89" s="4"/>
      <c r="AJ89" s="4"/>
      <c r="AK89" s="81" t="s">
        <v>56</v>
      </c>
      <c r="AL89" s="83"/>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82" t="s">
        <v>51</v>
      </c>
      <c r="S97" s="83"/>
      <c r="T97" s="83"/>
      <c r="U97" s="2" t="s">
        <v>52</v>
      </c>
      <c r="V97" s="2" t="s">
        <v>88</v>
      </c>
      <c r="W97" s="2" t="s">
        <v>89</v>
      </c>
      <c r="X97" s="2" t="s">
        <v>90</v>
      </c>
    </row>
    <row r="98" spans="17:24" x14ac:dyDescent="0.45">
      <c r="R98" s="82" t="str">
        <f>B92</f>
        <v>Iran</v>
      </c>
      <c r="S98" s="83"/>
      <c r="T98" s="83"/>
      <c r="U98" s="2">
        <f>C92</f>
        <v>3</v>
      </c>
      <c r="V98" s="2">
        <f>D92</f>
        <v>2</v>
      </c>
      <c r="W98" s="2">
        <f>E92</f>
        <v>3</v>
      </c>
      <c r="X98" s="2">
        <f>F92</f>
        <v>-1</v>
      </c>
    </row>
    <row r="99" spans="17:24" x14ac:dyDescent="0.45">
      <c r="R99" s="82" t="str">
        <f>I92</f>
        <v>Saudi-Arabien</v>
      </c>
      <c r="S99" s="83"/>
      <c r="T99" s="83"/>
      <c r="U99" s="2">
        <f>J92</f>
        <v>1</v>
      </c>
      <c r="V99" s="2">
        <f>K92</f>
        <v>1</v>
      </c>
      <c r="W99" s="2">
        <f>L92</f>
        <v>6</v>
      </c>
      <c r="X99" s="2">
        <f>M92</f>
        <v>-5</v>
      </c>
    </row>
    <row r="100" spans="17:24" x14ac:dyDescent="0.45">
      <c r="R100" s="82" t="str">
        <f>P92</f>
        <v>Senegal</v>
      </c>
      <c r="S100" s="83"/>
      <c r="T100" s="83"/>
      <c r="U100" s="2">
        <f>Q92</f>
        <v>3</v>
      </c>
      <c r="V100" s="2">
        <f>R92</f>
        <v>4</v>
      </c>
      <c r="W100" s="2">
        <f>S92</f>
        <v>4</v>
      </c>
      <c r="X100" s="2">
        <f>T92</f>
        <v>0</v>
      </c>
    </row>
    <row r="101" spans="17:24" x14ac:dyDescent="0.45">
      <c r="R101" s="82" t="str">
        <f>W92</f>
        <v>Algerien</v>
      </c>
      <c r="S101" s="83"/>
      <c r="T101" s="83"/>
      <c r="U101" s="2">
        <f>X92</f>
        <v>3</v>
      </c>
      <c r="V101" s="2">
        <f>Y92</f>
        <v>2</v>
      </c>
      <c r="W101" s="2">
        <f>Z92</f>
        <v>4</v>
      </c>
      <c r="X101" s="2">
        <f>AA92</f>
        <v>-2</v>
      </c>
    </row>
    <row r="102" spans="17:24" x14ac:dyDescent="0.45">
      <c r="R102" s="82" t="str">
        <f>AD92</f>
        <v>Usbekistan</v>
      </c>
      <c r="S102" s="83"/>
      <c r="T102" s="83"/>
      <c r="U102" s="2">
        <f>AE92</f>
        <v>1</v>
      </c>
      <c r="V102" s="2">
        <f>AF92</f>
        <v>1</v>
      </c>
      <c r="W102" s="2">
        <f>AG92</f>
        <v>5</v>
      </c>
      <c r="X102" s="2">
        <f>AH92</f>
        <v>-4</v>
      </c>
    </row>
    <row r="103" spans="17:24" x14ac:dyDescent="0.45">
      <c r="R103" s="82" t="str">
        <f>AK92</f>
        <v>Ghana</v>
      </c>
      <c r="S103" s="83"/>
      <c r="T103" s="83"/>
      <c r="U103" s="2">
        <f>AL92</f>
        <v>3</v>
      </c>
      <c r="V103" s="2">
        <f>AM92</f>
        <v>3</v>
      </c>
      <c r="W103" s="2">
        <f>AN92</f>
        <v>5</v>
      </c>
      <c r="X103" s="2">
        <f>AO92</f>
        <v>-2</v>
      </c>
    </row>
    <row r="104" spans="17:24" x14ac:dyDescent="0.45">
      <c r="R104" s="82" t="str">
        <f>B45</f>
        <v>Tschechien</v>
      </c>
      <c r="S104" s="83"/>
      <c r="T104" s="83"/>
      <c r="U104" s="2">
        <f>C45</f>
        <v>4</v>
      </c>
      <c r="V104" s="2">
        <f>D45</f>
        <v>4</v>
      </c>
      <c r="W104" s="2">
        <f>E45</f>
        <v>4</v>
      </c>
      <c r="X104" s="2">
        <f>F45</f>
        <v>0</v>
      </c>
    </row>
    <row r="105" spans="17:24" x14ac:dyDescent="0.45">
      <c r="R105" s="82" t="str">
        <f>I45</f>
        <v>Bosnien-Herz.</v>
      </c>
      <c r="S105" s="83"/>
      <c r="T105" s="83"/>
      <c r="U105" s="2">
        <f>J45</f>
        <v>3</v>
      </c>
      <c r="V105" s="2">
        <f>K45</f>
        <v>3</v>
      </c>
      <c r="W105" s="2">
        <f>L45</f>
        <v>4</v>
      </c>
      <c r="X105" s="2">
        <f>M45</f>
        <v>-1</v>
      </c>
    </row>
    <row r="106" spans="17:24" x14ac:dyDescent="0.45">
      <c r="R106" s="82" t="str">
        <f>P45</f>
        <v>Schottland</v>
      </c>
      <c r="S106" s="83"/>
      <c r="T106" s="83"/>
      <c r="U106" s="2">
        <f>Q45</f>
        <v>3</v>
      </c>
      <c r="V106" s="2">
        <f>R45</f>
        <v>3</v>
      </c>
      <c r="W106" s="2">
        <f>S45</f>
        <v>4</v>
      </c>
      <c r="X106" s="2">
        <f>T45</f>
        <v>-1</v>
      </c>
    </row>
    <row r="107" spans="17:24" x14ac:dyDescent="0.45">
      <c r="R107" s="82" t="str">
        <f>W45</f>
        <v>Paraguay</v>
      </c>
      <c r="S107" s="83"/>
      <c r="T107" s="83"/>
      <c r="U107" s="2">
        <f>X45</f>
        <v>4</v>
      </c>
      <c r="V107" s="2">
        <f>Y45</f>
        <v>2</v>
      </c>
      <c r="W107" s="2">
        <f>Z45</f>
        <v>3</v>
      </c>
      <c r="X107" s="2">
        <f>AA45</f>
        <v>-1</v>
      </c>
    </row>
    <row r="108" spans="17:24" x14ac:dyDescent="0.45">
      <c r="R108" s="82" t="str">
        <f>AD45</f>
        <v>Elfenbeinküste</v>
      </c>
      <c r="S108" s="83"/>
      <c r="T108" s="83"/>
      <c r="U108" s="2">
        <f>AE45</f>
        <v>4</v>
      </c>
      <c r="V108" s="2">
        <f>AF45</f>
        <v>3</v>
      </c>
      <c r="W108" s="2">
        <f>AG45</f>
        <v>3</v>
      </c>
      <c r="X108" s="2">
        <f>AH45</f>
        <v>0</v>
      </c>
    </row>
    <row r="109" spans="17:24" x14ac:dyDescent="0.45">
      <c r="R109" s="82" t="str">
        <f>AK45</f>
        <v>Schweden</v>
      </c>
      <c r="S109" s="83"/>
      <c r="T109" s="83"/>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20</v>
      </c>
    </row>
    <row r="155" spans="1:23" x14ac:dyDescent="0.45">
      <c r="A155" s="23" t="s">
        <v>103</v>
      </c>
      <c r="B155" s="24">
        <f>SUM(H160:H231)</f>
        <v>31</v>
      </c>
    </row>
    <row r="156" spans="1:23" x14ac:dyDescent="0.45">
      <c r="A156" s="23" t="s">
        <v>104</v>
      </c>
      <c r="B156" s="24">
        <f>SUM(E234:E265)</f>
        <v>115</v>
      </c>
    </row>
    <row r="157" spans="1:23" x14ac:dyDescent="0.45">
      <c r="A157" s="25" t="s">
        <v>105</v>
      </c>
      <c r="B157" s="26">
        <f>B154+B155+B156</f>
        <v>166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31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Katar</v>
      </c>
      <c r="D259" s="29" t="str">
        <f t="shared" si="1"/>
        <v>Elfenbeinküste</v>
      </c>
      <c r="E259" s="28">
        <f t="shared" si="0"/>
        <v>5</v>
      </c>
    </row>
    <row r="260" spans="1:5" x14ac:dyDescent="0.45">
      <c r="A260" s="28">
        <v>27</v>
      </c>
      <c r="B260" s="29" t="s">
        <v>360</v>
      </c>
      <c r="C260" s="29" t="str">
        <f>Realität!R114</f>
        <v>Marokko</v>
      </c>
      <c r="D260" s="29" t="str">
        <f t="shared" si="1"/>
        <v>Paraguay</v>
      </c>
      <c r="E260" s="28">
        <f t="shared" si="0"/>
        <v>0</v>
      </c>
    </row>
    <row r="261" spans="1:5" x14ac:dyDescent="0.45">
      <c r="A261" s="28">
        <v>28</v>
      </c>
      <c r="B261" s="29" t="s">
        <v>361</v>
      </c>
      <c r="C261" s="29" t="str">
        <f>Realität!R115</f>
        <v>Iran</v>
      </c>
      <c r="D261" s="29" t="str">
        <f t="shared" si="1"/>
        <v>Senegal</v>
      </c>
      <c r="E261" s="28">
        <f t="shared" si="0"/>
        <v>5</v>
      </c>
    </row>
    <row r="262" spans="1:5" x14ac:dyDescent="0.45">
      <c r="A262" s="28">
        <v>29</v>
      </c>
      <c r="B262" s="29" t="s">
        <v>362</v>
      </c>
      <c r="C262" s="29" t="str">
        <f>Realität!R116</f>
        <v>Saudi-Arabien</v>
      </c>
      <c r="D262" s="29" t="str">
        <f t="shared" si="1"/>
        <v>Bosnien-Herz.</v>
      </c>
      <c r="E262" s="28">
        <f t="shared" si="0"/>
        <v>5</v>
      </c>
    </row>
    <row r="263" spans="1:5" x14ac:dyDescent="0.45">
      <c r="A263" s="28">
        <v>30</v>
      </c>
      <c r="B263" s="29" t="s">
        <v>363</v>
      </c>
      <c r="C263" s="29" t="str">
        <f>Realität!R117</f>
        <v>Irak</v>
      </c>
      <c r="D263" s="29" t="str">
        <f t="shared" si="1"/>
        <v>Schottland</v>
      </c>
      <c r="E263" s="28">
        <f t="shared" si="0"/>
        <v>5</v>
      </c>
    </row>
    <row r="264" spans="1:5" x14ac:dyDescent="0.45">
      <c r="A264" s="28">
        <v>31</v>
      </c>
      <c r="B264" s="29" t="s">
        <v>364</v>
      </c>
      <c r="C264" s="29" t="str">
        <f>Realität!R118</f>
        <v>Österreich</v>
      </c>
      <c r="D264" s="29" t="str">
        <f t="shared" si="1"/>
        <v>Schweden</v>
      </c>
      <c r="E264" s="28">
        <f t="shared" si="0"/>
        <v>0</v>
      </c>
    </row>
    <row r="265" spans="1:5" x14ac:dyDescent="0.45">
      <c r="A265" s="28">
        <v>32</v>
      </c>
      <c r="B265" s="29" t="s">
        <v>365</v>
      </c>
      <c r="C265" s="29" t="str">
        <f>Realität!R119</f>
        <v>Usbekistan</v>
      </c>
      <c r="D265" s="29" t="str">
        <f t="shared" si="1"/>
        <v>Iran</v>
      </c>
      <c r="E265" s="28">
        <f t="shared" si="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2026-06-14T19:02:00Z</dcterms:modified>
</cp:coreProperties>
</file>