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86c3747c471c36/Dokumente/Coding Projekte/toto-wm2026/data/"/>
    </mc:Choice>
  </mc:AlternateContent>
  <xr:revisionPtr revIDLastSave="84" documentId="13_ncr:1_{A299B5FB-7316-45B5-8838-E7E2A244E032}" xr6:coauthVersionLast="47" xr6:coauthVersionMax="47" xr10:uidLastSave="{F1F5C8D2-1ABC-BF45-A496-EE8BDB89CEBE}"/>
  <bookViews>
    <workbookView xWindow="-108" yWindow="-108" windowWidth="41496" windowHeight="16776" xr2:uid="{273D125B-E266-46F2-82F7-47D58BEE0A24}"/>
  </bookViews>
  <sheets>
    <sheet name="Realität" sheetId="1" r:id="rId1"/>
    <sheet name="Colin" sheetId="3" r:id="rId2"/>
    <sheet name="Dennis" sheetId="4" r:id="rId3"/>
    <sheet name="Fabian" sheetId="5" r:id="rId4"/>
    <sheet name="Heidi" sheetId="6" r:id="rId5"/>
    <sheet name="Julius" sheetId="7" r:id="rId6"/>
    <sheet name="Leonard" sheetId="8" r:id="rId7"/>
    <sheet name="Mads" sheetId="10" r:id="rId8"/>
    <sheet name="Max" sheetId="11" r:id="rId9"/>
    <sheet name="Mirco" sheetId="12" r:id="rId10"/>
    <sheet name="Nici" sheetId="13" r:id="rId11"/>
    <sheet name="Nick" sheetId="14" r:id="rId12"/>
    <sheet name="Sebi" sheetId="15" r:id="rId13"/>
    <sheet name="Tobe" sheetId="16" r:id="rId14"/>
    <sheet name="Urs" sheetId="17" r:id="rId15"/>
    <sheet name="Vito+Jonas" sheetId="18" r:id="rId16"/>
    <sheet name="Claude (out of competition)" sheetId="19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19" l="1"/>
  <c r="U18" i="19"/>
  <c r="N15" i="19"/>
  <c r="M18" i="19"/>
  <c r="J15" i="19"/>
  <c r="L18" i="19"/>
  <c r="L20" i="19"/>
  <c r="I23" i="19"/>
  <c r="H25" i="19"/>
  <c r="P28" i="19"/>
  <c r="P30" i="19"/>
  <c r="F15" i="19"/>
  <c r="E18" i="19"/>
  <c r="B15" i="19"/>
  <c r="D18" i="19"/>
  <c r="D20" i="19"/>
  <c r="H23" i="19"/>
  <c r="P23" i="19"/>
  <c r="W13" i="19"/>
  <c r="O13" i="19"/>
  <c r="K13" i="19"/>
  <c r="G13" i="19"/>
  <c r="C13" i="19"/>
  <c r="AD10" i="19"/>
  <c r="AE13" i="19"/>
  <c r="Z10" i="19"/>
  <c r="AA13" i="19"/>
  <c r="V10" i="19"/>
  <c r="R10" i="19"/>
  <c r="S13" i="19"/>
  <c r="N10" i="19"/>
  <c r="J10" i="19"/>
  <c r="F10" i="19"/>
  <c r="B10" i="19"/>
  <c r="AD5" i="19"/>
  <c r="AD13" i="19"/>
  <c r="AD15" i="19"/>
  <c r="AC18" i="19"/>
  <c r="Z5" i="19"/>
  <c r="Z13" i="19"/>
  <c r="Z15" i="19"/>
  <c r="AB18" i="19"/>
  <c r="AB20" i="19"/>
  <c r="Y23" i="19"/>
  <c r="X25" i="19"/>
  <c r="Q28" i="19"/>
  <c r="V5" i="19"/>
  <c r="V13" i="19"/>
  <c r="R5" i="19"/>
  <c r="R13" i="19"/>
  <c r="R15" i="19"/>
  <c r="T18" i="19"/>
  <c r="T20" i="19"/>
  <c r="X23" i="19"/>
  <c r="Q23" i="19"/>
  <c r="P25" i="19"/>
  <c r="N5" i="19"/>
  <c r="N13" i="19"/>
  <c r="J5" i="19"/>
  <c r="J13" i="19"/>
  <c r="F5" i="19"/>
  <c r="F13" i="19"/>
  <c r="B5" i="19"/>
  <c r="B13" i="19"/>
  <c r="P25" i="18"/>
  <c r="V15" i="18"/>
  <c r="U18" i="18"/>
  <c r="N15" i="18"/>
  <c r="M18" i="18"/>
  <c r="J15" i="18"/>
  <c r="L18" i="18"/>
  <c r="L20" i="18"/>
  <c r="I23" i="18"/>
  <c r="P23" i="18"/>
  <c r="F15" i="18"/>
  <c r="E18" i="18"/>
  <c r="D20" i="18"/>
  <c r="H23" i="18"/>
  <c r="H25" i="18"/>
  <c r="P28" i="18"/>
  <c r="B15" i="18"/>
  <c r="D18" i="18"/>
  <c r="W13" i="18"/>
  <c r="S13" i="18"/>
  <c r="O13" i="18"/>
  <c r="K13" i="18"/>
  <c r="G13" i="18"/>
  <c r="C13" i="18"/>
  <c r="B13" i="18"/>
  <c r="AD10" i="18"/>
  <c r="AE13" i="18"/>
  <c r="Z10" i="18"/>
  <c r="AA13" i="18"/>
  <c r="V10" i="18"/>
  <c r="R10" i="18"/>
  <c r="N10" i="18"/>
  <c r="J10" i="18"/>
  <c r="F10" i="18"/>
  <c r="B10" i="18"/>
  <c r="AD5" i="18"/>
  <c r="AD13" i="18"/>
  <c r="AD15" i="18"/>
  <c r="AC18" i="18"/>
  <c r="Z5" i="18"/>
  <c r="Z13" i="18"/>
  <c r="Z15" i="18"/>
  <c r="AB18" i="18"/>
  <c r="AB20" i="18"/>
  <c r="Y23" i="18"/>
  <c r="V5" i="18"/>
  <c r="V13" i="18"/>
  <c r="R5" i="18"/>
  <c r="R13" i="18"/>
  <c r="R15" i="18"/>
  <c r="T18" i="18"/>
  <c r="T20" i="18"/>
  <c r="X23" i="18"/>
  <c r="X25" i="18"/>
  <c r="Q28" i="18"/>
  <c r="P30" i="18"/>
  <c r="N5" i="18"/>
  <c r="N13" i="18"/>
  <c r="J5" i="18"/>
  <c r="J13" i="18"/>
  <c r="F5" i="18"/>
  <c r="F13" i="18"/>
  <c r="B5" i="18"/>
  <c r="P25" i="17"/>
  <c r="V15" i="17"/>
  <c r="U18" i="17"/>
  <c r="N15" i="17"/>
  <c r="M18" i="17"/>
  <c r="F15" i="17"/>
  <c r="E18" i="17"/>
  <c r="W13" i="17"/>
  <c r="S13" i="17"/>
  <c r="O13" i="17"/>
  <c r="K13" i="17"/>
  <c r="G13" i="17"/>
  <c r="C13" i="17"/>
  <c r="B15" i="17"/>
  <c r="D18" i="17"/>
  <c r="D20" i="17"/>
  <c r="H23" i="17"/>
  <c r="H25" i="17"/>
  <c r="P28" i="17"/>
  <c r="P30" i="17"/>
  <c r="AD10" i="17"/>
  <c r="AE13" i="17"/>
  <c r="AD15" i="17"/>
  <c r="AC18" i="17"/>
  <c r="Z10" i="17"/>
  <c r="AA13" i="17"/>
  <c r="V10" i="17"/>
  <c r="R10" i="17"/>
  <c r="N10" i="17"/>
  <c r="J10" i="17"/>
  <c r="F10" i="17"/>
  <c r="B10" i="17"/>
  <c r="AD5" i="17"/>
  <c r="AD13" i="17"/>
  <c r="Z5" i="17"/>
  <c r="Z13" i="17"/>
  <c r="Z15" i="17"/>
  <c r="AB18" i="17"/>
  <c r="AB20" i="17"/>
  <c r="Y23" i="17"/>
  <c r="V5" i="17"/>
  <c r="V13" i="17"/>
  <c r="R5" i="17"/>
  <c r="R13" i="17"/>
  <c r="R15" i="17"/>
  <c r="T18" i="17"/>
  <c r="T20" i="17"/>
  <c r="X23" i="17"/>
  <c r="X25" i="17"/>
  <c r="Q28" i="17"/>
  <c r="N5" i="17"/>
  <c r="N13" i="17"/>
  <c r="J5" i="17"/>
  <c r="J13" i="17"/>
  <c r="J15" i="17"/>
  <c r="L18" i="17"/>
  <c r="L20" i="17"/>
  <c r="I23" i="17"/>
  <c r="P23" i="17"/>
  <c r="F5" i="17"/>
  <c r="F13" i="17"/>
  <c r="B5" i="17"/>
  <c r="B13" i="17"/>
  <c r="X23" i="16"/>
  <c r="E18" i="16"/>
  <c r="N15" i="16"/>
  <c r="M18" i="16"/>
  <c r="J15" i="16"/>
  <c r="L18" i="16"/>
  <c r="L20" i="16"/>
  <c r="I23" i="16"/>
  <c r="H25" i="16"/>
  <c r="P28" i="16"/>
  <c r="AD13" i="16"/>
  <c r="AD15" i="16"/>
  <c r="AC18" i="16"/>
  <c r="Z13" i="16"/>
  <c r="Z15" i="16"/>
  <c r="AB18" i="16"/>
  <c r="AB20" i="16"/>
  <c r="Y23" i="16"/>
  <c r="X25" i="16"/>
  <c r="Q28" i="16"/>
  <c r="W13" i="16"/>
  <c r="V15" i="16"/>
  <c r="U18" i="16"/>
  <c r="O13" i="16"/>
  <c r="J13" i="16"/>
  <c r="G13" i="16"/>
  <c r="F13" i="16"/>
  <c r="C13" i="16"/>
  <c r="B13" i="16"/>
  <c r="B15" i="16"/>
  <c r="D18" i="16"/>
  <c r="D20" i="16"/>
  <c r="H23" i="16"/>
  <c r="P23" i="16"/>
  <c r="AD10" i="16"/>
  <c r="AE13" i="16"/>
  <c r="Z10" i="16"/>
  <c r="AA13" i="16"/>
  <c r="V10" i="16"/>
  <c r="R10" i="16"/>
  <c r="S13" i="16"/>
  <c r="J10" i="16"/>
  <c r="K13" i="16"/>
  <c r="B10" i="16"/>
  <c r="AD5" i="16"/>
  <c r="Z5" i="16"/>
  <c r="V5" i="16"/>
  <c r="V13" i="16"/>
  <c r="R5" i="16"/>
  <c r="R13" i="16"/>
  <c r="R15" i="16"/>
  <c r="T18" i="16"/>
  <c r="N5" i="16"/>
  <c r="N13" i="16"/>
  <c r="B5" i="16"/>
  <c r="R15" i="15"/>
  <c r="T18" i="15"/>
  <c r="T20" i="15"/>
  <c r="X23" i="15"/>
  <c r="Q23" i="15"/>
  <c r="N15" i="15"/>
  <c r="M18" i="15"/>
  <c r="J15" i="15"/>
  <c r="L18" i="15"/>
  <c r="L20" i="15"/>
  <c r="I23" i="15"/>
  <c r="H25" i="15"/>
  <c r="P28" i="15"/>
  <c r="F15" i="15"/>
  <c r="E18" i="15"/>
  <c r="D20" i="15"/>
  <c r="H23" i="15"/>
  <c r="P23" i="15"/>
  <c r="P25" i="15"/>
  <c r="B15" i="15"/>
  <c r="D18" i="15"/>
  <c r="S13" i="15"/>
  <c r="O13" i="15"/>
  <c r="K13" i="15"/>
  <c r="G13" i="15"/>
  <c r="C13" i="15"/>
  <c r="AD10" i="15"/>
  <c r="AE13" i="15"/>
  <c r="Z10" i="15"/>
  <c r="AA13" i="15"/>
  <c r="V10" i="15"/>
  <c r="W13" i="15"/>
  <c r="V15" i="15"/>
  <c r="U18" i="15"/>
  <c r="R10" i="15"/>
  <c r="N10" i="15"/>
  <c r="J10" i="15"/>
  <c r="F10" i="15"/>
  <c r="B10" i="15"/>
  <c r="AD5" i="15"/>
  <c r="AD13" i="15"/>
  <c r="AD15" i="15"/>
  <c r="AC18" i="15"/>
  <c r="Z5" i="15"/>
  <c r="Z13" i="15"/>
  <c r="Z15" i="15"/>
  <c r="AB18" i="15"/>
  <c r="AB20" i="15"/>
  <c r="Y23" i="15"/>
  <c r="X25" i="15"/>
  <c r="Q28" i="15"/>
  <c r="P30" i="15"/>
  <c r="V5" i="15"/>
  <c r="V13" i="15"/>
  <c r="R5" i="15"/>
  <c r="R13" i="15"/>
  <c r="N5" i="15"/>
  <c r="N13" i="15"/>
  <c r="J5" i="15"/>
  <c r="J13" i="15"/>
  <c r="F5" i="15"/>
  <c r="F13" i="15"/>
  <c r="B5" i="15"/>
  <c r="B13" i="15"/>
  <c r="V15" i="14"/>
  <c r="U18" i="14"/>
  <c r="T20" i="14"/>
  <c r="X23" i="14"/>
  <c r="N15" i="14"/>
  <c r="M18" i="14"/>
  <c r="J15" i="14"/>
  <c r="L18" i="14"/>
  <c r="L20" i="14"/>
  <c r="I23" i="14"/>
  <c r="P23" i="14"/>
  <c r="P25" i="14"/>
  <c r="F15" i="14"/>
  <c r="E18" i="14"/>
  <c r="W13" i="14"/>
  <c r="S13" i="14"/>
  <c r="O13" i="14"/>
  <c r="K13" i="14"/>
  <c r="G13" i="14"/>
  <c r="C13" i="14"/>
  <c r="B15" i="14"/>
  <c r="D18" i="14"/>
  <c r="D20" i="14"/>
  <c r="H23" i="14"/>
  <c r="H25" i="14"/>
  <c r="P28" i="14"/>
  <c r="P30" i="14"/>
  <c r="AD10" i="14"/>
  <c r="AE13" i="14"/>
  <c r="Z10" i="14"/>
  <c r="AA13" i="14"/>
  <c r="V10" i="14"/>
  <c r="R10" i="14"/>
  <c r="N10" i="14"/>
  <c r="J10" i="14"/>
  <c r="F10" i="14"/>
  <c r="B10" i="14"/>
  <c r="AD5" i="14"/>
  <c r="AD13" i="14"/>
  <c r="AD15" i="14"/>
  <c r="AC18" i="14"/>
  <c r="Z5" i="14"/>
  <c r="Z13" i="14"/>
  <c r="Z15" i="14"/>
  <c r="AB18" i="14"/>
  <c r="AB20" i="14"/>
  <c r="Y23" i="14"/>
  <c r="X25" i="14"/>
  <c r="Q28" i="14"/>
  <c r="V5" i="14"/>
  <c r="V13" i="14"/>
  <c r="R5" i="14"/>
  <c r="R13" i="14"/>
  <c r="R15" i="14"/>
  <c r="T18" i="14"/>
  <c r="N5" i="14"/>
  <c r="N13" i="14"/>
  <c r="J5" i="14"/>
  <c r="J13" i="14"/>
  <c r="F5" i="14"/>
  <c r="F13" i="14"/>
  <c r="B5" i="14"/>
  <c r="B13" i="14"/>
  <c r="N15" i="13"/>
  <c r="M18" i="13"/>
  <c r="J15" i="13"/>
  <c r="L18" i="13"/>
  <c r="L20" i="13"/>
  <c r="I23" i="13"/>
  <c r="P23" i="13"/>
  <c r="P25" i="13"/>
  <c r="F15" i="13"/>
  <c r="E18" i="13"/>
  <c r="B15" i="13"/>
  <c r="D18" i="13"/>
  <c r="D20" i="13"/>
  <c r="H23" i="13"/>
  <c r="H25" i="13"/>
  <c r="P28" i="13"/>
  <c r="AE13" i="13"/>
  <c r="S13" i="13"/>
  <c r="O13" i="13"/>
  <c r="K13" i="13"/>
  <c r="G13" i="13"/>
  <c r="C13" i="13"/>
  <c r="AD10" i="13"/>
  <c r="Z10" i="13"/>
  <c r="AA13" i="13"/>
  <c r="V10" i="13"/>
  <c r="W13" i="13"/>
  <c r="V15" i="13"/>
  <c r="U18" i="13"/>
  <c r="T20" i="13"/>
  <c r="X23" i="13"/>
  <c r="R10" i="13"/>
  <c r="N10" i="13"/>
  <c r="J10" i="13"/>
  <c r="F10" i="13"/>
  <c r="B10" i="13"/>
  <c r="AD5" i="13"/>
  <c r="AD13" i="13"/>
  <c r="AD15" i="13"/>
  <c r="AC18" i="13"/>
  <c r="Z5" i="13"/>
  <c r="Z13" i="13"/>
  <c r="Z15" i="13"/>
  <c r="AB18" i="13"/>
  <c r="AB20" i="13"/>
  <c r="Y23" i="13"/>
  <c r="X25" i="13"/>
  <c r="Q28" i="13"/>
  <c r="P30" i="13"/>
  <c r="V5" i="13"/>
  <c r="V13" i="13"/>
  <c r="R5" i="13"/>
  <c r="R13" i="13"/>
  <c r="R15" i="13"/>
  <c r="T18" i="13"/>
  <c r="N5" i="13"/>
  <c r="N13" i="13"/>
  <c r="J5" i="13"/>
  <c r="J13" i="13"/>
  <c r="F5" i="13"/>
  <c r="F13" i="13"/>
  <c r="B5" i="13"/>
  <c r="B13" i="13"/>
  <c r="V15" i="12"/>
  <c r="U18" i="12"/>
  <c r="T20" i="12"/>
  <c r="X23" i="12"/>
  <c r="X25" i="12"/>
  <c r="Q28" i="12"/>
  <c r="R15" i="12"/>
  <c r="T18" i="12"/>
  <c r="N15" i="12"/>
  <c r="M18" i="12"/>
  <c r="J15" i="12"/>
  <c r="L18" i="12"/>
  <c r="L20" i="12"/>
  <c r="I23" i="12"/>
  <c r="H25" i="12"/>
  <c r="P28" i="12"/>
  <c r="P30" i="12"/>
  <c r="F15" i="12"/>
  <c r="E18" i="12"/>
  <c r="W13" i="12"/>
  <c r="S13" i="12"/>
  <c r="O13" i="12"/>
  <c r="K13" i="12"/>
  <c r="G13" i="12"/>
  <c r="C13" i="12"/>
  <c r="B15" i="12"/>
  <c r="D18" i="12"/>
  <c r="D20" i="12"/>
  <c r="H23" i="12"/>
  <c r="P23" i="12"/>
  <c r="AD10" i="12"/>
  <c r="AE13" i="12"/>
  <c r="Z10" i="12"/>
  <c r="AA13" i="12"/>
  <c r="V10" i="12"/>
  <c r="R10" i="12"/>
  <c r="N10" i="12"/>
  <c r="J10" i="12"/>
  <c r="F10" i="12"/>
  <c r="B10" i="12"/>
  <c r="AD5" i="12"/>
  <c r="AD13" i="12"/>
  <c r="AD15" i="12"/>
  <c r="AC18" i="12"/>
  <c r="Z5" i="12"/>
  <c r="Z13" i="12"/>
  <c r="Z15" i="12"/>
  <c r="AB18" i="12"/>
  <c r="AB20" i="12"/>
  <c r="Y23" i="12"/>
  <c r="Q23" i="12"/>
  <c r="P25" i="12"/>
  <c r="V5" i="12"/>
  <c r="V13" i="12"/>
  <c r="R5" i="12"/>
  <c r="R13" i="12"/>
  <c r="N5" i="12"/>
  <c r="N13" i="12"/>
  <c r="J5" i="12"/>
  <c r="J13" i="12"/>
  <c r="F5" i="12"/>
  <c r="F13" i="12"/>
  <c r="B5" i="12"/>
  <c r="B13" i="12"/>
  <c r="V15" i="11"/>
  <c r="U18" i="11"/>
  <c r="T20" i="11"/>
  <c r="X23" i="11"/>
  <c r="N15" i="11"/>
  <c r="M18" i="11"/>
  <c r="J15" i="11"/>
  <c r="L18" i="11"/>
  <c r="L20" i="11"/>
  <c r="I23" i="11"/>
  <c r="H25" i="11"/>
  <c r="P28" i="11"/>
  <c r="P30" i="11"/>
  <c r="F15" i="11"/>
  <c r="E18" i="11"/>
  <c r="B15" i="11"/>
  <c r="D18" i="11"/>
  <c r="D20" i="11"/>
  <c r="H23" i="11"/>
  <c r="P23" i="11"/>
  <c r="P25" i="11"/>
  <c r="AE13" i="11"/>
  <c r="AD15" i="11"/>
  <c r="AC18" i="11"/>
  <c r="W13" i="11"/>
  <c r="S13" i="11"/>
  <c r="O13" i="11"/>
  <c r="K13" i="11"/>
  <c r="G13" i="11"/>
  <c r="C13" i="11"/>
  <c r="AD10" i="11"/>
  <c r="Z10" i="11"/>
  <c r="AA13" i="11"/>
  <c r="V10" i="11"/>
  <c r="R10" i="11"/>
  <c r="N10" i="11"/>
  <c r="J10" i="11"/>
  <c r="F10" i="11"/>
  <c r="B10" i="11"/>
  <c r="AD5" i="11"/>
  <c r="AD13" i="11"/>
  <c r="Z5" i="11"/>
  <c r="Z13" i="11"/>
  <c r="Z15" i="11"/>
  <c r="AB18" i="11"/>
  <c r="AB20" i="11"/>
  <c r="Y23" i="11"/>
  <c r="X25" i="11"/>
  <c r="Q28" i="11"/>
  <c r="V5" i="11"/>
  <c r="V13" i="11"/>
  <c r="R5" i="11"/>
  <c r="R13" i="11"/>
  <c r="R15" i="11"/>
  <c r="T18" i="11"/>
  <c r="N5" i="11"/>
  <c r="N13" i="11"/>
  <c r="J5" i="11"/>
  <c r="J13" i="11"/>
  <c r="F5" i="11"/>
  <c r="F13" i="11"/>
  <c r="B5" i="11"/>
  <c r="B13" i="11"/>
  <c r="N15" i="10"/>
  <c r="M18" i="10"/>
  <c r="J15" i="10"/>
  <c r="L18" i="10"/>
  <c r="L20" i="10"/>
  <c r="I23" i="10"/>
  <c r="H25" i="10"/>
  <c r="P28" i="10"/>
  <c r="P30" i="10"/>
  <c r="F15" i="10"/>
  <c r="E18" i="10"/>
  <c r="B15" i="10"/>
  <c r="D18" i="10"/>
  <c r="D20" i="10"/>
  <c r="H23" i="10"/>
  <c r="P23" i="10"/>
  <c r="P25" i="10"/>
  <c r="AA13" i="10"/>
  <c r="S13" i="10"/>
  <c r="O13" i="10"/>
  <c r="K13" i="10"/>
  <c r="G13" i="10"/>
  <c r="C13" i="10"/>
  <c r="AD10" i="10"/>
  <c r="AE13" i="10"/>
  <c r="Z10" i="10"/>
  <c r="V10" i="10"/>
  <c r="W13" i="10"/>
  <c r="R10" i="10"/>
  <c r="N10" i="10"/>
  <c r="J10" i="10"/>
  <c r="F10" i="10"/>
  <c r="B10" i="10"/>
  <c r="AD5" i="10"/>
  <c r="AD13" i="10"/>
  <c r="AD15" i="10"/>
  <c r="AC18" i="10"/>
  <c r="Z5" i="10"/>
  <c r="Z13" i="10"/>
  <c r="Z15" i="10"/>
  <c r="AB18" i="10"/>
  <c r="AB20" i="10"/>
  <c r="Y23" i="10"/>
  <c r="X25" i="10"/>
  <c r="Q28" i="10"/>
  <c r="V5" i="10"/>
  <c r="V13" i="10"/>
  <c r="V15" i="10"/>
  <c r="U18" i="10"/>
  <c r="R5" i="10"/>
  <c r="R13" i="10"/>
  <c r="R15" i="10"/>
  <c r="T18" i="10"/>
  <c r="T20" i="10"/>
  <c r="X23" i="10"/>
  <c r="N5" i="10"/>
  <c r="N13" i="10"/>
  <c r="J5" i="10"/>
  <c r="J13" i="10"/>
  <c r="F5" i="10"/>
  <c r="F13" i="10"/>
  <c r="B5" i="10"/>
  <c r="B13" i="10"/>
  <c r="V15" i="8"/>
  <c r="U18" i="8"/>
  <c r="N15" i="8"/>
  <c r="M18" i="8"/>
  <c r="J15" i="8"/>
  <c r="L18" i="8"/>
  <c r="L20" i="8"/>
  <c r="I23" i="8"/>
  <c r="P23" i="8"/>
  <c r="P25" i="8"/>
  <c r="F15" i="8"/>
  <c r="E18" i="8"/>
  <c r="B15" i="8"/>
  <c r="D18" i="8"/>
  <c r="D20" i="8"/>
  <c r="H23" i="8"/>
  <c r="H25" i="8"/>
  <c r="P28" i="8"/>
  <c r="P30" i="8"/>
  <c r="W13" i="8"/>
  <c r="O13" i="8"/>
  <c r="K13" i="8"/>
  <c r="G13" i="8"/>
  <c r="C13" i="8"/>
  <c r="AD10" i="8"/>
  <c r="AE13" i="8"/>
  <c r="Z10" i="8"/>
  <c r="AA13" i="8"/>
  <c r="V10" i="8"/>
  <c r="R10" i="8"/>
  <c r="S13" i="8"/>
  <c r="N10" i="8"/>
  <c r="J10" i="8"/>
  <c r="F10" i="8"/>
  <c r="B10" i="8"/>
  <c r="AD5" i="8"/>
  <c r="AD13" i="8"/>
  <c r="AD15" i="8"/>
  <c r="AC18" i="8"/>
  <c r="Z5" i="8"/>
  <c r="Z13" i="8"/>
  <c r="Z15" i="8"/>
  <c r="AB18" i="8"/>
  <c r="AB20" i="8"/>
  <c r="Y23" i="8"/>
  <c r="X25" i="8"/>
  <c r="Q28" i="8"/>
  <c r="V5" i="8"/>
  <c r="V13" i="8"/>
  <c r="R5" i="8"/>
  <c r="R13" i="8"/>
  <c r="R15" i="8"/>
  <c r="T18" i="8"/>
  <c r="T20" i="8"/>
  <c r="X23" i="8"/>
  <c r="Q23" i="8"/>
  <c r="N5" i="8"/>
  <c r="N13" i="8"/>
  <c r="J5" i="8"/>
  <c r="J13" i="8"/>
  <c r="F5" i="8"/>
  <c r="F13" i="8"/>
  <c r="B5" i="8"/>
  <c r="B13" i="8"/>
  <c r="V15" i="7"/>
  <c r="U18" i="7"/>
  <c r="T20" i="7"/>
  <c r="X23" i="7"/>
  <c r="Q23" i="7"/>
  <c r="N15" i="7"/>
  <c r="M18" i="7"/>
  <c r="J15" i="7"/>
  <c r="L18" i="7"/>
  <c r="L20" i="7"/>
  <c r="I23" i="7"/>
  <c r="P23" i="7"/>
  <c r="P25" i="7"/>
  <c r="B15" i="7"/>
  <c r="D18" i="7"/>
  <c r="D20" i="7"/>
  <c r="H23" i="7"/>
  <c r="H25" i="7"/>
  <c r="P28" i="7"/>
  <c r="P30" i="7"/>
  <c r="W13" i="7"/>
  <c r="S13" i="7"/>
  <c r="O13" i="7"/>
  <c r="K13" i="7"/>
  <c r="G13" i="7"/>
  <c r="F15" i="7"/>
  <c r="E18" i="7"/>
  <c r="C13" i="7"/>
  <c r="AD10" i="7"/>
  <c r="AE13" i="7"/>
  <c r="Z10" i="7"/>
  <c r="AA13" i="7"/>
  <c r="V10" i="7"/>
  <c r="R10" i="7"/>
  <c r="N10" i="7"/>
  <c r="J10" i="7"/>
  <c r="F10" i="7"/>
  <c r="B10" i="7"/>
  <c r="AD5" i="7"/>
  <c r="AD13" i="7"/>
  <c r="AD15" i="7"/>
  <c r="AC18" i="7"/>
  <c r="Z5" i="7"/>
  <c r="Z13" i="7"/>
  <c r="Z15" i="7"/>
  <c r="AB18" i="7"/>
  <c r="AB20" i="7"/>
  <c r="Y23" i="7"/>
  <c r="X25" i="7"/>
  <c r="Q28" i="7"/>
  <c r="V5" i="7"/>
  <c r="V13" i="7"/>
  <c r="R5" i="7"/>
  <c r="R13" i="7"/>
  <c r="R15" i="7"/>
  <c r="T18" i="7"/>
  <c r="N5" i="7"/>
  <c r="N13" i="7"/>
  <c r="J5" i="7"/>
  <c r="J13" i="7"/>
  <c r="F5" i="7"/>
  <c r="F13" i="7"/>
  <c r="B5" i="7"/>
  <c r="B13" i="7"/>
  <c r="P25" i="6"/>
  <c r="V15" i="6"/>
  <c r="U18" i="6"/>
  <c r="T20" i="6"/>
  <c r="X23" i="6"/>
  <c r="N15" i="6"/>
  <c r="M18" i="6"/>
  <c r="L20" i="6"/>
  <c r="I23" i="6"/>
  <c r="P23" i="6"/>
  <c r="J15" i="6"/>
  <c r="L18" i="6"/>
  <c r="F15" i="6"/>
  <c r="E18" i="6"/>
  <c r="W13" i="6"/>
  <c r="S13" i="6"/>
  <c r="O13" i="6"/>
  <c r="K13" i="6"/>
  <c r="G13" i="6"/>
  <c r="C13" i="6"/>
  <c r="AD10" i="6"/>
  <c r="AE13" i="6"/>
  <c r="AD15" i="6"/>
  <c r="AC18" i="6"/>
  <c r="Z10" i="6"/>
  <c r="AA13" i="6"/>
  <c r="V10" i="6"/>
  <c r="R10" i="6"/>
  <c r="N10" i="6"/>
  <c r="J10" i="6"/>
  <c r="F10" i="6"/>
  <c r="B10" i="6"/>
  <c r="AD5" i="6"/>
  <c r="AD13" i="6"/>
  <c r="Z5" i="6"/>
  <c r="Z13" i="6"/>
  <c r="Z15" i="6"/>
  <c r="AB18" i="6"/>
  <c r="AB20" i="6"/>
  <c r="Y23" i="6"/>
  <c r="X25" i="6"/>
  <c r="Q28" i="6"/>
  <c r="V5" i="6"/>
  <c r="V13" i="6"/>
  <c r="R5" i="6"/>
  <c r="R13" i="6"/>
  <c r="R15" i="6"/>
  <c r="T18" i="6"/>
  <c r="N5" i="6"/>
  <c r="N13" i="6"/>
  <c r="J5" i="6"/>
  <c r="J13" i="6"/>
  <c r="F5" i="6"/>
  <c r="F13" i="6"/>
  <c r="B5" i="6"/>
  <c r="B13" i="6"/>
  <c r="B15" i="6"/>
  <c r="D18" i="6"/>
  <c r="D20" i="6"/>
  <c r="H23" i="6"/>
  <c r="H25" i="6"/>
  <c r="P28" i="6"/>
  <c r="P30" i="6"/>
  <c r="Q23" i="5"/>
  <c r="R15" i="5"/>
  <c r="T18" i="5"/>
  <c r="T20" i="5"/>
  <c r="X23" i="5"/>
  <c r="N15" i="5"/>
  <c r="M18" i="5"/>
  <c r="L20" i="5"/>
  <c r="I23" i="5"/>
  <c r="P23" i="5"/>
  <c r="F15" i="5"/>
  <c r="E18" i="5"/>
  <c r="S13" i="5"/>
  <c r="O13" i="5"/>
  <c r="K13" i="5"/>
  <c r="G13" i="5"/>
  <c r="C13" i="5"/>
  <c r="B15" i="5"/>
  <c r="D18" i="5"/>
  <c r="D20" i="5"/>
  <c r="H23" i="5"/>
  <c r="H25" i="5"/>
  <c r="P28" i="5"/>
  <c r="P30" i="5"/>
  <c r="AD10" i="5"/>
  <c r="AE13" i="5"/>
  <c r="Z10" i="5"/>
  <c r="AA13" i="5"/>
  <c r="V10" i="5"/>
  <c r="W13" i="5"/>
  <c r="R10" i="5"/>
  <c r="N10" i="5"/>
  <c r="J10" i="5"/>
  <c r="F10" i="5"/>
  <c r="B10" i="5"/>
  <c r="AD5" i="5"/>
  <c r="AD13" i="5"/>
  <c r="AD15" i="5"/>
  <c r="AC18" i="5"/>
  <c r="AB20" i="5"/>
  <c r="Y23" i="5"/>
  <c r="Z5" i="5"/>
  <c r="Z13" i="5"/>
  <c r="Z15" i="5"/>
  <c r="AB18" i="5"/>
  <c r="V5" i="5"/>
  <c r="V13" i="5"/>
  <c r="V15" i="5"/>
  <c r="U18" i="5"/>
  <c r="R5" i="5"/>
  <c r="R13" i="5"/>
  <c r="N5" i="5"/>
  <c r="N13" i="5"/>
  <c r="J5" i="5"/>
  <c r="J13" i="5"/>
  <c r="J15" i="5"/>
  <c r="L18" i="5"/>
  <c r="F5" i="5"/>
  <c r="F13" i="5"/>
  <c r="B5" i="5"/>
  <c r="B13" i="5"/>
  <c r="X25" i="5"/>
  <c r="Q28" i="5"/>
  <c r="P25" i="5"/>
  <c r="N15" i="4"/>
  <c r="M18" i="4"/>
  <c r="F15" i="4"/>
  <c r="E18" i="4"/>
  <c r="W13" i="4"/>
  <c r="S13" i="4"/>
  <c r="O13" i="4"/>
  <c r="K13" i="4"/>
  <c r="J15" i="4"/>
  <c r="L18" i="4"/>
  <c r="L20" i="4"/>
  <c r="I23" i="4"/>
  <c r="H25" i="4"/>
  <c r="P28" i="4"/>
  <c r="G13" i="4"/>
  <c r="C13" i="4"/>
  <c r="AD10" i="4"/>
  <c r="AE13" i="4"/>
  <c r="Z10" i="4"/>
  <c r="AA13" i="4"/>
  <c r="V10" i="4"/>
  <c r="R10" i="4"/>
  <c r="N10" i="4"/>
  <c r="J10" i="4"/>
  <c r="F10" i="4"/>
  <c r="B10" i="4"/>
  <c r="AD5" i="4"/>
  <c r="AD13" i="4"/>
  <c r="AD15" i="4"/>
  <c r="AC18" i="4"/>
  <c r="Z5" i="4"/>
  <c r="Z13" i="4"/>
  <c r="Z15" i="4"/>
  <c r="AB18" i="4"/>
  <c r="AB20" i="4"/>
  <c r="Y23" i="4"/>
  <c r="X25" i="4"/>
  <c r="Q28" i="4"/>
  <c r="P30" i="4"/>
  <c r="V5" i="4"/>
  <c r="V13" i="4"/>
  <c r="V15" i="4"/>
  <c r="U18" i="4"/>
  <c r="R5" i="4"/>
  <c r="R13" i="4"/>
  <c r="R15" i="4"/>
  <c r="T18" i="4"/>
  <c r="T20" i="4"/>
  <c r="X23" i="4"/>
  <c r="Q23" i="4"/>
  <c r="N5" i="4"/>
  <c r="N13" i="4"/>
  <c r="J5" i="4"/>
  <c r="J13" i="4"/>
  <c r="F5" i="4"/>
  <c r="F13" i="4"/>
  <c r="B5" i="4"/>
  <c r="B13" i="4"/>
  <c r="B15" i="4"/>
  <c r="D18" i="4"/>
  <c r="D20" i="4"/>
  <c r="H23" i="4"/>
  <c r="P23" i="4"/>
  <c r="P25" i="4"/>
  <c r="V15" i="3"/>
  <c r="U18" i="3"/>
  <c r="T20" i="3"/>
  <c r="X23" i="3"/>
  <c r="Q23" i="3"/>
  <c r="N15" i="3"/>
  <c r="M18" i="3"/>
  <c r="J15" i="3"/>
  <c r="L18" i="3"/>
  <c r="L20" i="3"/>
  <c r="I23" i="3"/>
  <c r="P23" i="3"/>
  <c r="P25" i="3"/>
  <c r="F15" i="3"/>
  <c r="E18" i="3"/>
  <c r="B15" i="3"/>
  <c r="D18" i="3"/>
  <c r="D20" i="3"/>
  <c r="H23" i="3"/>
  <c r="H25" i="3"/>
  <c r="P28" i="3"/>
  <c r="P30" i="3"/>
  <c r="W13" i="3"/>
  <c r="O13" i="3"/>
  <c r="K13" i="3"/>
  <c r="G13" i="3"/>
  <c r="C13" i="3"/>
  <c r="AD10" i="3"/>
  <c r="AE13" i="3"/>
  <c r="AD15" i="3"/>
  <c r="AC18" i="3"/>
  <c r="Z10" i="3"/>
  <c r="AA13" i="3"/>
  <c r="V10" i="3"/>
  <c r="R10" i="3"/>
  <c r="S13" i="3"/>
  <c r="N10" i="3"/>
  <c r="J10" i="3"/>
  <c r="F10" i="3"/>
  <c r="B10" i="3"/>
  <c r="AD5" i="3"/>
  <c r="AD13" i="3"/>
  <c r="Z5" i="3"/>
  <c r="Z13" i="3"/>
  <c r="Z15" i="3"/>
  <c r="AB18" i="3"/>
  <c r="AB20" i="3"/>
  <c r="Y23" i="3"/>
  <c r="X25" i="3"/>
  <c r="Q28" i="3"/>
  <c r="V5" i="3"/>
  <c r="V13" i="3"/>
  <c r="R5" i="3"/>
  <c r="R13" i="3"/>
  <c r="R15" i="3"/>
  <c r="T18" i="3"/>
  <c r="N5" i="3"/>
  <c r="N13" i="3"/>
  <c r="J5" i="3"/>
  <c r="J13" i="3"/>
  <c r="F5" i="3"/>
  <c r="F13" i="3"/>
  <c r="B5" i="3"/>
  <c r="B13" i="3"/>
  <c r="Q23" i="1"/>
  <c r="AB20" i="1"/>
  <c r="Y23" i="1"/>
  <c r="X25" i="1"/>
  <c r="T20" i="1"/>
  <c r="X23" i="1"/>
  <c r="L20" i="1"/>
  <c r="I23" i="1"/>
  <c r="P23" i="1"/>
  <c r="H25" i="1"/>
  <c r="P25" i="1"/>
  <c r="AD15" i="1"/>
  <c r="AC18" i="1"/>
  <c r="AD10" i="1"/>
  <c r="AE13" i="1"/>
  <c r="AD5" i="1"/>
  <c r="AD13" i="1"/>
  <c r="Z15" i="1"/>
  <c r="AB18" i="1"/>
  <c r="AA13" i="1"/>
  <c r="Z5" i="1"/>
  <c r="Z13" i="1"/>
  <c r="V15" i="1"/>
  <c r="U18" i="1"/>
  <c r="V10" i="1"/>
  <c r="W13" i="1"/>
  <c r="V5" i="1"/>
  <c r="V13" i="1"/>
  <c r="R15" i="1"/>
  <c r="T18" i="1"/>
  <c r="R10" i="1"/>
  <c r="S13" i="1"/>
  <c r="R5" i="1"/>
  <c r="R13" i="1"/>
  <c r="N15" i="1"/>
  <c r="N10" i="1"/>
  <c r="O13" i="1"/>
  <c r="N5" i="1"/>
  <c r="N13" i="1"/>
  <c r="J15" i="1"/>
  <c r="L18" i="1"/>
  <c r="J10" i="1"/>
  <c r="K13" i="1"/>
  <c r="J5" i="1"/>
  <c r="J13" i="1"/>
  <c r="F15" i="1"/>
  <c r="E18" i="1"/>
  <c r="G13" i="1"/>
  <c r="F5" i="1"/>
  <c r="F13" i="1"/>
  <c r="B10" i="1"/>
  <c r="C13" i="1"/>
  <c r="B13" i="1"/>
  <c r="P30" i="1"/>
  <c r="Q28" i="1"/>
  <c r="P28" i="1"/>
  <c r="D20" i="1"/>
  <c r="H23" i="1"/>
  <c r="M18" i="1"/>
  <c r="B15" i="1"/>
  <c r="D18" i="1"/>
</calcChain>
</file>

<file path=xl/sharedStrings.xml><?xml version="1.0" encoding="utf-8"?>
<sst xmlns="http://schemas.openxmlformats.org/spreadsheetml/2006/main" count="1226" uniqueCount="71">
  <si>
    <t>Achtelfinale 1</t>
  </si>
  <si>
    <t>Achtelfinale 2</t>
  </si>
  <si>
    <t>Spanien</t>
  </si>
  <si>
    <t>Deutschland</t>
  </si>
  <si>
    <t>Portugal</t>
  </si>
  <si>
    <t>Frankreich</t>
  </si>
  <si>
    <t>Belgien</t>
  </si>
  <si>
    <t>Niederlande</t>
  </si>
  <si>
    <t>Österreich</t>
  </si>
  <si>
    <t>England</t>
  </si>
  <si>
    <t>Schweiz</t>
  </si>
  <si>
    <t>Viertelfinale 1</t>
  </si>
  <si>
    <t>Viertelfinale 2</t>
  </si>
  <si>
    <t>Viertelfinale 3</t>
  </si>
  <si>
    <t>Viertelfinale 4</t>
  </si>
  <si>
    <t>Halbfinale 1</t>
  </si>
  <si>
    <t>Halbfinale 2</t>
  </si>
  <si>
    <t>Finale</t>
  </si>
  <si>
    <t>Punkteverteilung</t>
  </si>
  <si>
    <t>Richtiger Halbfinalist</t>
  </si>
  <si>
    <t>Richtiger Finalist</t>
  </si>
  <si>
    <t>Sechzehntelfinale 1</t>
  </si>
  <si>
    <t>Sechzehntelfinale 2</t>
  </si>
  <si>
    <t>Paraguay</t>
  </si>
  <si>
    <t>Schweden</t>
  </si>
  <si>
    <t>Sechzehntelfinale 3</t>
  </si>
  <si>
    <t>Sechzehntelfinale 4</t>
  </si>
  <si>
    <t>Südafrika</t>
  </si>
  <si>
    <t>Kanada</t>
  </si>
  <si>
    <t>Marokko</t>
  </si>
  <si>
    <t>Sechzehntelfinale 5</t>
  </si>
  <si>
    <t>Sechzehntelfinale 6</t>
  </si>
  <si>
    <t>Kroatien</t>
  </si>
  <si>
    <t>Sechzehntelfinale 7</t>
  </si>
  <si>
    <t>Sechzehntelfinale 8</t>
  </si>
  <si>
    <t>USA</t>
  </si>
  <si>
    <t>Bosnien-Herz.</t>
  </si>
  <si>
    <t>Senegal</t>
  </si>
  <si>
    <t>Sechzehntelfinale 9</t>
  </si>
  <si>
    <t>Sechzehntelfinale 10</t>
  </si>
  <si>
    <t>Brasilien</t>
  </si>
  <si>
    <t>Japan</t>
  </si>
  <si>
    <t>Elfenbeinküste</t>
  </si>
  <si>
    <t>Norwegen</t>
  </si>
  <si>
    <t>Sechzehntelfinale 11</t>
  </si>
  <si>
    <t>Sechzehntelfinale 12</t>
  </si>
  <si>
    <t>Mexiko</t>
  </si>
  <si>
    <t>Ecuador</t>
  </si>
  <si>
    <t>DR Kongo</t>
  </si>
  <si>
    <t>Sechzehntelfinale 13</t>
  </si>
  <si>
    <t>Sechzehntelfinale 14</t>
  </si>
  <si>
    <t>Argentinien</t>
  </si>
  <si>
    <t>Kap Verde</t>
  </si>
  <si>
    <t>Australien</t>
  </si>
  <si>
    <t>Ägypten</t>
  </si>
  <si>
    <t>Sechzehntelfinale 15</t>
  </si>
  <si>
    <t>Sechzehntelfinale 16</t>
  </si>
  <si>
    <t>Algerien</t>
  </si>
  <si>
    <t>Kolumbien</t>
  </si>
  <si>
    <t>Ghana</t>
  </si>
  <si>
    <t>Richtiger Platz 3</t>
  </si>
  <si>
    <t>Richtiger Weltmeister</t>
  </si>
  <si>
    <t>Kleines Finale</t>
  </si>
  <si>
    <t>Achtelfinale 3</t>
  </si>
  <si>
    <t>Achtelfinale 4</t>
  </si>
  <si>
    <t>Achtelfinale 5</t>
  </si>
  <si>
    <t>Achtelfinale 6</t>
  </si>
  <si>
    <t>Achtelfinale 7</t>
  </si>
  <si>
    <t>Achtelfinale 8</t>
  </si>
  <si>
    <t>Richtiger Achtelfinalist</t>
  </si>
  <si>
    <t>Richtiger Viertesfinalist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</si>
</sst>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20"/>
      <color theme="1"/>
      <name val="Arial Black"/>
      <family val="2"/>
    </font>
    <font>
      <sz val="11"/>
      <color theme="1"/>
      <name val="Arial Black"/>
      <family val="2"/>
    </font>
    <font>
      <b/>
      <sz val="11"/>
      <color rgb="FF3F3F3F"/>
      <name val="Arial Black"/>
      <family val="2"/>
    </font>
    <font>
      <sz val="14"/>
      <color theme="1"/>
      <name val="Arial Black"/>
      <family val="2"/>
    </font>
    <font>
      <sz val="11"/>
      <color theme="1"/>
      <name val="Aptos Narrow"/>
      <family val="2"/>
      <charset val="1"/>
    </font>
    <font>
      <sz val="20"/>
      <color theme="1"/>
      <name val="Arial Black"/>
      <family val="2"/>
      <charset val="1"/>
    </font>
    <font>
      <b/>
      <sz val="11"/>
      <color rgb="FF3F3F3F"/>
      <name val="Aptos Narrow"/>
      <family val="2"/>
      <charset val="1"/>
    </font>
    <font>
      <b/>
      <sz val="11"/>
      <color rgb="FF3F3F3F"/>
      <name val="Arial Black"/>
      <family val="2"/>
      <charset val="1"/>
    </font>
    <font>
      <sz val="11"/>
      <color rgb="FF3F3F76"/>
      <name val="Aptos Narrow"/>
      <family val="2"/>
      <charset val="1"/>
    </font>
    <font>
      <sz val="11"/>
      <color theme="1"/>
      <name val="Arial Black"/>
      <family val="2"/>
      <charset val="1"/>
    </font>
    <font>
      <sz val="14"/>
      <color theme="1"/>
      <name val="Arial Black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theme="9"/>
        <bgColor rgb="FF808000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7F7F7F"/>
      </top>
      <bottom/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7" fillId="0" borderId="0"/>
    <xf numFmtId="0" fontId="9" fillId="7" borderId="2"/>
    <xf numFmtId="0" fontId="11" fillId="8" borderId="1"/>
  </cellStyleXfs>
  <cellXfs count="29">
    <xf numFmtId="0" fontId="0" fillId="0" borderId="0" xfId="0"/>
    <xf numFmtId="0" fontId="4" fillId="4" borderId="0" xfId="0" applyFont="1" applyFill="1" applyAlignment="1">
      <alignment horizontal="center"/>
    </xf>
    <xf numFmtId="0" fontId="0" fillId="4" borderId="0" xfId="0" applyFill="1"/>
    <xf numFmtId="0" fontId="5" fillId="3" borderId="2" xfId="2" applyFont="1" applyAlignment="1">
      <alignment horizontal="center"/>
    </xf>
    <xf numFmtId="0" fontId="1" fillId="2" borderId="1" xfId="1" applyAlignment="1">
      <alignment horizontal="center"/>
    </xf>
    <xf numFmtId="0" fontId="3" fillId="0" borderId="0" xfId="0" applyFont="1"/>
    <xf numFmtId="0" fontId="7" fillId="0" borderId="0" xfId="3"/>
    <xf numFmtId="0" fontId="7" fillId="6" borderId="0" xfId="3" applyFill="1"/>
    <xf numFmtId="0" fontId="10" fillId="7" borderId="2" xfId="4" applyFont="1" applyAlignment="1">
      <alignment horizontal="center"/>
    </xf>
    <xf numFmtId="0" fontId="11" fillId="8" borderId="1" xfId="5" applyAlignment="1">
      <alignment horizontal="center"/>
    </xf>
    <xf numFmtId="0" fontId="12" fillId="6" borderId="0" xfId="3" applyFont="1" applyFill="1" applyAlignment="1">
      <alignment horizontal="center"/>
    </xf>
    <xf numFmtId="0" fontId="8" fillId="0" borderId="0" xfId="3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center"/>
    </xf>
    <xf numFmtId="0" fontId="13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8" fillId="6" borderId="0" xfId="3" applyFont="1" applyFill="1" applyAlignment="1">
      <alignment horizontal="center"/>
    </xf>
    <xf numFmtId="0" fontId="12" fillId="9" borderId="3" xfId="3" applyFont="1" applyFill="1" applyBorder="1" applyAlignment="1">
      <alignment horizontal="center"/>
    </xf>
    <xf numFmtId="0" fontId="8" fillId="0" borderId="0" xfId="3" applyFont="1" applyAlignment="1">
      <alignment horizontal="center"/>
    </xf>
    <xf numFmtId="0" fontId="7" fillId="0" borderId="0" xfId="3"/>
    <xf numFmtId="0" fontId="0" fillId="0" borderId="3" xfId="0" applyBorder="1"/>
  </cellXfs>
  <cellStyles count="6">
    <cellStyle name="Ausgabe" xfId="2" builtinId="21"/>
    <cellStyle name="Eingabe" xfId="1" builtinId="20"/>
    <cellStyle name="Excel Built-in Input" xfId="5" xr:uid="{428651DF-111B-4997-9C91-7CB5661A1FE3}"/>
    <cellStyle name="Excel Built-in Output" xfId="4" xr:uid="{E9FACF82-3030-4076-9E67-88018780224A}"/>
    <cellStyle name="Normal 2" xfId="3" xr:uid="{CF9F3561-5AF8-4031-BD47-B250921B223A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calcChain" Target="calcChain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306C-2EB6-49C0-B2EF-9EBB2C23AEAF}">
  <dimension ref="A1:AF46"/>
  <sheetViews>
    <sheetView tabSelected="1" topLeftCell="U1" zoomScale="68" workbookViewId="0">
      <selection activeCell="W14" sqref="W14"/>
    </sheetView>
  </sheetViews>
  <sheetFormatPr defaultColWidth="11.5664062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1</v>
      </c>
      <c r="C4" s="4">
        <v>1</v>
      </c>
      <c r="D4" s="2"/>
      <c r="E4" s="2"/>
      <c r="F4" s="4">
        <v>0</v>
      </c>
      <c r="G4" s="4">
        <v>1</v>
      </c>
      <c r="H4" s="2"/>
      <c r="I4" s="2"/>
      <c r="J4" s="4">
        <v>2</v>
      </c>
      <c r="K4" s="4">
        <v>1</v>
      </c>
      <c r="L4" s="2"/>
      <c r="M4" s="2"/>
      <c r="N4" s="4">
        <v>2</v>
      </c>
      <c r="O4" s="4">
        <v>0</v>
      </c>
      <c r="P4" s="2"/>
      <c r="Q4" s="2"/>
      <c r="R4" s="4">
        <v>2</v>
      </c>
      <c r="S4" s="4">
        <v>1</v>
      </c>
      <c r="T4" s="2"/>
      <c r="U4" s="2"/>
      <c r="V4" s="4">
        <v>2</v>
      </c>
      <c r="W4" s="4">
        <v>0</v>
      </c>
      <c r="X4" s="2"/>
      <c r="Y4" s="2"/>
      <c r="Z4" s="4">
        <v>3</v>
      </c>
      <c r="AA4" s="4">
        <v>2</v>
      </c>
      <c r="AB4" s="2"/>
      <c r="AC4" s="2"/>
      <c r="AD4" s="4">
        <v>2</v>
      </c>
      <c r="AE4" s="4">
        <v>0</v>
      </c>
      <c r="AF4" s="2"/>
    </row>
    <row r="5" spans="1:32" ht="17.25" x14ac:dyDescent="0.3">
      <c r="A5" s="2"/>
      <c r="B5" s="15" t="s">
        <v>23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0</v>
      </c>
      <c r="D9" s="2"/>
      <c r="E9" s="2"/>
      <c r="F9" s="4">
        <v>1</v>
      </c>
      <c r="G9" s="4">
        <v>1</v>
      </c>
      <c r="H9" s="2"/>
      <c r="I9" s="2"/>
      <c r="J9" s="4">
        <v>3</v>
      </c>
      <c r="K9" s="4">
        <v>0</v>
      </c>
      <c r="L9" s="2"/>
      <c r="M9" s="2"/>
      <c r="N9" s="4">
        <v>3</v>
      </c>
      <c r="O9" s="4">
        <v>2</v>
      </c>
      <c r="P9" s="2"/>
      <c r="Q9" s="2"/>
      <c r="R9" s="4">
        <v>1</v>
      </c>
      <c r="S9" s="4">
        <v>2</v>
      </c>
      <c r="T9" s="2"/>
      <c r="U9" s="2"/>
      <c r="V9" s="4">
        <v>2</v>
      </c>
      <c r="W9" s="4">
        <v>1</v>
      </c>
      <c r="X9" s="2"/>
      <c r="Y9" s="2"/>
      <c r="Z9" s="4">
        <v>1</v>
      </c>
      <c r="AA9" s="4">
        <v>1</v>
      </c>
      <c r="AB9" s="2"/>
      <c r="AC9" s="2"/>
      <c r="AD9" s="4">
        <v>1</v>
      </c>
      <c r="AE9" s="4">
        <v>0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">
        <v>29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">
        <v>54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Paraguay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0</v>
      </c>
      <c r="C14" s="4">
        <v>1</v>
      </c>
      <c r="D14" s="2"/>
      <c r="E14" s="2"/>
      <c r="F14" s="4">
        <v>0</v>
      </c>
      <c r="G14" s="4">
        <v>3</v>
      </c>
      <c r="H14" s="2"/>
      <c r="I14" s="2"/>
      <c r="J14" s="4">
        <v>0</v>
      </c>
      <c r="K14" s="4">
        <v>1</v>
      </c>
      <c r="L14" s="2"/>
      <c r="M14" s="2"/>
      <c r="N14" s="4"/>
      <c r="O14" s="4"/>
      <c r="P14" s="2"/>
      <c r="Q14" s="2"/>
      <c r="R14" s="4">
        <v>1</v>
      </c>
      <c r="S14" s="4">
        <v>2</v>
      </c>
      <c r="T14" s="2"/>
      <c r="U14" s="2"/>
      <c r="V14" s="4">
        <v>2</v>
      </c>
      <c r="W14" s="4">
        <v>3</v>
      </c>
      <c r="X14" s="2"/>
      <c r="Y14" s="2"/>
      <c r="Z14" s="4"/>
      <c r="AA14" s="4"/>
      <c r="AB14" s="2"/>
      <c r="AC14" s="2"/>
      <c r="AD14" s="4"/>
      <c r="AE14" s="4"/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/>
      </c>
      <c r="O15" s="15"/>
      <c r="P15" s="2"/>
      <c r="Q15" s="2"/>
      <c r="R15" s="15" t="str">
        <f>IF(R14=S14,"",IF(R14&gt;S14,R13,S13))</f>
        <v>Norwegen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/>
      </c>
      <c r="AA15" s="15"/>
      <c r="AB15" s="2"/>
      <c r="AC15" s="2"/>
      <c r="AD15" s="15" t="str">
        <f>IF(AD14=AE14,"",IF(AD14&gt;AE14,AD13,AE13))</f>
        <v/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/>
      </c>
      <c r="N18" s="2"/>
      <c r="O18" s="2"/>
      <c r="P18" s="2"/>
      <c r="Q18" s="2"/>
      <c r="R18" s="2"/>
      <c r="T18" s="3" t="str">
        <f>R15</f>
        <v>Norwegen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/>
      </c>
      <c r="AC18" s="3" t="str">
        <f>AD15</f>
        <v/>
      </c>
      <c r="AE18" s="2"/>
      <c r="AF18" s="2"/>
    </row>
    <row r="19" spans="1:32" x14ac:dyDescent="0.2">
      <c r="A19" s="2"/>
      <c r="B19" s="2"/>
      <c r="C19" s="2"/>
      <c r="D19" s="4"/>
      <c r="E19" s="4"/>
      <c r="F19" s="2"/>
      <c r="G19" s="2"/>
      <c r="H19" s="2"/>
      <c r="I19" s="2"/>
      <c r="J19" s="2"/>
      <c r="K19" s="2"/>
      <c r="L19" s="4"/>
      <c r="M19" s="4"/>
      <c r="N19" s="2"/>
      <c r="O19" s="2"/>
      <c r="P19" s="2"/>
      <c r="Q19" s="2"/>
      <c r="R19" s="2"/>
      <c r="S19" s="2"/>
      <c r="T19" s="4"/>
      <c r="U19" s="4"/>
      <c r="V19" s="2"/>
      <c r="W19" s="2"/>
      <c r="X19" s="2"/>
      <c r="Y19" s="2"/>
      <c r="Z19" s="2"/>
      <c r="AA19" s="2"/>
      <c r="AB19" s="4"/>
      <c r="AC19" s="4"/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/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/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/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/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/>
      </c>
      <c r="I23" s="3" t="str">
        <f>L20</f>
        <v/>
      </c>
      <c r="J23" s="2"/>
      <c r="K23" s="2"/>
      <c r="L23" s="2"/>
      <c r="M23" s="2"/>
      <c r="N23" s="2"/>
      <c r="O23" s="2"/>
      <c r="P23" s="3" t="str">
        <f>IF(H24=I24,"",IF(H24&lt;I24,H23,I23))</f>
        <v/>
      </c>
      <c r="Q23" s="3" t="str">
        <f>IF(X24=Y24,"",IF(X24&lt;Y24,X23,Y23))</f>
        <v/>
      </c>
      <c r="R23" s="2"/>
      <c r="S23" s="2"/>
      <c r="T23" s="2"/>
      <c r="U23" s="2"/>
      <c r="V23" s="2"/>
      <c r="W23" s="2"/>
      <c r="X23" s="3" t="str">
        <f>T20</f>
        <v/>
      </c>
      <c r="Y23" s="3" t="str">
        <f>AB20</f>
        <v/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/>
      <c r="I24" s="4"/>
      <c r="J24" s="2"/>
      <c r="K24" s="2"/>
      <c r="L24" s="2"/>
      <c r="M24" s="2"/>
      <c r="N24" s="2"/>
      <c r="O24" s="2"/>
      <c r="P24" s="4"/>
      <c r="Q24" s="4"/>
      <c r="R24" s="2"/>
      <c r="S24" s="2"/>
      <c r="T24" s="2"/>
      <c r="U24" s="2"/>
      <c r="V24" s="2"/>
      <c r="W24" s="2"/>
      <c r="X24" s="4"/>
      <c r="Y24" s="4"/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/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/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/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/>
      </c>
      <c r="Q28" s="3" t="str">
        <f>X25</f>
        <v/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/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R37:R38"/>
    <mergeCell ref="O39:Q40"/>
    <mergeCell ref="R39:R40"/>
    <mergeCell ref="O43:Q44"/>
    <mergeCell ref="R43:R44"/>
    <mergeCell ref="G21:J22"/>
    <mergeCell ref="W21:Z22"/>
    <mergeCell ref="H25:I25"/>
    <mergeCell ref="X25:Y25"/>
    <mergeCell ref="O26:R27"/>
    <mergeCell ref="C16:F17"/>
    <mergeCell ref="K16:N17"/>
    <mergeCell ref="S16:V17"/>
    <mergeCell ref="AA16:AD17"/>
    <mergeCell ref="D20:E20"/>
    <mergeCell ref="L20:M20"/>
    <mergeCell ref="T20:U20"/>
    <mergeCell ref="AB20:AC20"/>
    <mergeCell ref="AC11:AF12"/>
    <mergeCell ref="A11:D12"/>
    <mergeCell ref="E11:H12"/>
    <mergeCell ref="I11:L12"/>
    <mergeCell ref="M11:P12"/>
    <mergeCell ref="Q11:T12"/>
    <mergeCell ref="U11:X12"/>
    <mergeCell ref="AD15:AE15"/>
    <mergeCell ref="Z15:AA15"/>
    <mergeCell ref="V15:W15"/>
    <mergeCell ref="R15:S15"/>
    <mergeCell ref="N15:O15"/>
    <mergeCell ref="J15:K15"/>
    <mergeCell ref="F15:G15"/>
    <mergeCell ref="B15:C15"/>
    <mergeCell ref="A6:D7"/>
    <mergeCell ref="B10:C10"/>
    <mergeCell ref="F10:G10"/>
    <mergeCell ref="A1:D2"/>
    <mergeCell ref="B5:C5"/>
    <mergeCell ref="E1:H2"/>
    <mergeCell ref="F5:G5"/>
    <mergeCell ref="E6:H7"/>
    <mergeCell ref="I1:L2"/>
    <mergeCell ref="J5:K5"/>
    <mergeCell ref="I6:L7"/>
    <mergeCell ref="J10:K10"/>
    <mergeCell ref="M1:P2"/>
    <mergeCell ref="N5:O5"/>
    <mergeCell ref="M6:P7"/>
    <mergeCell ref="N10:O10"/>
    <mergeCell ref="AC1:AF2"/>
    <mergeCell ref="AD5:AE5"/>
    <mergeCell ref="AC6:AF7"/>
    <mergeCell ref="AD10:AE10"/>
    <mergeCell ref="Q1:T2"/>
    <mergeCell ref="R5:S5"/>
    <mergeCell ref="Q6:T7"/>
    <mergeCell ref="R10:S10"/>
    <mergeCell ref="U1:X2"/>
    <mergeCell ref="V5:W5"/>
    <mergeCell ref="U6:X7"/>
    <mergeCell ref="V10:W10"/>
    <mergeCell ref="O45:Q46"/>
    <mergeCell ref="R45:R46"/>
    <mergeCell ref="O21:R22"/>
    <mergeCell ref="P25:Q25"/>
    <mergeCell ref="Y1:AB2"/>
    <mergeCell ref="Z5:AA5"/>
    <mergeCell ref="Y6:AB7"/>
    <mergeCell ref="Z10:AA10"/>
    <mergeCell ref="Y11:AB12"/>
    <mergeCell ref="P30:Q30"/>
    <mergeCell ref="O41:Q42"/>
    <mergeCell ref="R41:R42"/>
    <mergeCell ref="O33:R34"/>
    <mergeCell ref="O35:Q36"/>
    <mergeCell ref="R35:R36"/>
    <mergeCell ref="O37:Q38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8DAE-E4BF-4C65-9EA6-C5C7720F6ABF}">
  <dimension ref="A1:AF46"/>
  <sheetViews>
    <sheetView topLeftCell="I1" zoomScale="70" zoomScaleNormal="70" workbookViewId="0">
      <selection activeCell="Q23" sqref="Q23"/>
    </sheetView>
  </sheetViews>
  <sheetFormatPr defaultColWidth="10.4921875" defaultRowHeight="15" x14ac:dyDescent="0.2"/>
  <cols>
    <col min="1" max="1" width="10.4921875" style="6"/>
    <col min="2" max="31" width="16.8125" style="6" customWidth="1"/>
    <col min="32" max="33" width="11.43359375" style="6" customWidth="1"/>
    <col min="34" max="36" width="10.4921875" style="6"/>
    <col min="37" max="38" width="11.43359375" style="6" customWidth="1"/>
    <col min="39" max="16384" width="10.4921875" style="6"/>
  </cols>
  <sheetData>
    <row r="1" spans="1:32" x14ac:dyDescent="0.2">
      <c r="A1" s="24" t="s">
        <v>21</v>
      </c>
      <c r="B1" s="24"/>
      <c r="C1" s="24"/>
      <c r="D1" s="24"/>
      <c r="E1" s="24" t="s">
        <v>25</v>
      </c>
      <c r="F1" s="24"/>
      <c r="G1" s="24"/>
      <c r="H1" s="24"/>
      <c r="I1" s="24" t="s">
        <v>30</v>
      </c>
      <c r="J1" s="24"/>
      <c r="K1" s="24"/>
      <c r="L1" s="24"/>
      <c r="M1" s="24" t="s">
        <v>33</v>
      </c>
      <c r="N1" s="24"/>
      <c r="O1" s="24"/>
      <c r="P1" s="24"/>
      <c r="Q1" s="24" t="s">
        <v>38</v>
      </c>
      <c r="R1" s="24"/>
      <c r="S1" s="24"/>
      <c r="T1" s="24"/>
      <c r="U1" s="24" t="s">
        <v>44</v>
      </c>
      <c r="V1" s="24"/>
      <c r="W1" s="24"/>
      <c r="X1" s="24"/>
      <c r="Y1" s="24" t="s">
        <v>49</v>
      </c>
      <c r="Z1" s="24"/>
      <c r="AA1" s="24"/>
      <c r="AB1" s="24"/>
      <c r="AC1" s="24" t="s">
        <v>55</v>
      </c>
      <c r="AD1" s="24"/>
      <c r="AE1" s="24"/>
      <c r="AF1" s="24"/>
    </row>
    <row r="2" spans="1:32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16.5" customHeight="1" x14ac:dyDescent="0.3">
      <c r="A3" s="7"/>
      <c r="B3" s="8" t="s">
        <v>3</v>
      </c>
      <c r="C3" s="8" t="s">
        <v>23</v>
      </c>
      <c r="D3" s="7"/>
      <c r="E3" s="7"/>
      <c r="F3" s="8" t="s">
        <v>27</v>
      </c>
      <c r="G3" s="8" t="s">
        <v>28</v>
      </c>
      <c r="H3" s="7"/>
      <c r="I3" s="7"/>
      <c r="J3" s="8" t="s">
        <v>4</v>
      </c>
      <c r="K3" s="8" t="s">
        <v>32</v>
      </c>
      <c r="L3" s="7"/>
      <c r="M3" s="7"/>
      <c r="N3" s="8" t="s">
        <v>35</v>
      </c>
      <c r="O3" s="8" t="s">
        <v>36</v>
      </c>
      <c r="P3" s="7"/>
      <c r="Q3" s="7"/>
      <c r="R3" s="8" t="s">
        <v>40</v>
      </c>
      <c r="S3" s="8" t="s">
        <v>41</v>
      </c>
      <c r="T3" s="7"/>
      <c r="U3" s="7"/>
      <c r="V3" s="8" t="s">
        <v>46</v>
      </c>
      <c r="W3" s="8" t="s">
        <v>47</v>
      </c>
      <c r="X3" s="7"/>
      <c r="Y3" s="7"/>
      <c r="Z3" s="8" t="s">
        <v>51</v>
      </c>
      <c r="AA3" s="8" t="s">
        <v>52</v>
      </c>
      <c r="AB3" s="7"/>
      <c r="AC3" s="7"/>
      <c r="AD3" s="8" t="s">
        <v>10</v>
      </c>
      <c r="AE3" s="8" t="s">
        <v>57</v>
      </c>
      <c r="AF3" s="7"/>
    </row>
    <row r="4" spans="1:32" x14ac:dyDescent="0.2">
      <c r="A4" s="7"/>
      <c r="B4" s="9">
        <v>2</v>
      </c>
      <c r="C4" s="9">
        <v>1</v>
      </c>
      <c r="D4" s="7"/>
      <c r="E4" s="7"/>
      <c r="F4" s="9">
        <v>0</v>
      </c>
      <c r="G4" s="9">
        <v>2</v>
      </c>
      <c r="H4" s="7"/>
      <c r="I4" s="7"/>
      <c r="J4" s="9">
        <v>2</v>
      </c>
      <c r="K4" s="9">
        <v>1</v>
      </c>
      <c r="L4" s="7"/>
      <c r="M4" s="7"/>
      <c r="N4" s="9">
        <v>2</v>
      </c>
      <c r="O4" s="9">
        <v>0</v>
      </c>
      <c r="P4" s="7"/>
      <c r="Q4" s="7"/>
      <c r="R4" s="9">
        <v>2</v>
      </c>
      <c r="S4" s="9">
        <v>1</v>
      </c>
      <c r="T4" s="7"/>
      <c r="U4" s="7"/>
      <c r="V4" s="9">
        <v>1</v>
      </c>
      <c r="W4" s="9">
        <v>2</v>
      </c>
      <c r="X4" s="7"/>
      <c r="Y4" s="7"/>
      <c r="Z4" s="9">
        <v>4</v>
      </c>
      <c r="AA4" s="9">
        <v>0</v>
      </c>
      <c r="AB4" s="7"/>
      <c r="AC4" s="7"/>
      <c r="AD4" s="9">
        <v>2</v>
      </c>
      <c r="AE4" s="9">
        <v>0</v>
      </c>
      <c r="AF4" s="7"/>
    </row>
    <row r="5" spans="1:32" ht="16.5" customHeight="1" x14ac:dyDescent="0.3">
      <c r="A5" s="7"/>
      <c r="B5" s="25" t="str">
        <f>IF(B4=C4,"",IF(B4&gt;C4,B3,C3))</f>
        <v>Deutschland</v>
      </c>
      <c r="C5" s="25"/>
      <c r="D5" s="7"/>
      <c r="E5" s="7"/>
      <c r="F5" s="25" t="str">
        <f>IF(F4=G4,"",IF(F4&gt;G4,F3,G3))</f>
        <v>Kanada</v>
      </c>
      <c r="G5" s="25"/>
      <c r="H5" s="7"/>
      <c r="I5" s="7"/>
      <c r="J5" s="25" t="str">
        <f>IF(J4=K4,"",IF(J4&gt;K4,J3,K3))</f>
        <v>Portugal</v>
      </c>
      <c r="K5" s="25"/>
      <c r="L5" s="7"/>
      <c r="M5" s="7"/>
      <c r="N5" s="25" t="str">
        <f>IF(N4=O4,"",IF(N4&gt;O4,N3,O3))</f>
        <v>USA</v>
      </c>
      <c r="O5" s="25"/>
      <c r="P5" s="7"/>
      <c r="Q5" s="7"/>
      <c r="R5" s="25" t="str">
        <f>IF(R4=S4,"",IF(R4&gt;S4,R3,S3))</f>
        <v>Brasilien</v>
      </c>
      <c r="S5" s="25"/>
      <c r="T5" s="7"/>
      <c r="U5" s="7"/>
      <c r="V5" s="25" t="str">
        <f>IF(V4=W4,"",IF(V4&gt;W4,V3,W3))</f>
        <v>Ecuador</v>
      </c>
      <c r="W5" s="25"/>
      <c r="X5" s="7"/>
      <c r="Y5" s="7"/>
      <c r="Z5" s="25" t="str">
        <f>IF(Z4=AA4,"",IF(Z4&gt;AA4,Z3,AA3))</f>
        <v>Argentinien</v>
      </c>
      <c r="AA5" s="25"/>
      <c r="AB5" s="7"/>
      <c r="AC5" s="7"/>
      <c r="AD5" s="25" t="str">
        <f>IF(AD4=AE4,"",IF(AD4&gt;AE4,AD3,AE3))</f>
        <v>Schweiz</v>
      </c>
      <c r="AE5" s="25"/>
      <c r="AF5" s="7"/>
    </row>
    <row r="6" spans="1:32" x14ac:dyDescent="0.2">
      <c r="A6" s="24" t="s">
        <v>22</v>
      </c>
      <c r="B6" s="24"/>
      <c r="C6" s="24"/>
      <c r="D6" s="24"/>
      <c r="E6" s="24" t="s">
        <v>26</v>
      </c>
      <c r="F6" s="24"/>
      <c r="G6" s="24"/>
      <c r="H6" s="24"/>
      <c r="I6" s="24" t="s">
        <v>31</v>
      </c>
      <c r="J6" s="24"/>
      <c r="K6" s="24"/>
      <c r="L6" s="24"/>
      <c r="M6" s="24" t="s">
        <v>34</v>
      </c>
      <c r="N6" s="24"/>
      <c r="O6" s="24"/>
      <c r="P6" s="24"/>
      <c r="Q6" s="24" t="s">
        <v>39</v>
      </c>
      <c r="R6" s="24"/>
      <c r="S6" s="24"/>
      <c r="T6" s="24"/>
      <c r="U6" s="24" t="s">
        <v>45</v>
      </c>
      <c r="V6" s="24"/>
      <c r="W6" s="24"/>
      <c r="X6" s="24"/>
      <c r="Y6" s="24" t="s">
        <v>50</v>
      </c>
      <c r="Z6" s="24"/>
      <c r="AA6" s="24"/>
      <c r="AB6" s="24"/>
      <c r="AC6" s="24" t="s">
        <v>56</v>
      </c>
      <c r="AD6" s="24"/>
      <c r="AE6" s="24"/>
      <c r="AF6" s="24"/>
    </row>
    <row r="7" spans="1:32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2" ht="16.5" customHeight="1" x14ac:dyDescent="0.3">
      <c r="A8" s="7"/>
      <c r="B8" s="8" t="s">
        <v>5</v>
      </c>
      <c r="C8" s="8" t="s">
        <v>24</v>
      </c>
      <c r="D8" s="7"/>
      <c r="E8" s="7"/>
      <c r="F8" s="8" t="s">
        <v>7</v>
      </c>
      <c r="G8" s="8" t="s">
        <v>29</v>
      </c>
      <c r="H8" s="7"/>
      <c r="I8" s="7"/>
      <c r="J8" s="8" t="s">
        <v>2</v>
      </c>
      <c r="K8" s="8" t="s">
        <v>8</v>
      </c>
      <c r="L8" s="7"/>
      <c r="M8" s="7"/>
      <c r="N8" s="8" t="s">
        <v>6</v>
      </c>
      <c r="O8" s="8" t="s">
        <v>37</v>
      </c>
      <c r="P8" s="7"/>
      <c r="Q8" s="7"/>
      <c r="R8" s="8" t="s">
        <v>42</v>
      </c>
      <c r="S8" s="8" t="s">
        <v>43</v>
      </c>
      <c r="T8" s="7"/>
      <c r="U8" s="7"/>
      <c r="V8" s="8" t="s">
        <v>9</v>
      </c>
      <c r="W8" s="8" t="s">
        <v>48</v>
      </c>
      <c r="X8" s="7"/>
      <c r="Y8" s="7"/>
      <c r="Z8" s="8" t="s">
        <v>53</v>
      </c>
      <c r="AA8" s="8" t="s">
        <v>54</v>
      </c>
      <c r="AB8" s="7"/>
      <c r="AC8" s="7"/>
      <c r="AD8" s="8" t="s">
        <v>58</v>
      </c>
      <c r="AE8" s="8" t="s">
        <v>59</v>
      </c>
      <c r="AF8" s="7"/>
    </row>
    <row r="9" spans="1:32" x14ac:dyDescent="0.2">
      <c r="A9" s="7"/>
      <c r="B9" s="9">
        <v>3</v>
      </c>
      <c r="C9" s="9">
        <v>0</v>
      </c>
      <c r="D9" s="7"/>
      <c r="E9" s="7"/>
      <c r="F9" s="9">
        <v>2</v>
      </c>
      <c r="G9" s="9">
        <v>1</v>
      </c>
      <c r="H9" s="7"/>
      <c r="I9" s="7"/>
      <c r="J9" s="9">
        <v>2</v>
      </c>
      <c r="K9" s="9">
        <v>0</v>
      </c>
      <c r="L9" s="7"/>
      <c r="M9" s="7"/>
      <c r="N9" s="9">
        <v>2</v>
      </c>
      <c r="O9" s="9">
        <v>1</v>
      </c>
      <c r="P9" s="7"/>
      <c r="Q9" s="7"/>
      <c r="R9" s="9">
        <v>0</v>
      </c>
      <c r="S9" s="9">
        <v>2</v>
      </c>
      <c r="T9" s="7"/>
      <c r="U9" s="7"/>
      <c r="V9" s="9">
        <v>3</v>
      </c>
      <c r="W9" s="9">
        <v>0</v>
      </c>
      <c r="X9" s="7"/>
      <c r="Y9" s="7"/>
      <c r="Z9" s="9">
        <v>1</v>
      </c>
      <c r="AA9" s="9">
        <v>2</v>
      </c>
      <c r="AB9" s="7"/>
      <c r="AC9" s="7"/>
      <c r="AD9" s="9">
        <v>3</v>
      </c>
      <c r="AE9" s="9">
        <v>0</v>
      </c>
      <c r="AF9" s="7"/>
    </row>
    <row r="10" spans="1:32" ht="16.5" customHeight="1" x14ac:dyDescent="0.3">
      <c r="A10" s="7"/>
      <c r="B10" s="25" t="str">
        <f>IF(B9=C9,"",IF(B9&gt;C9,B8,C8))</f>
        <v>Frankreich</v>
      </c>
      <c r="C10" s="25"/>
      <c r="D10" s="7"/>
      <c r="E10" s="7"/>
      <c r="F10" s="25" t="str">
        <f>IF(F9=G9,"",IF(F9&gt;G9,F8,G8))</f>
        <v>Niederlande</v>
      </c>
      <c r="G10" s="25"/>
      <c r="H10" s="7"/>
      <c r="I10" s="7"/>
      <c r="J10" s="25" t="str">
        <f>IF(J9=K9,"",IF(J9&gt;K9,J8,K8))</f>
        <v>Spanien</v>
      </c>
      <c r="K10" s="25"/>
      <c r="L10" s="7"/>
      <c r="M10" s="7"/>
      <c r="N10" s="25" t="str">
        <f>IF(N9=O9,"",IF(N9&gt;O9,N8,O8))</f>
        <v>Belgien</v>
      </c>
      <c r="O10" s="25"/>
      <c r="P10" s="7"/>
      <c r="Q10" s="7"/>
      <c r="R10" s="25" t="str">
        <f>IF(R9=S9,"",IF(R9&gt;S9,R8,S8))</f>
        <v>Norwegen</v>
      </c>
      <c r="S10" s="25"/>
      <c r="T10" s="7"/>
      <c r="U10" s="7"/>
      <c r="V10" s="25" t="str">
        <f>IF(V9=W9,"",IF(V9&gt;W9,V8,W8))</f>
        <v>England</v>
      </c>
      <c r="W10" s="25"/>
      <c r="X10" s="7"/>
      <c r="Y10" s="7"/>
      <c r="Z10" s="25" t="str">
        <f>IF(Z9=AA9,"",IF(Z9&gt;AA9,Z8,AA8))</f>
        <v>Ägypten</v>
      </c>
      <c r="AA10" s="25"/>
      <c r="AB10" s="7"/>
      <c r="AC10" s="7"/>
      <c r="AD10" s="25" t="str">
        <f>IF(AD9=AE9,"",IF(AD9&gt;AE9,AD8,AE8))</f>
        <v>Kolumbien</v>
      </c>
      <c r="AE10" s="25"/>
      <c r="AF10" s="7"/>
    </row>
    <row r="11" spans="1:32" ht="14.25" customHeight="1" x14ac:dyDescent="0.2">
      <c r="A11" s="24" t="s">
        <v>0</v>
      </c>
      <c r="B11" s="24"/>
      <c r="C11" s="24"/>
      <c r="D11" s="24"/>
      <c r="E11" s="24" t="s">
        <v>1</v>
      </c>
      <c r="F11" s="24"/>
      <c r="G11" s="24"/>
      <c r="H11" s="24"/>
      <c r="I11" s="24" t="s">
        <v>63</v>
      </c>
      <c r="J11" s="24"/>
      <c r="K11" s="24"/>
      <c r="L11" s="24"/>
      <c r="M11" s="24" t="s">
        <v>64</v>
      </c>
      <c r="N11" s="24"/>
      <c r="O11" s="24"/>
      <c r="P11" s="24"/>
      <c r="Q11" s="24" t="s">
        <v>65</v>
      </c>
      <c r="R11" s="24"/>
      <c r="S11" s="24"/>
      <c r="T11" s="24"/>
      <c r="U11" s="24" t="s">
        <v>66</v>
      </c>
      <c r="V11" s="24"/>
      <c r="W11" s="24"/>
      <c r="X11" s="24"/>
      <c r="Y11" s="24" t="s">
        <v>67</v>
      </c>
      <c r="Z11" s="24"/>
      <c r="AA11" s="24"/>
      <c r="AB11" s="24"/>
      <c r="AC11" s="24" t="s">
        <v>68</v>
      </c>
      <c r="AD11" s="24"/>
      <c r="AE11" s="24"/>
      <c r="AF11" s="24"/>
    </row>
    <row r="12" spans="1:32" ht="14.25" customHeight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spans="1:32" ht="16.5" customHeight="1" x14ac:dyDescent="0.3">
      <c r="A13" s="7"/>
      <c r="B13" s="8" t="str">
        <f>B5</f>
        <v>Deutschland</v>
      </c>
      <c r="C13" s="8" t="str">
        <f>B10</f>
        <v>Frankreich</v>
      </c>
      <c r="D13" s="7"/>
      <c r="E13" s="7"/>
      <c r="F13" s="8" t="str">
        <f>F5</f>
        <v>Kanada</v>
      </c>
      <c r="G13" s="8" t="str">
        <f>F10</f>
        <v>Niederlande</v>
      </c>
      <c r="H13" s="7"/>
      <c r="I13" s="7"/>
      <c r="J13" s="8" t="str">
        <f>J5</f>
        <v>Portugal</v>
      </c>
      <c r="K13" s="8" t="str">
        <f>J10</f>
        <v>Spanien</v>
      </c>
      <c r="L13" s="7"/>
      <c r="M13" s="7"/>
      <c r="N13" s="8" t="str">
        <f>N5</f>
        <v>USA</v>
      </c>
      <c r="O13" s="8" t="str">
        <f>N10</f>
        <v>Belgien</v>
      </c>
      <c r="P13" s="7"/>
      <c r="Q13" s="7"/>
      <c r="R13" s="8" t="str">
        <f>R5</f>
        <v>Brasilien</v>
      </c>
      <c r="S13" s="8" t="str">
        <f>R10</f>
        <v>Norwegen</v>
      </c>
      <c r="T13" s="7"/>
      <c r="U13" s="7"/>
      <c r="V13" s="8" t="str">
        <f>V5</f>
        <v>Ecuador</v>
      </c>
      <c r="W13" s="8" t="str">
        <f>V10</f>
        <v>England</v>
      </c>
      <c r="X13" s="7"/>
      <c r="Y13" s="7"/>
      <c r="Z13" s="8" t="str">
        <f>Z5</f>
        <v>Argentinien</v>
      </c>
      <c r="AA13" s="8" t="str">
        <f>Z10</f>
        <v>Ägypten</v>
      </c>
      <c r="AB13" s="7"/>
      <c r="AC13" s="7"/>
      <c r="AD13" s="8" t="str">
        <f>AD5</f>
        <v>Schweiz</v>
      </c>
      <c r="AE13" s="8" t="str">
        <f>AD10</f>
        <v>Kolumbien</v>
      </c>
      <c r="AF13" s="7"/>
    </row>
    <row r="14" spans="1:32" x14ac:dyDescent="0.2">
      <c r="A14" s="7"/>
      <c r="B14" s="9">
        <v>1</v>
      </c>
      <c r="C14" s="9">
        <v>2</v>
      </c>
      <c r="D14" s="7"/>
      <c r="E14" s="7"/>
      <c r="F14" s="9">
        <v>1</v>
      </c>
      <c r="G14" s="9">
        <v>2</v>
      </c>
      <c r="H14" s="7"/>
      <c r="I14" s="7"/>
      <c r="J14" s="9">
        <v>1</v>
      </c>
      <c r="K14" s="9">
        <v>2</v>
      </c>
      <c r="L14" s="7"/>
      <c r="M14" s="7"/>
      <c r="N14" s="9">
        <v>1</v>
      </c>
      <c r="O14" s="9">
        <v>2</v>
      </c>
      <c r="P14" s="7"/>
      <c r="Q14" s="7"/>
      <c r="R14" s="9">
        <v>2</v>
      </c>
      <c r="S14" s="9">
        <v>1</v>
      </c>
      <c r="T14" s="7"/>
      <c r="U14" s="7"/>
      <c r="V14" s="9">
        <v>1</v>
      </c>
      <c r="W14" s="9">
        <v>2</v>
      </c>
      <c r="X14" s="7"/>
      <c r="Y14" s="7"/>
      <c r="Z14" s="9">
        <v>3</v>
      </c>
      <c r="AA14" s="9">
        <v>0</v>
      </c>
      <c r="AB14" s="7"/>
      <c r="AC14" s="7"/>
      <c r="AD14" s="9">
        <v>1</v>
      </c>
      <c r="AE14" s="9">
        <v>2</v>
      </c>
      <c r="AF14" s="7"/>
    </row>
    <row r="15" spans="1:32" ht="16.5" customHeight="1" x14ac:dyDescent="0.3">
      <c r="A15" s="7"/>
      <c r="B15" s="25" t="str">
        <f>IF(B14=C14,"",IF(B14&gt;C14,B13,C13))</f>
        <v>Frankreich</v>
      </c>
      <c r="C15" s="25"/>
      <c r="D15" s="7"/>
      <c r="E15" s="7"/>
      <c r="F15" s="25" t="str">
        <f>IF(F14=G14,"",IF(F14&gt;G14,F13,G13))</f>
        <v>Niederlande</v>
      </c>
      <c r="G15" s="25"/>
      <c r="H15" s="7"/>
      <c r="I15" s="7"/>
      <c r="J15" s="25" t="str">
        <f>IF(J14=K14,"",IF(J14&gt;K14,J13,K13))</f>
        <v>Spanien</v>
      </c>
      <c r="K15" s="25"/>
      <c r="L15" s="7"/>
      <c r="M15" s="7"/>
      <c r="N15" s="25" t="str">
        <f>IF(N14=O14,"",IF(N14&gt;O14,N13,O13))</f>
        <v>Belgien</v>
      </c>
      <c r="O15" s="25"/>
      <c r="P15" s="7"/>
      <c r="Q15" s="7"/>
      <c r="R15" s="25" t="str">
        <f>IF(R14=S14,"",IF(R14&gt;S14,R13,S13))</f>
        <v>Brasilien</v>
      </c>
      <c r="S15" s="25"/>
      <c r="T15" s="7"/>
      <c r="U15" s="7"/>
      <c r="V15" s="25" t="str">
        <f>IF(V14=W14,"",IF(V14&gt;W14,V13,W13))</f>
        <v>England</v>
      </c>
      <c r="W15" s="25"/>
      <c r="X15" s="7"/>
      <c r="Y15" s="7"/>
      <c r="Z15" s="25" t="str">
        <f>IF(Z14=AA14,"",IF(Z14&gt;AA14,Z13,AA13))</f>
        <v>Argentinien</v>
      </c>
      <c r="AA15" s="25"/>
      <c r="AB15" s="7"/>
      <c r="AC15" s="7"/>
      <c r="AD15" s="25" t="str">
        <f>IF(AD14=AE14,"",IF(AD14&gt;AE14,AD13,AE13))</f>
        <v>Kolumbien</v>
      </c>
      <c r="AE15" s="25"/>
      <c r="AF15" s="7"/>
    </row>
    <row r="16" spans="1:32" ht="14.25" customHeight="1" x14ac:dyDescent="0.2">
      <c r="A16" s="7"/>
      <c r="B16" s="7"/>
      <c r="C16" s="24" t="s">
        <v>11</v>
      </c>
      <c r="D16" s="24"/>
      <c r="E16" s="24"/>
      <c r="F16" s="24"/>
      <c r="G16" s="7"/>
      <c r="H16" s="7"/>
      <c r="I16" s="7"/>
      <c r="J16" s="7"/>
      <c r="K16" s="24" t="s">
        <v>12</v>
      </c>
      <c r="L16" s="24"/>
      <c r="M16" s="24"/>
      <c r="N16" s="24"/>
      <c r="O16" s="7"/>
      <c r="P16" s="7"/>
      <c r="Q16" s="7"/>
      <c r="R16" s="7"/>
      <c r="S16" s="24" t="s">
        <v>13</v>
      </c>
      <c r="T16" s="24"/>
      <c r="U16" s="24"/>
      <c r="V16" s="24"/>
      <c r="W16" s="7"/>
      <c r="X16" s="7"/>
      <c r="Y16" s="7"/>
      <c r="Z16" s="7"/>
      <c r="AA16" s="24" t="s">
        <v>14</v>
      </c>
      <c r="AB16" s="24"/>
      <c r="AC16" s="24"/>
      <c r="AD16" s="24"/>
      <c r="AE16" s="7"/>
      <c r="AF16" s="7"/>
    </row>
    <row r="17" spans="1:32" ht="14.25" customHeight="1" x14ac:dyDescent="0.2">
      <c r="A17" s="7"/>
      <c r="B17" s="7"/>
      <c r="C17" s="24"/>
      <c r="D17" s="24"/>
      <c r="E17" s="24"/>
      <c r="F17" s="24"/>
      <c r="G17" s="7"/>
      <c r="H17" s="7"/>
      <c r="I17" s="7"/>
      <c r="J17" s="7"/>
      <c r="K17" s="24"/>
      <c r="L17" s="24"/>
      <c r="M17" s="24"/>
      <c r="N17" s="24"/>
      <c r="O17" s="7"/>
      <c r="P17" s="7"/>
      <c r="Q17" s="7"/>
      <c r="R17" s="7"/>
      <c r="S17" s="24"/>
      <c r="T17" s="24"/>
      <c r="U17" s="24"/>
      <c r="V17" s="24"/>
      <c r="W17" s="7"/>
      <c r="X17" s="7"/>
      <c r="Y17" s="7"/>
      <c r="Z17" s="7"/>
      <c r="AA17" s="24"/>
      <c r="AB17" s="24"/>
      <c r="AC17" s="24"/>
      <c r="AD17" s="24"/>
      <c r="AE17" s="7"/>
      <c r="AF17" s="7"/>
    </row>
    <row r="18" spans="1:32" ht="16.5" customHeight="1" x14ac:dyDescent="0.3">
      <c r="A18" s="7"/>
      <c r="B18" s="7"/>
      <c r="C18" s="7"/>
      <c r="D18" s="8" t="str">
        <f>B15</f>
        <v>Frankreich</v>
      </c>
      <c r="E18" s="8" t="str">
        <f>F15</f>
        <v>Niederlande</v>
      </c>
      <c r="F18" s="7"/>
      <c r="G18" s="7"/>
      <c r="H18" s="7"/>
      <c r="I18" s="7"/>
      <c r="J18" s="7"/>
      <c r="K18" s="7"/>
      <c r="L18" s="8" t="str">
        <f>J15</f>
        <v>Spanien</v>
      </c>
      <c r="M18" s="8" t="str">
        <f>N15</f>
        <v>Belgien</v>
      </c>
      <c r="N18" s="7"/>
      <c r="O18" s="7"/>
      <c r="P18" s="7"/>
      <c r="Q18" s="7"/>
      <c r="R18" s="7"/>
      <c r="T18" s="8" t="str">
        <f>R15</f>
        <v>Brasilien</v>
      </c>
      <c r="U18" s="8" t="str">
        <f>V15</f>
        <v>England</v>
      </c>
      <c r="V18" s="7"/>
      <c r="W18" s="7"/>
      <c r="X18" s="7"/>
      <c r="Y18" s="7"/>
      <c r="Z18" s="7"/>
      <c r="AA18" s="7"/>
      <c r="AB18" s="8" t="str">
        <f>Z15</f>
        <v>Argentinien</v>
      </c>
      <c r="AC18" s="8" t="str">
        <f>AD15</f>
        <v>Kolumbien</v>
      </c>
      <c r="AE18" s="7"/>
      <c r="AF18" s="7"/>
    </row>
    <row r="19" spans="1:32" x14ac:dyDescent="0.2">
      <c r="A19" s="7"/>
      <c r="B19" s="7"/>
      <c r="C19" s="7"/>
      <c r="D19" s="9">
        <v>2</v>
      </c>
      <c r="E19" s="9">
        <v>1</v>
      </c>
      <c r="F19" s="7"/>
      <c r="G19" s="7"/>
      <c r="H19" s="7"/>
      <c r="I19" s="7"/>
      <c r="J19" s="7"/>
      <c r="K19" s="7"/>
      <c r="L19" s="9">
        <v>3</v>
      </c>
      <c r="M19" s="9">
        <v>1</v>
      </c>
      <c r="N19" s="7"/>
      <c r="O19" s="7"/>
      <c r="P19" s="7"/>
      <c r="Q19" s="7"/>
      <c r="R19" s="7"/>
      <c r="S19" s="7"/>
      <c r="T19" s="9">
        <v>1</v>
      </c>
      <c r="U19" s="9">
        <v>2</v>
      </c>
      <c r="V19" s="7"/>
      <c r="W19" s="7"/>
      <c r="X19" s="7"/>
      <c r="Y19" s="7"/>
      <c r="Z19" s="7"/>
      <c r="AA19" s="7"/>
      <c r="AB19" s="9">
        <v>2</v>
      </c>
      <c r="AC19" s="9">
        <v>1</v>
      </c>
      <c r="AD19" s="7"/>
      <c r="AE19" s="7"/>
      <c r="AF19" s="7"/>
    </row>
    <row r="20" spans="1:32" ht="16.5" customHeight="1" x14ac:dyDescent="0.3">
      <c r="A20" s="7"/>
      <c r="B20" s="7"/>
      <c r="C20" s="7"/>
      <c r="D20" s="25" t="str">
        <f>IF(D19=E19,"",IF(D19&gt;E19,D18,E18))</f>
        <v>Frankreich</v>
      </c>
      <c r="E20" s="25"/>
      <c r="F20" s="7"/>
      <c r="G20" s="7"/>
      <c r="H20" s="7"/>
      <c r="I20" s="7"/>
      <c r="J20" s="7"/>
      <c r="K20" s="7"/>
      <c r="L20" s="25" t="str">
        <f>IF(L19=M19,"",IF(L19&gt;M19,L18,M18))</f>
        <v>Spanien</v>
      </c>
      <c r="M20" s="25"/>
      <c r="N20" s="7"/>
      <c r="O20" s="7"/>
      <c r="P20" s="7"/>
      <c r="Q20" s="7"/>
      <c r="R20" s="7"/>
      <c r="S20" s="7"/>
      <c r="T20" s="25" t="str">
        <f>IF(T19=U19,"",IF(T19&gt;U19,T18,U18))</f>
        <v>England</v>
      </c>
      <c r="U20" s="25"/>
      <c r="V20" s="7"/>
      <c r="W20" s="7"/>
      <c r="X20" s="7"/>
      <c r="Y20" s="7"/>
      <c r="Z20" s="7"/>
      <c r="AA20" s="7"/>
      <c r="AB20" s="25" t="str">
        <f>IF(AB19=AC19,"",IF(AB19&gt;AC19,AB18,AC18))</f>
        <v>Argentinien</v>
      </c>
      <c r="AC20" s="25"/>
      <c r="AD20" s="7"/>
      <c r="AE20" s="7"/>
      <c r="AF20" s="7"/>
    </row>
    <row r="21" spans="1:32" ht="14.25" customHeight="1" x14ac:dyDescent="0.3">
      <c r="A21" s="7"/>
      <c r="B21" s="7"/>
      <c r="C21" s="7"/>
      <c r="D21" s="10"/>
      <c r="E21" s="10"/>
      <c r="F21" s="7"/>
      <c r="G21" s="24" t="s">
        <v>15</v>
      </c>
      <c r="H21" s="24"/>
      <c r="I21" s="24"/>
      <c r="J21" s="24"/>
      <c r="K21" s="7"/>
      <c r="L21" s="7"/>
      <c r="M21" s="7"/>
      <c r="N21" s="7"/>
      <c r="O21" s="24" t="s">
        <v>62</v>
      </c>
      <c r="P21" s="24"/>
      <c r="Q21" s="24"/>
      <c r="R21" s="24"/>
      <c r="S21" s="7"/>
      <c r="T21" s="7"/>
      <c r="U21" s="7"/>
      <c r="V21" s="7"/>
      <c r="W21" s="24" t="s">
        <v>16</v>
      </c>
      <c r="X21" s="24"/>
      <c r="Y21" s="24"/>
      <c r="Z21" s="24"/>
      <c r="AA21" s="7"/>
      <c r="AB21" s="7"/>
      <c r="AC21" s="7"/>
      <c r="AD21" s="7"/>
      <c r="AE21" s="7"/>
      <c r="AF21" s="7"/>
    </row>
    <row r="22" spans="1:32" ht="14.25" customHeight="1" x14ac:dyDescent="0.2">
      <c r="A22" s="7"/>
      <c r="B22" s="7"/>
      <c r="C22" s="7"/>
      <c r="D22" s="7"/>
      <c r="E22" s="7"/>
      <c r="F22" s="7"/>
      <c r="G22" s="24"/>
      <c r="H22" s="24"/>
      <c r="I22" s="24"/>
      <c r="J22" s="24"/>
      <c r="K22" s="7"/>
      <c r="L22" s="7"/>
      <c r="M22" s="7"/>
      <c r="N22" s="7"/>
      <c r="O22" s="24"/>
      <c r="P22" s="24"/>
      <c r="Q22" s="24"/>
      <c r="R22" s="24"/>
      <c r="S22" s="7"/>
      <c r="T22" s="7"/>
      <c r="U22" s="7"/>
      <c r="V22" s="7"/>
      <c r="W22" s="24"/>
      <c r="X22" s="24"/>
      <c r="Y22" s="24"/>
      <c r="Z22" s="24"/>
      <c r="AA22" s="7"/>
      <c r="AB22" s="7"/>
      <c r="AC22" s="7"/>
      <c r="AD22" s="7"/>
      <c r="AE22" s="7"/>
      <c r="AF22" s="7"/>
    </row>
    <row r="23" spans="1:32" ht="16.5" customHeight="1" x14ac:dyDescent="0.3">
      <c r="A23" s="7"/>
      <c r="B23" s="7"/>
      <c r="C23" s="7"/>
      <c r="D23" s="7"/>
      <c r="E23" s="7"/>
      <c r="F23" s="7"/>
      <c r="G23" s="7"/>
      <c r="H23" s="8" t="str">
        <f>D20</f>
        <v>Frankreich</v>
      </c>
      <c r="I23" s="8" t="str">
        <f>L20</f>
        <v>Spanien</v>
      </c>
      <c r="J23" s="7"/>
      <c r="K23" s="7"/>
      <c r="L23" s="7"/>
      <c r="M23" s="7"/>
      <c r="N23" s="7"/>
      <c r="O23" s="7"/>
      <c r="P23" s="8" t="str">
        <f>IF(H24=I24,"",IF(H24&lt;I24,H23,I23))</f>
        <v>Spanien</v>
      </c>
      <c r="Q23" s="8" t="str">
        <f>IF(X24=Y24,"",IF(X24&lt;Y24,X23,Y23))</f>
        <v>England</v>
      </c>
      <c r="R23" s="7"/>
      <c r="S23" s="7"/>
      <c r="T23" s="7"/>
      <c r="U23" s="7"/>
      <c r="V23" s="7"/>
      <c r="W23" s="7"/>
      <c r="X23" s="8" t="str">
        <f>T20</f>
        <v>England</v>
      </c>
      <c r="Y23" s="8" t="str">
        <f>AB20</f>
        <v>Argentinien</v>
      </c>
      <c r="Z23" s="7"/>
      <c r="AA23" s="7"/>
      <c r="AB23" s="7"/>
      <c r="AC23" s="7"/>
      <c r="AD23" s="7"/>
      <c r="AE23" s="7"/>
      <c r="AF23" s="7"/>
    </row>
    <row r="24" spans="1:32" x14ac:dyDescent="0.2">
      <c r="A24" s="7"/>
      <c r="B24" s="7"/>
      <c r="C24" s="7"/>
      <c r="D24" s="7"/>
      <c r="E24" s="7"/>
      <c r="F24" s="7"/>
      <c r="G24" s="7"/>
      <c r="H24" s="9">
        <v>2</v>
      </c>
      <c r="I24" s="9">
        <v>1</v>
      </c>
      <c r="J24" s="7"/>
      <c r="K24" s="7"/>
      <c r="L24" s="7"/>
      <c r="M24" s="7"/>
      <c r="N24" s="7"/>
      <c r="O24" s="7"/>
      <c r="P24" s="9">
        <v>2</v>
      </c>
      <c r="Q24" s="9">
        <v>1</v>
      </c>
      <c r="R24" s="7"/>
      <c r="S24" s="7"/>
      <c r="T24" s="7"/>
      <c r="U24" s="7"/>
      <c r="V24" s="7"/>
      <c r="W24" s="7"/>
      <c r="X24" s="9">
        <v>1</v>
      </c>
      <c r="Y24" s="9">
        <v>2</v>
      </c>
      <c r="Z24" s="7"/>
      <c r="AA24" s="7"/>
      <c r="AB24" s="7"/>
      <c r="AC24" s="7"/>
      <c r="AD24" s="7"/>
      <c r="AE24" s="7"/>
      <c r="AF24" s="7"/>
    </row>
    <row r="25" spans="1:32" ht="16.5" customHeight="1" x14ac:dyDescent="0.3">
      <c r="A25" s="7"/>
      <c r="B25" s="7"/>
      <c r="C25" s="7"/>
      <c r="D25" s="7"/>
      <c r="E25" s="7"/>
      <c r="F25" s="7"/>
      <c r="G25" s="7"/>
      <c r="H25" s="25" t="str">
        <f>IF(H24=I24,"",IF(H24&gt;I24,H23,I23))</f>
        <v>Frankreich</v>
      </c>
      <c r="I25" s="25"/>
      <c r="J25" s="7"/>
      <c r="K25" s="7"/>
      <c r="L25" s="7"/>
      <c r="M25" s="7"/>
      <c r="N25" s="7"/>
      <c r="O25" s="7"/>
      <c r="P25" s="25" t="str">
        <f>IF(P24=Q24,"",IF(P24&gt;Q24,P23,Q23))</f>
        <v>Spanien</v>
      </c>
      <c r="Q25" s="25"/>
      <c r="R25" s="7"/>
      <c r="S25" s="7"/>
      <c r="T25" s="7"/>
      <c r="U25" s="7"/>
      <c r="V25" s="7"/>
      <c r="W25" s="7"/>
      <c r="X25" s="25" t="str">
        <f>IF(X24=Y24,"",IF(X24&gt;Y24,X23,Y23))</f>
        <v>Argentinien</v>
      </c>
      <c r="Y25" s="25"/>
      <c r="Z25" s="7"/>
      <c r="AA25" s="7"/>
      <c r="AB25" s="7"/>
      <c r="AC25" s="7"/>
      <c r="AD25" s="7"/>
      <c r="AE25" s="7"/>
      <c r="AF25" s="7"/>
    </row>
    <row r="26" spans="1:32" ht="14.2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24" t="s">
        <v>17</v>
      </c>
      <c r="P26" s="24"/>
      <c r="Q26" s="24"/>
      <c r="R26" s="24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.2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24"/>
      <c r="P27" s="24"/>
      <c r="Q27" s="24"/>
      <c r="R27" s="24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7.2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 t="str">
        <f>H25</f>
        <v>Frankreich</v>
      </c>
      <c r="Q28" s="8" t="str">
        <f>X25</f>
        <v>Argentinien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9">
        <v>3</v>
      </c>
      <c r="Q29" s="9">
        <v>1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6.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25" t="str">
        <f>IF(P29=Q29,"",IF(P29&gt;Q29,P28,Q28))</f>
        <v>Frankreich</v>
      </c>
      <c r="Q30" s="25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F30" s="7"/>
    </row>
    <row r="31" spans="1:3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5:19" ht="14.25" customHeight="1" x14ac:dyDescent="0.55000000000000004">
      <c r="O33" s="26" t="s">
        <v>18</v>
      </c>
      <c r="P33" s="26"/>
      <c r="Q33" s="26"/>
      <c r="R33" s="26"/>
      <c r="S33" s="11"/>
    </row>
    <row r="34" spans="15:19" ht="14.25" customHeight="1" x14ac:dyDescent="0.55000000000000004">
      <c r="O34" s="26"/>
      <c r="P34" s="26"/>
      <c r="Q34" s="26"/>
      <c r="R34" s="26"/>
      <c r="S34" s="11"/>
    </row>
    <row r="35" spans="15:19" ht="14.25" customHeight="1" x14ac:dyDescent="0.2">
      <c r="O35" s="22" t="s">
        <v>69</v>
      </c>
      <c r="P35" s="22"/>
      <c r="Q35" s="22"/>
      <c r="R35" s="23">
        <v>10</v>
      </c>
    </row>
    <row r="36" spans="15:19" ht="14.25" customHeight="1" x14ac:dyDescent="0.2">
      <c r="O36" s="22"/>
      <c r="P36" s="22"/>
      <c r="Q36" s="22"/>
      <c r="R36" s="23"/>
    </row>
    <row r="37" spans="15:19" ht="14.25" customHeight="1" x14ac:dyDescent="0.2">
      <c r="O37" s="22" t="s">
        <v>70</v>
      </c>
      <c r="P37" s="22"/>
      <c r="Q37" s="22"/>
      <c r="R37" s="23">
        <v>20</v>
      </c>
    </row>
    <row r="38" spans="15:19" ht="14.25" customHeight="1" x14ac:dyDescent="0.2">
      <c r="O38" s="22"/>
      <c r="P38" s="22"/>
      <c r="Q38" s="22"/>
      <c r="R38" s="23"/>
    </row>
    <row r="39" spans="15:19" ht="14.25" customHeight="1" x14ac:dyDescent="0.2">
      <c r="O39" s="22" t="s">
        <v>19</v>
      </c>
      <c r="P39" s="22"/>
      <c r="Q39" s="22"/>
      <c r="R39" s="23">
        <v>40</v>
      </c>
    </row>
    <row r="40" spans="15:19" ht="14.25" customHeight="1" x14ac:dyDescent="0.2">
      <c r="O40" s="22"/>
      <c r="P40" s="22"/>
      <c r="Q40" s="22"/>
      <c r="R40" s="23"/>
    </row>
    <row r="41" spans="15:19" ht="14.25" customHeight="1" x14ac:dyDescent="0.2">
      <c r="O41" s="22" t="s">
        <v>20</v>
      </c>
      <c r="P41" s="22"/>
      <c r="Q41" s="22"/>
      <c r="R41" s="23">
        <v>60</v>
      </c>
    </row>
    <row r="42" spans="15:19" ht="14.25" customHeight="1" x14ac:dyDescent="0.2">
      <c r="O42" s="22"/>
      <c r="P42" s="22"/>
      <c r="Q42" s="22"/>
      <c r="R42" s="23"/>
    </row>
    <row r="43" spans="15:19" ht="14.25" customHeight="1" x14ac:dyDescent="0.2">
      <c r="O43" s="20" t="s">
        <v>60</v>
      </c>
      <c r="P43" s="20"/>
      <c r="Q43" s="20"/>
      <c r="R43" s="21">
        <v>40</v>
      </c>
    </row>
    <row r="44" spans="15:19" ht="14.25" customHeight="1" x14ac:dyDescent="0.2">
      <c r="O44" s="20"/>
      <c r="P44" s="20"/>
      <c r="Q44" s="20"/>
      <c r="R44" s="21"/>
    </row>
    <row r="45" spans="15:19" x14ac:dyDescent="0.2">
      <c r="O45" s="20" t="s">
        <v>61</v>
      </c>
      <c r="P45" s="20"/>
      <c r="Q45" s="20"/>
      <c r="R45" s="21">
        <v>80</v>
      </c>
    </row>
    <row r="46" spans="15:19" x14ac:dyDescent="0.2">
      <c r="O46" s="20"/>
      <c r="P46" s="20"/>
      <c r="Q46" s="20"/>
      <c r="R46" s="21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D652-4F14-4862-A7C4-0B2EF5EFAAE8}">
  <dimension ref="A1:AF46"/>
  <sheetViews>
    <sheetView topLeftCell="L1" zoomScale="68" workbookViewId="0">
      <selection activeCell="N59" sqref="N59"/>
    </sheetView>
  </sheetViews>
  <sheetFormatPr defaultColWidth="11.43359375" defaultRowHeight="15" x14ac:dyDescent="0.2"/>
  <cols>
    <col min="2" max="31" width="16.9492187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1</v>
      </c>
      <c r="D4" s="2"/>
      <c r="E4" s="2"/>
      <c r="F4" s="4">
        <v>0</v>
      </c>
      <c r="G4" s="4">
        <v>2</v>
      </c>
      <c r="H4" s="2"/>
      <c r="I4" s="2"/>
      <c r="J4" s="4">
        <v>1</v>
      </c>
      <c r="K4" s="4">
        <v>3</v>
      </c>
      <c r="L4" s="2"/>
      <c r="M4" s="2"/>
      <c r="N4" s="4">
        <v>3</v>
      </c>
      <c r="O4" s="4">
        <v>2</v>
      </c>
      <c r="P4" s="2"/>
      <c r="Q4" s="2"/>
      <c r="R4" s="4">
        <v>2</v>
      </c>
      <c r="S4" s="4">
        <v>0</v>
      </c>
      <c r="T4" s="2"/>
      <c r="U4" s="2"/>
      <c r="V4" s="4">
        <v>2</v>
      </c>
      <c r="W4" s="4">
        <v>1</v>
      </c>
      <c r="X4" s="2"/>
      <c r="Y4" s="2"/>
      <c r="Z4" s="4">
        <v>6</v>
      </c>
      <c r="AA4" s="4">
        <v>1</v>
      </c>
      <c r="AB4" s="2"/>
      <c r="AC4" s="2"/>
      <c r="AD4" s="4">
        <v>3</v>
      </c>
      <c r="AE4" s="4">
        <v>0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2</v>
      </c>
      <c r="D9" s="2"/>
      <c r="E9" s="2"/>
      <c r="F9" s="4">
        <v>3</v>
      </c>
      <c r="G9" s="4">
        <v>1</v>
      </c>
      <c r="H9" s="2"/>
      <c r="I9" s="2"/>
      <c r="J9" s="4">
        <v>5</v>
      </c>
      <c r="K9" s="4">
        <v>2</v>
      </c>
      <c r="L9" s="2"/>
      <c r="M9" s="2"/>
      <c r="N9" s="4">
        <v>0</v>
      </c>
      <c r="O9" s="4">
        <v>2</v>
      </c>
      <c r="P9" s="2"/>
      <c r="Q9" s="2"/>
      <c r="R9" s="4">
        <v>0</v>
      </c>
      <c r="S9" s="4">
        <v>3</v>
      </c>
      <c r="T9" s="2"/>
      <c r="U9" s="2"/>
      <c r="V9" s="4">
        <v>1</v>
      </c>
      <c r="W9" s="4">
        <v>0</v>
      </c>
      <c r="X9" s="2"/>
      <c r="Y9" s="2"/>
      <c r="Z9" s="4">
        <v>1</v>
      </c>
      <c r="AA9" s="4">
        <v>2</v>
      </c>
      <c r="AB9" s="2"/>
      <c r="AC9" s="2"/>
      <c r="AD9" s="4">
        <v>0</v>
      </c>
      <c r="AE9" s="4">
        <v>2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Ghana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Niederlande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Ghana</v>
      </c>
      <c r="AF13" s="2"/>
    </row>
    <row r="14" spans="1:32" x14ac:dyDescent="0.2">
      <c r="A14" s="2"/>
      <c r="B14" s="4">
        <v>1</v>
      </c>
      <c r="C14" s="4">
        <v>0</v>
      </c>
      <c r="D14" s="2"/>
      <c r="E14" s="2"/>
      <c r="F14" s="4">
        <v>0</v>
      </c>
      <c r="G14" s="4">
        <v>2</v>
      </c>
      <c r="H14" s="2"/>
      <c r="I14" s="2"/>
      <c r="J14" s="4">
        <v>1</v>
      </c>
      <c r="K14" s="4">
        <v>3</v>
      </c>
      <c r="L14" s="2"/>
      <c r="M14" s="2"/>
      <c r="N14" s="4">
        <v>1</v>
      </c>
      <c r="O14" s="4">
        <v>2</v>
      </c>
      <c r="P14" s="2"/>
      <c r="Q14" s="2"/>
      <c r="R14" s="4">
        <v>1</v>
      </c>
      <c r="S14" s="4">
        <v>0</v>
      </c>
      <c r="T14" s="2"/>
      <c r="U14" s="2"/>
      <c r="V14" s="4">
        <v>1</v>
      </c>
      <c r="W14" s="4">
        <v>0</v>
      </c>
      <c r="X14" s="2"/>
      <c r="Y14" s="2"/>
      <c r="Z14" s="4">
        <v>2</v>
      </c>
      <c r="AA14" s="4">
        <v>0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Deutschland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Mexiko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Deutschland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Mexiko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1</v>
      </c>
      <c r="E19" s="4">
        <v>0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4</v>
      </c>
      <c r="U19" s="4">
        <v>2</v>
      </c>
      <c r="V19" s="2"/>
      <c r="W19" s="2"/>
      <c r="X19" s="2"/>
      <c r="Y19" s="2"/>
      <c r="Z19" s="2"/>
      <c r="AA19" s="2"/>
      <c r="AB19" s="4">
        <v>3</v>
      </c>
      <c r="AC19" s="4">
        <v>0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Deutschland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Deutschland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Deutschland</v>
      </c>
      <c r="Q23" s="3" t="str">
        <f>IF(X24=Y24,"",IF(X24&lt;Y24,X23,Y23))</f>
        <v>Brasilien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0</v>
      </c>
      <c r="I24" s="4">
        <v>2</v>
      </c>
      <c r="J24" s="2"/>
      <c r="K24" s="2"/>
      <c r="L24" s="2"/>
      <c r="M24" s="2"/>
      <c r="N24" s="2"/>
      <c r="O24" s="2"/>
      <c r="P24" s="4">
        <v>7</v>
      </c>
      <c r="Q24" s="4">
        <v>1</v>
      </c>
      <c r="R24" s="2"/>
      <c r="S24" s="2"/>
      <c r="T24" s="2"/>
      <c r="U24" s="2"/>
      <c r="V24" s="2"/>
      <c r="W24" s="2"/>
      <c r="X24" s="4">
        <v>1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Deutschland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2</v>
      </c>
      <c r="Q29" s="4">
        <v>3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Argentinien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54F1-69D0-4B64-AF32-5E3BDF540D10}">
  <dimension ref="A1:AF46"/>
  <sheetViews>
    <sheetView topLeftCell="J1" workbookViewId="0">
      <selection activeCell="S23" sqref="S23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1</v>
      </c>
      <c r="D4" s="2"/>
      <c r="E4" s="2"/>
      <c r="F4" s="4">
        <v>0</v>
      </c>
      <c r="G4" s="4">
        <v>2</v>
      </c>
      <c r="H4" s="2"/>
      <c r="I4" s="2"/>
      <c r="J4" s="4">
        <v>2</v>
      </c>
      <c r="K4" s="4">
        <v>0</v>
      </c>
      <c r="L4" s="2"/>
      <c r="M4" s="2"/>
      <c r="N4" s="4">
        <v>3</v>
      </c>
      <c r="O4" s="4">
        <v>1</v>
      </c>
      <c r="P4" s="2"/>
      <c r="Q4" s="2"/>
      <c r="R4" s="4">
        <v>2</v>
      </c>
      <c r="S4" s="4">
        <v>0</v>
      </c>
      <c r="T4" s="2"/>
      <c r="U4" s="2"/>
      <c r="V4" s="4">
        <v>3</v>
      </c>
      <c r="W4" s="4">
        <v>1</v>
      </c>
      <c r="X4" s="2"/>
      <c r="Y4" s="2"/>
      <c r="Z4" s="4">
        <v>3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4</v>
      </c>
      <c r="K9" s="4">
        <v>0</v>
      </c>
      <c r="L9" s="2"/>
      <c r="M9" s="2"/>
      <c r="N9" s="4">
        <v>1</v>
      </c>
      <c r="O9" s="4">
        <v>2</v>
      </c>
      <c r="P9" s="2"/>
      <c r="Q9" s="2"/>
      <c r="R9" s="4">
        <v>2</v>
      </c>
      <c r="S9" s="4">
        <v>3</v>
      </c>
      <c r="T9" s="2"/>
      <c r="U9" s="2"/>
      <c r="V9" s="4">
        <v>3</v>
      </c>
      <c r="W9" s="4">
        <v>1</v>
      </c>
      <c r="X9" s="2"/>
      <c r="Y9" s="2"/>
      <c r="Z9" s="4">
        <v>0</v>
      </c>
      <c r="AA9" s="4">
        <v>2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2</v>
      </c>
      <c r="C14" s="4">
        <v>3</v>
      </c>
      <c r="D14" s="2"/>
      <c r="E14" s="2"/>
      <c r="F14" s="4">
        <v>2</v>
      </c>
      <c r="G14" s="4">
        <v>3</v>
      </c>
      <c r="H14" s="2"/>
      <c r="I14" s="2"/>
      <c r="J14" s="4">
        <v>3</v>
      </c>
      <c r="K14" s="4">
        <v>2</v>
      </c>
      <c r="L14" s="2"/>
      <c r="M14" s="2"/>
      <c r="N14" s="4">
        <v>2</v>
      </c>
      <c r="O14" s="4">
        <v>3</v>
      </c>
      <c r="P14" s="2"/>
      <c r="Q14" s="2"/>
      <c r="R14" s="4">
        <v>1</v>
      </c>
      <c r="S14" s="4">
        <v>2</v>
      </c>
      <c r="T14" s="2"/>
      <c r="U14" s="2"/>
      <c r="V14" s="4">
        <v>2</v>
      </c>
      <c r="W14" s="4">
        <v>1</v>
      </c>
      <c r="X14" s="2"/>
      <c r="Y14" s="2"/>
      <c r="Z14" s="4">
        <v>2</v>
      </c>
      <c r="AA14" s="4">
        <v>0</v>
      </c>
      <c r="AB14" s="2"/>
      <c r="AC14" s="2"/>
      <c r="AD14" s="4">
        <v>3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Portugal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Norwegen</v>
      </c>
      <c r="S15" s="15"/>
      <c r="T15" s="2"/>
      <c r="U15" s="2"/>
      <c r="V15" s="15" t="str">
        <f>IF(V14=W14,"",IF(V14&gt;W14,V13,W13))</f>
        <v>Mexiko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Portugal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Norwegen</v>
      </c>
      <c r="U18" s="3" t="str">
        <f>V15</f>
        <v>Mexiko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3</v>
      </c>
      <c r="E19" s="4">
        <v>1</v>
      </c>
      <c r="F19" s="2"/>
      <c r="G19" s="2"/>
      <c r="H19" s="2"/>
      <c r="I19" s="2"/>
      <c r="J19" s="2"/>
      <c r="K19" s="2"/>
      <c r="L19" s="4">
        <v>1</v>
      </c>
      <c r="M19" s="4">
        <v>2</v>
      </c>
      <c r="N19" s="2"/>
      <c r="O19" s="2"/>
      <c r="P19" s="2"/>
      <c r="Q19" s="2"/>
      <c r="R19" s="2"/>
      <c r="S19" s="2"/>
      <c r="T19" s="4">
        <v>2</v>
      </c>
      <c r="U19" s="4">
        <v>0</v>
      </c>
      <c r="V19" s="2"/>
      <c r="W19" s="2"/>
      <c r="X19" s="2"/>
      <c r="Y19" s="2"/>
      <c r="Z19" s="2"/>
      <c r="AA19" s="2"/>
      <c r="AB19" s="4">
        <v>2</v>
      </c>
      <c r="AC19" s="4">
        <v>3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Senegal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Norwegen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Schweiz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Senegal</v>
      </c>
      <c r="J23" s="2"/>
      <c r="K23" s="2"/>
      <c r="L23" s="2"/>
      <c r="M23" s="2"/>
      <c r="N23" s="2"/>
      <c r="O23" s="2"/>
      <c r="P23" s="3" t="str">
        <f>IF(H24=I24,"",IF(H24&lt;I24,H23,I23))</f>
        <v>Senegal</v>
      </c>
      <c r="Q23" s="3" t="str">
        <f>IF(X24=Y24,"",IF(X24&lt;Y24,X23,Y23))</f>
        <v>Schweiz</v>
      </c>
      <c r="R23" s="2"/>
      <c r="S23" s="2"/>
      <c r="T23" s="2"/>
      <c r="U23" s="2"/>
      <c r="V23" s="2"/>
      <c r="W23" s="2"/>
      <c r="X23" s="3" t="str">
        <f>T20</f>
        <v>Norwegen</v>
      </c>
      <c r="Y23" s="3" t="str">
        <f>AB20</f>
        <v>Schweiz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3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3</v>
      </c>
      <c r="R24" s="2"/>
      <c r="S24" s="2"/>
      <c r="T24" s="2"/>
      <c r="U24" s="2"/>
      <c r="V24" s="2"/>
      <c r="W24" s="2"/>
      <c r="X24" s="4">
        <v>2</v>
      </c>
      <c r="Y24" s="4">
        <v>0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Schweiz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Norwegen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Norwegen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1</v>
      </c>
      <c r="Q29" s="4"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0FAD-B974-4EE5-BC8C-0FAC78B34438}">
  <dimension ref="A1:AF46"/>
  <sheetViews>
    <sheetView topLeftCell="J1" zoomScale="68" workbookViewId="0">
      <selection activeCell="K61" sqref="K61"/>
    </sheetView>
  </sheetViews>
  <sheetFormatPr defaultColWidth="11.56640625" defaultRowHeight="15" x14ac:dyDescent="0.2"/>
  <cols>
    <col min="2" max="31" width="16.9492187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1</v>
      </c>
      <c r="G4" s="4">
        <v>0</v>
      </c>
      <c r="H4" s="2"/>
      <c r="I4" s="2"/>
      <c r="J4" s="4">
        <v>2</v>
      </c>
      <c r="K4" s="4">
        <v>3</v>
      </c>
      <c r="L4" s="2"/>
      <c r="M4" s="2"/>
      <c r="N4" s="4">
        <v>6</v>
      </c>
      <c r="O4" s="4">
        <v>2</v>
      </c>
      <c r="P4" s="2"/>
      <c r="Q4" s="2"/>
      <c r="R4" s="4">
        <v>2</v>
      </c>
      <c r="S4" s="4">
        <v>1</v>
      </c>
      <c r="T4" s="2"/>
      <c r="U4" s="2"/>
      <c r="V4" s="4">
        <v>1</v>
      </c>
      <c r="W4" s="4">
        <v>3</v>
      </c>
      <c r="X4" s="2"/>
      <c r="Y4" s="2"/>
      <c r="Z4" s="4">
        <v>7</v>
      </c>
      <c r="AA4" s="4">
        <v>1</v>
      </c>
      <c r="AB4" s="2"/>
      <c r="AC4" s="2"/>
      <c r="AD4" s="4">
        <v>1</v>
      </c>
      <c r="AE4" s="4">
        <v>2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Südafrika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Ecuador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Algerien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5</v>
      </c>
      <c r="C9" s="4">
        <v>2</v>
      </c>
      <c r="D9" s="2"/>
      <c r="E9" s="2"/>
      <c r="F9" s="4">
        <v>4</v>
      </c>
      <c r="G9" s="4">
        <v>2</v>
      </c>
      <c r="H9" s="2"/>
      <c r="I9" s="2"/>
      <c r="J9" s="4">
        <v>3</v>
      </c>
      <c r="K9" s="4">
        <v>2</v>
      </c>
      <c r="L9" s="2"/>
      <c r="M9" s="2"/>
      <c r="N9" s="4">
        <v>2</v>
      </c>
      <c r="O9" s="4">
        <v>3</v>
      </c>
      <c r="P9" s="2"/>
      <c r="Q9" s="2"/>
      <c r="R9" s="4">
        <v>2</v>
      </c>
      <c r="S9" s="4">
        <v>5</v>
      </c>
      <c r="T9" s="2"/>
      <c r="U9" s="2"/>
      <c r="V9" s="4">
        <v>5</v>
      </c>
      <c r="W9" s="4">
        <v>1</v>
      </c>
      <c r="X9" s="2"/>
      <c r="Y9" s="2"/>
      <c r="Z9" s="4">
        <v>4</v>
      </c>
      <c r="AA9" s="4">
        <v>2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Australien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Südafrika</v>
      </c>
      <c r="G13" s="3" t="str">
        <f>F10</f>
        <v>Niederlande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Ecuador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Australien</v>
      </c>
      <c r="AB13" s="2"/>
      <c r="AC13" s="2"/>
      <c r="AD13" s="3" t="str">
        <f>AD5</f>
        <v>Algerien</v>
      </c>
      <c r="AE13" s="3" t="str">
        <f>AD10</f>
        <v>Kolumbien</v>
      </c>
      <c r="AF13" s="2"/>
    </row>
    <row r="14" spans="1:32" x14ac:dyDescent="0.2">
      <c r="A14" s="2"/>
      <c r="B14" s="4">
        <v>2</v>
      </c>
      <c r="C14" s="4">
        <v>1</v>
      </c>
      <c r="D14" s="2"/>
      <c r="E14" s="2"/>
      <c r="F14" s="4">
        <v>1</v>
      </c>
      <c r="G14" s="4">
        <v>5</v>
      </c>
      <c r="H14" s="2"/>
      <c r="I14" s="2"/>
      <c r="J14" s="4">
        <v>1</v>
      </c>
      <c r="K14" s="4">
        <v>5</v>
      </c>
      <c r="L14" s="2"/>
      <c r="M14" s="2"/>
      <c r="N14" s="4">
        <v>1</v>
      </c>
      <c r="O14" s="4">
        <v>2</v>
      </c>
      <c r="P14" s="2"/>
      <c r="Q14" s="2"/>
      <c r="R14" s="4">
        <v>3</v>
      </c>
      <c r="S14" s="4">
        <v>2</v>
      </c>
      <c r="T14" s="2"/>
      <c r="U14" s="2"/>
      <c r="V14" s="4">
        <v>2</v>
      </c>
      <c r="W14" s="4">
        <v>3</v>
      </c>
      <c r="X14" s="2"/>
      <c r="Y14" s="2"/>
      <c r="Z14" s="4">
        <v>6</v>
      </c>
      <c r="AA14" s="4">
        <v>2</v>
      </c>
      <c r="AB14" s="2"/>
      <c r="AC14" s="2"/>
      <c r="AD14" s="4">
        <v>1</v>
      </c>
      <c r="AE14" s="4">
        <v>2</v>
      </c>
      <c r="AF14" s="2"/>
    </row>
    <row r="15" spans="1:32" ht="17.25" x14ac:dyDescent="0.3">
      <c r="A15" s="2"/>
      <c r="B15" s="15" t="str">
        <f>IF(B14=C14,"",IF(B14&gt;C14,B13,C13))</f>
        <v>Deutschland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Kolumbien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Deutschland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Kolumbien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2</v>
      </c>
      <c r="M19" s="4">
        <v>3</v>
      </c>
      <c r="N19" s="2"/>
      <c r="O19" s="2"/>
      <c r="P19" s="2"/>
      <c r="Q19" s="2"/>
      <c r="R19" s="2"/>
      <c r="S19" s="2"/>
      <c r="T19" s="4">
        <v>2</v>
      </c>
      <c r="U19" s="4">
        <v>3</v>
      </c>
      <c r="V19" s="2"/>
      <c r="W19" s="2"/>
      <c r="X19" s="2"/>
      <c r="Y19" s="2"/>
      <c r="Z19" s="2"/>
      <c r="AA19" s="2"/>
      <c r="AB19" s="4">
        <v>4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Deutschland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Senegal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Deutschland</v>
      </c>
      <c r="I23" s="3" t="str">
        <f>L20</f>
        <v>Senegal</v>
      </c>
      <c r="J23" s="2"/>
      <c r="K23" s="2"/>
      <c r="L23" s="2"/>
      <c r="M23" s="2"/>
      <c r="N23" s="2"/>
      <c r="O23" s="2"/>
      <c r="P23" s="3" t="str">
        <f>IF(H24=I24,"",IF(H24&lt;I24,H23,I23))</f>
        <v>Senegal</v>
      </c>
      <c r="Q23" s="3" t="s">
        <v>9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3</v>
      </c>
      <c r="I24" s="4">
        <v>1</v>
      </c>
      <c r="J24" s="2"/>
      <c r="K24" s="2"/>
      <c r="L24" s="2"/>
      <c r="M24" s="2"/>
      <c r="N24" s="2"/>
      <c r="O24" s="2"/>
      <c r="P24" s="4">
        <v>1</v>
      </c>
      <c r="Q24" s="4">
        <v>2</v>
      </c>
      <c r="R24" s="2"/>
      <c r="S24" s="2"/>
      <c r="T24" s="2"/>
      <c r="U24" s="2"/>
      <c r="V24" s="2"/>
      <c r="W24" s="2"/>
      <c r="X24" s="4">
        <v>1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Deutschland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England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Deutschland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2</v>
      </c>
      <c r="Q29" s="4">
        <v>1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Deutschland</v>
      </c>
      <c r="Q30" s="1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AB52-58C0-48FB-B1BA-3F413D9C913A}">
  <dimension ref="A1:AF46"/>
  <sheetViews>
    <sheetView topLeftCell="N1" zoomScale="68" workbookViewId="0">
      <selection activeCell="W43" sqref="W43"/>
    </sheetView>
  </sheetViews>
  <sheetFormatPr defaultColWidth="10.7617187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1</v>
      </c>
      <c r="G4" s="4">
        <v>2</v>
      </c>
      <c r="H4" s="2"/>
      <c r="I4" s="2"/>
      <c r="J4" s="4">
        <v>1</v>
      </c>
      <c r="K4" s="4">
        <v>2</v>
      </c>
      <c r="L4" s="2"/>
      <c r="M4" s="2"/>
      <c r="N4" s="4">
        <v>3</v>
      </c>
      <c r="O4" s="4">
        <v>1</v>
      </c>
      <c r="P4" s="2"/>
      <c r="Q4" s="2"/>
      <c r="R4" s="4">
        <v>3</v>
      </c>
      <c r="S4" s="4">
        <v>2</v>
      </c>
      <c r="T4" s="2"/>
      <c r="U4" s="2"/>
      <c r="V4" s="4">
        <v>2</v>
      </c>
      <c r="W4" s="4">
        <v>0</v>
      </c>
      <c r="X4" s="2"/>
      <c r="Y4" s="2"/>
      <c r="Z4" s="4">
        <v>4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1</v>
      </c>
      <c r="D9" s="2"/>
      <c r="E9" s="2"/>
      <c r="F9" s="4">
        <v>3</v>
      </c>
      <c r="G9" s="4">
        <v>2</v>
      </c>
      <c r="H9" s="2"/>
      <c r="I9" s="2"/>
      <c r="J9" s="4">
        <v>2</v>
      </c>
      <c r="K9" s="4">
        <v>1</v>
      </c>
      <c r="L9" s="2"/>
      <c r="M9" s="2"/>
      <c r="N9" s="4">
        <v>3</v>
      </c>
      <c r="O9" s="4">
        <v>2</v>
      </c>
      <c r="P9" s="2"/>
      <c r="Q9" s="2"/>
      <c r="R9" s="4">
        <v>1</v>
      </c>
      <c r="S9" s="4">
        <v>3</v>
      </c>
      <c r="T9" s="2"/>
      <c r="U9" s="2"/>
      <c r="V9" s="4">
        <v>2</v>
      </c>
      <c r="W9" s="4">
        <v>0</v>
      </c>
      <c r="X9" s="2"/>
      <c r="Y9" s="2"/>
      <c r="Z9" s="4">
        <v>1</v>
      </c>
      <c r="AA9" s="4">
        <v>2</v>
      </c>
      <c r="AB9" s="2"/>
      <c r="AC9" s="2"/>
      <c r="AD9" s="4">
        <v>2</v>
      </c>
      <c r="AE9" s="4">
        <v>0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Niederlande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3</v>
      </c>
      <c r="D14" s="2"/>
      <c r="E14" s="2"/>
      <c r="F14" s="4">
        <v>1</v>
      </c>
      <c r="G14" s="4">
        <v>2</v>
      </c>
      <c r="H14" s="2"/>
      <c r="I14" s="2"/>
      <c r="J14" s="4">
        <v>1</v>
      </c>
      <c r="K14" s="4">
        <v>2</v>
      </c>
      <c r="L14" s="2"/>
      <c r="M14" s="2"/>
      <c r="N14" s="4">
        <v>1</v>
      </c>
      <c r="O14" s="4">
        <v>2</v>
      </c>
      <c r="P14" s="2"/>
      <c r="Q14" s="2"/>
      <c r="R14" s="4">
        <v>2</v>
      </c>
      <c r="S14" s="4">
        <v>1</v>
      </c>
      <c r="T14" s="2"/>
      <c r="U14" s="2"/>
      <c r="V14" s="4">
        <v>1</v>
      </c>
      <c r="W14" s="4">
        <v>2</v>
      </c>
      <c r="X14" s="2"/>
      <c r="Y14" s="2"/>
      <c r="Z14" s="4">
        <v>3</v>
      </c>
      <c r="AA14" s="4">
        <v>0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2</v>
      </c>
      <c r="M19" s="4">
        <v>1</v>
      </c>
      <c r="N19" s="2"/>
      <c r="O19" s="2"/>
      <c r="P19" s="2"/>
      <c r="Q19" s="2"/>
      <c r="R19" s="2"/>
      <c r="S19" s="2"/>
      <c r="T19" s="4">
        <v>1</v>
      </c>
      <c r="U19" s="4">
        <v>2</v>
      </c>
      <c r="V19" s="2"/>
      <c r="W19" s="2"/>
      <c r="X19" s="2"/>
      <c r="Y19" s="2"/>
      <c r="Z19" s="2"/>
      <c r="AA19" s="2"/>
      <c r="AB19" s="4">
        <v>3</v>
      </c>
      <c r="AC19" s="4">
        <v>2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tr">
        <f>IF(X24=Y24,"",IF(X24&lt;Y24,X23,Y23))</f>
        <v>England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3</v>
      </c>
      <c r="I24" s="4">
        <v>2</v>
      </c>
      <c r="J24" s="2"/>
      <c r="K24" s="2"/>
      <c r="L24" s="2"/>
      <c r="M24" s="2"/>
      <c r="N24" s="2"/>
      <c r="O24" s="2"/>
      <c r="P24" s="4">
        <v>2</v>
      </c>
      <c r="Q24" s="4">
        <v>1</v>
      </c>
      <c r="R24" s="2"/>
      <c r="S24" s="2"/>
      <c r="T24" s="2"/>
      <c r="U24" s="2"/>
      <c r="V24" s="2"/>
      <c r="W24" s="2"/>
      <c r="X24" s="4">
        <v>1</v>
      </c>
      <c r="Y24" s="4">
        <v>2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Spanien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3</v>
      </c>
      <c r="Q29" s="4">
        <v>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6BCB-A492-41B8-8B28-CB99DD0EDFE9}">
  <dimension ref="A1:AF46"/>
  <sheetViews>
    <sheetView zoomScale="68" workbookViewId="0">
      <selection activeCell="J34" sqref="J34"/>
    </sheetView>
  </sheetViews>
  <sheetFormatPr defaultColWidth="11.5664062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4</v>
      </c>
      <c r="C4" s="4">
        <v>0</v>
      </c>
      <c r="D4" s="2"/>
      <c r="E4" s="2"/>
      <c r="F4" s="4">
        <v>1</v>
      </c>
      <c r="G4" s="4">
        <v>2</v>
      </c>
      <c r="H4" s="2"/>
      <c r="I4" s="2"/>
      <c r="J4" s="4">
        <v>1</v>
      </c>
      <c r="K4" s="4">
        <v>3</v>
      </c>
      <c r="L4" s="2"/>
      <c r="M4" s="2"/>
      <c r="N4" s="4">
        <v>2</v>
      </c>
      <c r="O4" s="4">
        <v>0</v>
      </c>
      <c r="P4" s="2"/>
      <c r="Q4" s="2"/>
      <c r="R4" s="4">
        <v>2</v>
      </c>
      <c r="S4" s="4">
        <v>0</v>
      </c>
      <c r="T4" s="2"/>
      <c r="U4" s="2"/>
      <c r="V4" s="4">
        <v>0</v>
      </c>
      <c r="W4" s="4">
        <v>2</v>
      </c>
      <c r="X4" s="2"/>
      <c r="Y4" s="2"/>
      <c r="Z4" s="4">
        <v>5</v>
      </c>
      <c r="AA4" s="4">
        <v>0</v>
      </c>
      <c r="AB4" s="2"/>
      <c r="AC4" s="2"/>
      <c r="AD4" s="4">
        <v>3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Ecuador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3</v>
      </c>
      <c r="K9" s="4">
        <v>0</v>
      </c>
      <c r="L9" s="2"/>
      <c r="M9" s="2"/>
      <c r="N9" s="4">
        <v>1</v>
      </c>
      <c r="O9" s="4">
        <v>0</v>
      </c>
      <c r="P9" s="2"/>
      <c r="Q9" s="2"/>
      <c r="R9" s="4">
        <v>1</v>
      </c>
      <c r="S9" s="4">
        <v>2</v>
      </c>
      <c r="T9" s="2"/>
      <c r="U9" s="2"/>
      <c r="V9" s="4">
        <v>4</v>
      </c>
      <c r="W9" s="4">
        <v>0</v>
      </c>
      <c r="X9" s="2"/>
      <c r="Y9" s="2"/>
      <c r="Z9" s="4">
        <v>0</v>
      </c>
      <c r="AA9" s="4">
        <v>2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Ecuador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0</v>
      </c>
      <c r="G14" s="4">
        <v>3</v>
      </c>
      <c r="H14" s="2"/>
      <c r="I14" s="2"/>
      <c r="J14" s="4">
        <v>2</v>
      </c>
      <c r="K14" s="4">
        <v>3</v>
      </c>
      <c r="L14" s="2"/>
      <c r="M14" s="2"/>
      <c r="N14" s="4">
        <v>1</v>
      </c>
      <c r="O14" s="4">
        <v>2</v>
      </c>
      <c r="P14" s="2"/>
      <c r="Q14" s="2"/>
      <c r="R14" s="4">
        <v>3</v>
      </c>
      <c r="S14" s="4">
        <v>2</v>
      </c>
      <c r="T14" s="2"/>
      <c r="U14" s="2"/>
      <c r="V14" s="4">
        <v>1</v>
      </c>
      <c r="W14" s="4">
        <v>2</v>
      </c>
      <c r="X14" s="2"/>
      <c r="Y14" s="2"/>
      <c r="Z14" s="4">
        <v>3</v>
      </c>
      <c r="AA14" s="4">
        <v>1</v>
      </c>
      <c r="AB14" s="2"/>
      <c r="AC14" s="2"/>
      <c r="AD14" s="4">
        <v>2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0</v>
      </c>
      <c r="F19" s="2"/>
      <c r="G19" s="2"/>
      <c r="H19" s="2"/>
      <c r="I19" s="2"/>
      <c r="J19" s="2"/>
      <c r="K19" s="2"/>
      <c r="L19" s="4">
        <v>2</v>
      </c>
      <c r="M19" s="4">
        <v>0</v>
      </c>
      <c r="N19" s="2"/>
      <c r="O19" s="2"/>
      <c r="P19" s="2"/>
      <c r="Q19" s="2"/>
      <c r="R19" s="2"/>
      <c r="S19" s="2"/>
      <c r="T19" s="4">
        <v>2</v>
      </c>
      <c r="U19" s="4">
        <v>1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tr">
        <f>IF(X24=Y24,"",IF(X24&lt;Y24,X23,Y23))</f>
        <v>Brasilien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2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0</v>
      </c>
      <c r="R24" s="2"/>
      <c r="S24" s="2"/>
      <c r="T24" s="2"/>
      <c r="U24" s="2"/>
      <c r="V24" s="2"/>
      <c r="W24" s="2"/>
      <c r="X24" s="4">
        <v>1</v>
      </c>
      <c r="Y24" s="4">
        <v>2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Spanien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3</v>
      </c>
      <c r="Q29" s="4">
        <v>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7D07-2886-4F18-A0E2-DB43188B9A8B}">
  <dimension ref="A1:AF46"/>
  <sheetViews>
    <sheetView topLeftCell="F1" zoomScale="68" workbookViewId="0">
      <selection activeCell="F55" sqref="F55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1</v>
      </c>
      <c r="G4" s="4">
        <v>2</v>
      </c>
      <c r="H4" s="2"/>
      <c r="I4" s="2"/>
      <c r="J4" s="4">
        <v>2</v>
      </c>
      <c r="K4" s="4">
        <v>0</v>
      </c>
      <c r="L4" s="2"/>
      <c r="M4" s="2"/>
      <c r="N4" s="4">
        <v>2</v>
      </c>
      <c r="O4" s="4">
        <v>0</v>
      </c>
      <c r="P4" s="2"/>
      <c r="Q4" s="2"/>
      <c r="R4" s="4">
        <v>3</v>
      </c>
      <c r="S4" s="4">
        <v>1</v>
      </c>
      <c r="T4" s="2"/>
      <c r="U4" s="2"/>
      <c r="V4" s="4">
        <v>0</v>
      </c>
      <c r="W4" s="4">
        <v>3</v>
      </c>
      <c r="X4" s="2"/>
      <c r="Y4" s="2"/>
      <c r="Z4" s="4">
        <v>4</v>
      </c>
      <c r="AA4" s="4">
        <v>0</v>
      </c>
      <c r="AB4" s="2"/>
      <c r="AC4" s="2"/>
      <c r="AD4" s="4">
        <v>3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Ecuador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0</v>
      </c>
      <c r="D9" s="2"/>
      <c r="E9" s="2"/>
      <c r="F9" s="4">
        <v>2</v>
      </c>
      <c r="G9" s="4">
        <v>3</v>
      </c>
      <c r="H9" s="2"/>
      <c r="I9" s="2"/>
      <c r="J9" s="4">
        <v>4</v>
      </c>
      <c r="K9" s="4">
        <v>1</v>
      </c>
      <c r="L9" s="2"/>
      <c r="M9" s="2"/>
      <c r="N9" s="4">
        <v>3</v>
      </c>
      <c r="O9" s="4">
        <v>0</v>
      </c>
      <c r="P9" s="2"/>
      <c r="Q9" s="2"/>
      <c r="R9" s="4">
        <v>1</v>
      </c>
      <c r="S9" s="4">
        <v>3</v>
      </c>
      <c r="T9" s="2"/>
      <c r="U9" s="2"/>
      <c r="V9" s="4">
        <v>5</v>
      </c>
      <c r="W9" s="4">
        <v>1</v>
      </c>
      <c r="X9" s="2"/>
      <c r="Y9" s="2"/>
      <c r="Z9" s="4">
        <v>0</v>
      </c>
      <c r="AA9" s="4">
        <v>2</v>
      </c>
      <c r="AB9" s="2"/>
      <c r="AC9" s="2"/>
      <c r="AD9" s="4">
        <v>2</v>
      </c>
      <c r="AE9" s="4">
        <v>0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Ecuador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2</v>
      </c>
      <c r="C14" s="4">
        <v>4</v>
      </c>
      <c r="D14" s="2"/>
      <c r="E14" s="2"/>
      <c r="F14" s="4">
        <v>1</v>
      </c>
      <c r="G14" s="4">
        <v>3</v>
      </c>
      <c r="H14" s="2"/>
      <c r="I14" s="2"/>
      <c r="J14" s="4">
        <v>1</v>
      </c>
      <c r="K14" s="4">
        <v>3</v>
      </c>
      <c r="L14" s="2"/>
      <c r="M14" s="2"/>
      <c r="N14" s="4">
        <v>0</v>
      </c>
      <c r="O14" s="4">
        <v>2</v>
      </c>
      <c r="P14" s="2"/>
      <c r="Q14" s="2"/>
      <c r="R14" s="4">
        <v>3</v>
      </c>
      <c r="S14" s="4">
        <v>0</v>
      </c>
      <c r="T14" s="2"/>
      <c r="U14" s="2"/>
      <c r="V14" s="4">
        <v>2</v>
      </c>
      <c r="W14" s="4">
        <v>1</v>
      </c>
      <c r="X14" s="2"/>
      <c r="Y14" s="2"/>
      <c r="Z14" s="4">
        <v>3</v>
      </c>
      <c r="AA14" s="4">
        <v>1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Ecuador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Ecuador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1</v>
      </c>
      <c r="U19" s="4">
        <v>0</v>
      </c>
      <c r="V19" s="2"/>
      <c r="W19" s="2"/>
      <c r="X19" s="2"/>
      <c r="Y19" s="2"/>
      <c r="Z19" s="2"/>
      <c r="AA19" s="2"/>
      <c r="AB19" s="4">
        <v>3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Frankreich</v>
      </c>
      <c r="Q23" s="3" t="s">
        <v>40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1</v>
      </c>
      <c r="I24" s="4">
        <v>2</v>
      </c>
      <c r="J24" s="2"/>
      <c r="K24" s="2"/>
      <c r="L24" s="2"/>
      <c r="M24" s="2"/>
      <c r="N24" s="2"/>
      <c r="O24" s="2"/>
      <c r="P24" s="4">
        <v>2</v>
      </c>
      <c r="Q24" s="4">
        <v>1</v>
      </c>
      <c r="R24" s="2"/>
      <c r="S24" s="2"/>
      <c r="T24" s="2"/>
      <c r="U24" s="2"/>
      <c r="V24" s="2"/>
      <c r="W24" s="2"/>
      <c r="X24" s="4">
        <v>1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Frankreich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3</v>
      </c>
      <c r="Q29" s="4">
        <v>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Spanien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C053-BE96-4DBF-8EDC-4B040A2CDE36}">
  <dimension ref="A1:AF46"/>
  <sheetViews>
    <sheetView topLeftCell="M1" zoomScale="82" workbookViewId="0">
      <selection activeCell="S38" sqref="S38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0</v>
      </c>
      <c r="D4" s="2"/>
      <c r="E4" s="2"/>
      <c r="F4" s="4">
        <v>1</v>
      </c>
      <c r="G4" s="4">
        <v>2</v>
      </c>
      <c r="H4" s="2"/>
      <c r="I4" s="2"/>
      <c r="J4" s="4">
        <v>3</v>
      </c>
      <c r="K4" s="4">
        <v>1</v>
      </c>
      <c r="L4" s="2"/>
      <c r="M4" s="2"/>
      <c r="N4" s="4">
        <v>2</v>
      </c>
      <c r="O4" s="4">
        <v>1</v>
      </c>
      <c r="P4" s="2"/>
      <c r="Q4" s="2"/>
      <c r="R4" s="4">
        <v>3</v>
      </c>
      <c r="S4" s="4">
        <v>2</v>
      </c>
      <c r="T4" s="2"/>
      <c r="U4" s="2"/>
      <c r="V4" s="4">
        <v>3</v>
      </c>
      <c r="W4" s="4">
        <v>2</v>
      </c>
      <c r="X4" s="2"/>
      <c r="Y4" s="2"/>
      <c r="Z4" s="4">
        <v>3</v>
      </c>
      <c r="AA4" s="4">
        <v>0</v>
      </c>
      <c r="AB4" s="2"/>
      <c r="AC4" s="2"/>
      <c r="AD4" s="4">
        <v>3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3</v>
      </c>
      <c r="K9" s="4">
        <v>1</v>
      </c>
      <c r="L9" s="2"/>
      <c r="M9" s="2"/>
      <c r="N9" s="4">
        <v>5</v>
      </c>
      <c r="O9" s="4">
        <v>6</v>
      </c>
      <c r="P9" s="2"/>
      <c r="Q9" s="2"/>
      <c r="R9" s="4">
        <v>1</v>
      </c>
      <c r="S9" s="4">
        <v>2</v>
      </c>
      <c r="T9" s="2"/>
      <c r="U9" s="2"/>
      <c r="V9" s="4">
        <v>3</v>
      </c>
      <c r="W9" s="4">
        <v>1</v>
      </c>
      <c r="X9" s="2"/>
      <c r="Y9" s="2"/>
      <c r="Z9" s="4">
        <v>1</v>
      </c>
      <c r="AA9" s="4">
        <v>2</v>
      </c>
      <c r="AB9" s="2"/>
      <c r="AC9" s="2"/>
      <c r="AD9" s="4">
        <v>1</v>
      </c>
      <c r="AE9" s="4">
        <v>2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Ghana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Ghana</v>
      </c>
      <c r="AF13" s="2"/>
    </row>
    <row r="14" spans="1:32" x14ac:dyDescent="0.2">
      <c r="A14" s="2"/>
      <c r="B14" s="4">
        <v>2</v>
      </c>
      <c r="C14" s="4">
        <v>3</v>
      </c>
      <c r="D14" s="2"/>
      <c r="E14" s="2"/>
      <c r="F14" s="4">
        <v>0</v>
      </c>
      <c r="G14" s="4">
        <v>2</v>
      </c>
      <c r="H14" s="2"/>
      <c r="I14" s="2"/>
      <c r="J14" s="4">
        <v>1</v>
      </c>
      <c r="K14" s="4">
        <v>2</v>
      </c>
      <c r="L14" s="2"/>
      <c r="M14" s="2"/>
      <c r="N14" s="4">
        <v>0</v>
      </c>
      <c r="O14" s="4">
        <v>2</v>
      </c>
      <c r="P14" s="2"/>
      <c r="Q14" s="2"/>
      <c r="R14" s="4">
        <v>2</v>
      </c>
      <c r="S14" s="4">
        <v>1</v>
      </c>
      <c r="T14" s="2"/>
      <c r="U14" s="2"/>
      <c r="V14" s="4">
        <v>1</v>
      </c>
      <c r="W14" s="4">
        <v>3</v>
      </c>
      <c r="X14" s="2"/>
      <c r="Y14" s="2"/>
      <c r="Z14" s="4">
        <v>2</v>
      </c>
      <c r="AA14" s="4">
        <v>1</v>
      </c>
      <c r="AB14" s="2"/>
      <c r="AC14" s="2"/>
      <c r="AD14" s="4">
        <v>1</v>
      </c>
      <c r="AE14" s="4">
        <v>2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Ghana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Ghana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1</v>
      </c>
      <c r="U19" s="4">
        <v>2</v>
      </c>
      <c r="V19" s="2"/>
      <c r="W19" s="2"/>
      <c r="X19" s="2"/>
      <c r="Y19" s="2"/>
      <c r="Z19" s="2"/>
      <c r="AA19" s="2"/>
      <c r="AB19" s="4">
        <v>3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Frankreich</v>
      </c>
      <c r="Q23" s="3" t="s">
        <v>9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2</v>
      </c>
      <c r="I24" s="4">
        <v>3</v>
      </c>
      <c r="J24" s="2"/>
      <c r="K24" s="2"/>
      <c r="L24" s="2"/>
      <c r="M24" s="2"/>
      <c r="N24" s="2"/>
      <c r="O24" s="2"/>
      <c r="P24" s="4">
        <v>3</v>
      </c>
      <c r="Q24" s="4">
        <v>2</v>
      </c>
      <c r="R24" s="2"/>
      <c r="S24" s="2"/>
      <c r="T24" s="2"/>
      <c r="U24" s="2"/>
      <c r="V24" s="2"/>
      <c r="W24" s="2"/>
      <c r="X24" s="4">
        <v>2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Frankreich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6</v>
      </c>
      <c r="Q29" s="4">
        <v>5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Spanien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BFE2-EF4F-454A-9D98-C74E4F4705EE}">
  <dimension ref="A1:AF46"/>
  <sheetViews>
    <sheetView topLeftCell="D1" zoomScale="68" workbookViewId="0">
      <selection activeCell="H52" sqref="H52"/>
    </sheetView>
  </sheetViews>
  <sheetFormatPr defaultColWidth="10.7617187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4</v>
      </c>
      <c r="C4" s="4">
        <v>1</v>
      </c>
      <c r="D4" s="2"/>
      <c r="E4" s="2"/>
      <c r="F4" s="4">
        <v>0</v>
      </c>
      <c r="G4" s="4">
        <v>1</v>
      </c>
      <c r="H4" s="2"/>
      <c r="I4" s="2"/>
      <c r="J4" s="4">
        <v>2</v>
      </c>
      <c r="K4" s="4">
        <v>0</v>
      </c>
      <c r="L4" s="2"/>
      <c r="M4" s="2"/>
      <c r="N4" s="4">
        <v>1</v>
      </c>
      <c r="O4" s="4">
        <v>0</v>
      </c>
      <c r="P4" s="2"/>
      <c r="Q4" s="2"/>
      <c r="R4" s="4">
        <v>2</v>
      </c>
      <c r="S4" s="4">
        <v>0</v>
      </c>
      <c r="T4" s="2"/>
      <c r="U4" s="2"/>
      <c r="V4" s="4">
        <v>2</v>
      </c>
      <c r="W4" s="4">
        <v>0</v>
      </c>
      <c r="X4" s="2"/>
      <c r="Y4" s="2"/>
      <c r="Z4" s="4">
        <v>5</v>
      </c>
      <c r="AA4" s="4">
        <v>1</v>
      </c>
      <c r="AB4" s="2"/>
      <c r="AC4" s="2"/>
      <c r="AD4" s="4">
        <v>1</v>
      </c>
      <c r="AE4" s="4">
        <v>0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0</v>
      </c>
      <c r="D9" s="2"/>
      <c r="E9" s="2"/>
      <c r="F9" s="4">
        <v>1</v>
      </c>
      <c r="G9" s="4">
        <v>2</v>
      </c>
      <c r="H9" s="2"/>
      <c r="I9" s="2"/>
      <c r="J9" s="4">
        <v>4</v>
      </c>
      <c r="K9" s="4">
        <v>1</v>
      </c>
      <c r="L9" s="2"/>
      <c r="M9" s="2"/>
      <c r="N9" s="4">
        <v>2</v>
      </c>
      <c r="O9" s="4">
        <v>0</v>
      </c>
      <c r="P9" s="2"/>
      <c r="Q9" s="2"/>
      <c r="R9" s="4">
        <v>0</v>
      </c>
      <c r="S9" s="4">
        <v>1</v>
      </c>
      <c r="T9" s="2"/>
      <c r="U9" s="2"/>
      <c r="V9" s="4">
        <v>5</v>
      </c>
      <c r="W9" s="4">
        <v>0</v>
      </c>
      <c r="X9" s="2"/>
      <c r="Y9" s="2"/>
      <c r="Z9" s="4">
        <v>0</v>
      </c>
      <c r="AA9" s="4">
        <v>1</v>
      </c>
      <c r="AB9" s="2"/>
      <c r="AC9" s="2"/>
      <c r="AD9" s="4">
        <v>2</v>
      </c>
      <c r="AE9" s="4">
        <v>0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0</v>
      </c>
      <c r="G14" s="4">
        <v>1</v>
      </c>
      <c r="H14" s="2"/>
      <c r="I14" s="2"/>
      <c r="J14" s="4">
        <v>0</v>
      </c>
      <c r="K14" s="4">
        <v>2</v>
      </c>
      <c r="L14" s="2"/>
      <c r="M14" s="2"/>
      <c r="N14" s="4">
        <v>0</v>
      </c>
      <c r="O14" s="4">
        <v>1</v>
      </c>
      <c r="P14" s="2"/>
      <c r="Q14" s="2"/>
      <c r="R14" s="4">
        <v>0</v>
      </c>
      <c r="S14" s="4">
        <v>2</v>
      </c>
      <c r="T14" s="2"/>
      <c r="U14" s="2"/>
      <c r="V14" s="4">
        <v>0</v>
      </c>
      <c r="W14" s="4">
        <v>2</v>
      </c>
      <c r="X14" s="2"/>
      <c r="Y14" s="2"/>
      <c r="Z14" s="4">
        <v>2</v>
      </c>
      <c r="AA14" s="4">
        <v>0</v>
      </c>
      <c r="AB14" s="2"/>
      <c r="AC14" s="2"/>
      <c r="AD14" s="4">
        <v>1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Norwegen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Norwegen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1</v>
      </c>
      <c r="E19" s="4">
        <v>0</v>
      </c>
      <c r="F19" s="2"/>
      <c r="G19" s="2"/>
      <c r="H19" s="2"/>
      <c r="I19" s="2"/>
      <c r="J19" s="2"/>
      <c r="K19" s="2"/>
      <c r="L19" s="4">
        <v>3</v>
      </c>
      <c r="M19" s="4">
        <v>0</v>
      </c>
      <c r="N19" s="2"/>
      <c r="O19" s="2"/>
      <c r="P19" s="2"/>
      <c r="Q19" s="2"/>
      <c r="R19" s="2"/>
      <c r="S19" s="2"/>
      <c r="T19" s="4">
        <v>2</v>
      </c>
      <c r="U19" s="4">
        <v>3</v>
      </c>
      <c r="V19" s="2"/>
      <c r="W19" s="2"/>
      <c r="X19" s="2"/>
      <c r="Y19" s="2"/>
      <c r="Z19" s="2"/>
      <c r="AA19" s="2"/>
      <c r="AB19" s="4">
        <v>4</v>
      </c>
      <c r="AC19" s="4">
        <v>0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Frankreich</v>
      </c>
      <c r="Q23" s="3" t="str">
        <f>IF(X24=Y24,"",IF(X24&lt;Y24,X23,Y23))</f>
        <v>Argentinien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0</v>
      </c>
      <c r="I24" s="4">
        <v>1</v>
      </c>
      <c r="J24" s="2"/>
      <c r="K24" s="2"/>
      <c r="L24" s="2"/>
      <c r="M24" s="2"/>
      <c r="N24" s="2"/>
      <c r="O24" s="2"/>
      <c r="P24" s="4">
        <v>0</v>
      </c>
      <c r="Q24" s="4">
        <v>1</v>
      </c>
      <c r="R24" s="2"/>
      <c r="S24" s="2"/>
      <c r="T24" s="2"/>
      <c r="U24" s="2"/>
      <c r="V24" s="2"/>
      <c r="W24" s="2"/>
      <c r="X24" s="4">
        <v>2</v>
      </c>
      <c r="Y24" s="4">
        <v>0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Argentinien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England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England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1</v>
      </c>
      <c r="Q29" s="4"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Spanien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5B36-B754-4C73-A86A-4191BD8956AA}">
  <dimension ref="A1:AF46"/>
  <sheetViews>
    <sheetView topLeftCell="E1" zoomScale="68" workbookViewId="0">
      <selection activeCell="T41" sqref="T41"/>
    </sheetView>
  </sheetViews>
  <sheetFormatPr defaultColWidth="11.5664062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1</v>
      </c>
      <c r="G4" s="4">
        <v>2</v>
      </c>
      <c r="H4" s="2"/>
      <c r="I4" s="2"/>
      <c r="J4" s="4">
        <v>2</v>
      </c>
      <c r="K4" s="4">
        <v>1</v>
      </c>
      <c r="L4" s="2"/>
      <c r="M4" s="2"/>
      <c r="N4" s="4">
        <v>2</v>
      </c>
      <c r="O4" s="4">
        <v>1</v>
      </c>
      <c r="P4" s="2"/>
      <c r="Q4" s="2"/>
      <c r="R4" s="4">
        <v>2</v>
      </c>
      <c r="S4" s="4">
        <v>1</v>
      </c>
      <c r="T4" s="2"/>
      <c r="U4" s="2"/>
      <c r="V4" s="4">
        <v>1</v>
      </c>
      <c r="W4" s="4">
        <v>0</v>
      </c>
      <c r="X4" s="2"/>
      <c r="Y4" s="2"/>
      <c r="Z4" s="4">
        <v>2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1</v>
      </c>
      <c r="D9" s="2"/>
      <c r="E9" s="2"/>
      <c r="F9" s="4">
        <v>2</v>
      </c>
      <c r="G9" s="4">
        <v>1</v>
      </c>
      <c r="H9" s="2"/>
      <c r="I9" s="2"/>
      <c r="J9" s="4">
        <v>2</v>
      </c>
      <c r="K9" s="4">
        <v>1</v>
      </c>
      <c r="L9" s="2"/>
      <c r="M9" s="2"/>
      <c r="N9" s="4">
        <v>2</v>
      </c>
      <c r="O9" s="4">
        <v>1</v>
      </c>
      <c r="P9" s="2"/>
      <c r="Q9" s="2"/>
      <c r="R9" s="4">
        <v>1</v>
      </c>
      <c r="S9" s="4">
        <v>2</v>
      </c>
      <c r="T9" s="2"/>
      <c r="U9" s="2"/>
      <c r="V9" s="4">
        <v>2</v>
      </c>
      <c r="W9" s="4">
        <v>0</v>
      </c>
      <c r="X9" s="2"/>
      <c r="Y9" s="2"/>
      <c r="Z9" s="4">
        <v>1</v>
      </c>
      <c r="AA9" s="4">
        <v>0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Belgien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Australien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Niederlande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Belgien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Australien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1</v>
      </c>
      <c r="G14" s="4">
        <v>2</v>
      </c>
      <c r="H14" s="2"/>
      <c r="I14" s="2"/>
      <c r="J14" s="4">
        <v>1</v>
      </c>
      <c r="K14" s="4">
        <v>2</v>
      </c>
      <c r="L14" s="2"/>
      <c r="M14" s="2"/>
      <c r="N14" s="4">
        <v>1</v>
      </c>
      <c r="O14" s="4">
        <v>2</v>
      </c>
      <c r="P14" s="2"/>
      <c r="Q14" s="2"/>
      <c r="R14" s="4">
        <v>2</v>
      </c>
      <c r="S14" s="4">
        <v>1</v>
      </c>
      <c r="T14" s="2"/>
      <c r="U14" s="2"/>
      <c r="V14" s="4">
        <v>0</v>
      </c>
      <c r="W14" s="4">
        <v>1</v>
      </c>
      <c r="X14" s="2"/>
      <c r="Y14" s="2"/>
      <c r="Z14" s="4">
        <v>2</v>
      </c>
      <c r="AA14" s="4">
        <v>0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Belgien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Belgien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1</v>
      </c>
      <c r="F19" s="2"/>
      <c r="G19" s="2"/>
      <c r="H19" s="2"/>
      <c r="I19" s="2"/>
      <c r="J19" s="2"/>
      <c r="K19" s="2"/>
      <c r="L19" s="4">
        <v>1</v>
      </c>
      <c r="M19" s="4">
        <v>0</v>
      </c>
      <c r="N19" s="2"/>
      <c r="O19" s="2"/>
      <c r="P19" s="2"/>
      <c r="Q19" s="2"/>
      <c r="R19" s="2"/>
      <c r="S19" s="2"/>
      <c r="T19" s="4">
        <v>1</v>
      </c>
      <c r="U19" s="4">
        <v>2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">
        <v>9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2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1</v>
      </c>
      <c r="R24" s="2"/>
      <c r="S24" s="2"/>
      <c r="T24" s="2"/>
      <c r="U24" s="2"/>
      <c r="V24" s="2"/>
      <c r="W24" s="2"/>
      <c r="X24" s="4">
        <v>0</v>
      </c>
      <c r="Y24" s="4">
        <v>1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Spanien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2</v>
      </c>
      <c r="Q29" s="4">
        <v>3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Argentinien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2C5E-C924-4763-9717-F61B6235802F}">
  <dimension ref="A1:AF46"/>
  <sheetViews>
    <sheetView zoomScale="68" workbookViewId="0">
      <selection activeCell="D44" sqref="D44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1</v>
      </c>
      <c r="D4" s="2"/>
      <c r="E4" s="2"/>
      <c r="F4" s="4">
        <v>0</v>
      </c>
      <c r="G4" s="4">
        <v>2</v>
      </c>
      <c r="H4" s="2"/>
      <c r="I4" s="2"/>
      <c r="J4" s="4">
        <v>2</v>
      </c>
      <c r="K4" s="4">
        <v>0</v>
      </c>
      <c r="L4" s="2"/>
      <c r="M4" s="2"/>
      <c r="N4" s="4">
        <v>1</v>
      </c>
      <c r="O4" s="4">
        <v>0</v>
      </c>
      <c r="P4" s="2"/>
      <c r="Q4" s="2"/>
      <c r="R4" s="4">
        <v>2</v>
      </c>
      <c r="S4" s="4">
        <v>1</v>
      </c>
      <c r="T4" s="2"/>
      <c r="U4" s="2"/>
      <c r="V4" s="4">
        <v>2</v>
      </c>
      <c r="W4" s="4">
        <v>3</v>
      </c>
      <c r="X4" s="2"/>
      <c r="Y4" s="2"/>
      <c r="Z4" s="4">
        <v>4</v>
      </c>
      <c r="AA4" s="4">
        <v>0</v>
      </c>
      <c r="AB4" s="2"/>
      <c r="AC4" s="2"/>
      <c r="AD4" s="4">
        <v>3</v>
      </c>
      <c r="AE4" s="4">
        <v>2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Ecuador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0</v>
      </c>
      <c r="D9" s="2"/>
      <c r="E9" s="2"/>
      <c r="F9" s="4">
        <v>1</v>
      </c>
      <c r="G9" s="4">
        <v>3</v>
      </c>
      <c r="H9" s="2"/>
      <c r="I9" s="2"/>
      <c r="J9" s="4">
        <v>4</v>
      </c>
      <c r="K9" s="4">
        <v>1</v>
      </c>
      <c r="L9" s="2"/>
      <c r="M9" s="2"/>
      <c r="N9" s="4">
        <v>1</v>
      </c>
      <c r="O9" s="4">
        <v>2</v>
      </c>
      <c r="P9" s="2"/>
      <c r="Q9" s="2"/>
      <c r="R9" s="4">
        <v>2</v>
      </c>
      <c r="S9" s="4">
        <v>0</v>
      </c>
      <c r="T9" s="2"/>
      <c r="U9" s="2"/>
      <c r="V9" s="4">
        <v>3</v>
      </c>
      <c r="W9" s="4">
        <v>0</v>
      </c>
      <c r="X9" s="2"/>
      <c r="Y9" s="2"/>
      <c r="Z9" s="4">
        <v>1</v>
      </c>
      <c r="AA9" s="4">
        <v>3</v>
      </c>
      <c r="AB9" s="2"/>
      <c r="AC9" s="2"/>
      <c r="AD9" s="4">
        <v>1</v>
      </c>
      <c r="AE9" s="4">
        <v>0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Elfenbeinküste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Elfenbeinküste</v>
      </c>
      <c r="T13" s="2"/>
      <c r="U13" s="2"/>
      <c r="V13" s="3" t="str">
        <f>V5</f>
        <v>Ecuador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3</v>
      </c>
      <c r="D14" s="2"/>
      <c r="E14" s="2"/>
      <c r="F14" s="4">
        <v>0</v>
      </c>
      <c r="G14" s="4">
        <v>1</v>
      </c>
      <c r="H14" s="2"/>
      <c r="I14" s="2"/>
      <c r="J14" s="4">
        <v>1</v>
      </c>
      <c r="K14" s="4">
        <v>3</v>
      </c>
      <c r="L14" s="2"/>
      <c r="M14" s="2"/>
      <c r="N14" s="4">
        <v>0</v>
      </c>
      <c r="O14" s="4">
        <v>1</v>
      </c>
      <c r="P14" s="2"/>
      <c r="Q14" s="2"/>
      <c r="R14" s="4">
        <v>2</v>
      </c>
      <c r="S14" s="4">
        <v>0</v>
      </c>
      <c r="T14" s="2"/>
      <c r="U14" s="2"/>
      <c r="V14" s="4">
        <v>1</v>
      </c>
      <c r="W14" s="4">
        <v>3</v>
      </c>
      <c r="X14" s="2"/>
      <c r="Y14" s="2"/>
      <c r="Z14" s="4">
        <v>3</v>
      </c>
      <c r="AA14" s="4">
        <v>1</v>
      </c>
      <c r="AB14" s="2"/>
      <c r="AC14" s="2"/>
      <c r="AD14" s="4">
        <v>2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3</v>
      </c>
      <c r="E19" s="4">
        <v>0</v>
      </c>
      <c r="F19" s="2"/>
      <c r="G19" s="2"/>
      <c r="H19" s="2"/>
      <c r="I19" s="2"/>
      <c r="J19" s="2"/>
      <c r="K19" s="2"/>
      <c r="L19" s="4">
        <v>2</v>
      </c>
      <c r="M19" s="4">
        <v>0</v>
      </c>
      <c r="N19" s="2"/>
      <c r="O19" s="2"/>
      <c r="P19" s="2"/>
      <c r="Q19" s="2"/>
      <c r="R19" s="2"/>
      <c r="S19" s="2"/>
      <c r="T19" s="4">
        <v>1</v>
      </c>
      <c r="U19" s="4">
        <v>2</v>
      </c>
      <c r="V19" s="2"/>
      <c r="W19" s="2"/>
      <c r="X19" s="2"/>
      <c r="Y19" s="2"/>
      <c r="Z19" s="2"/>
      <c r="AA19" s="2"/>
      <c r="AB19" s="4">
        <v>3</v>
      </c>
      <c r="AC19" s="4">
        <v>0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England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">
        <v>9</v>
      </c>
      <c r="R23" s="2"/>
      <c r="S23" s="2"/>
      <c r="T23" s="2"/>
      <c r="U23" s="2"/>
      <c r="V23" s="2"/>
      <c r="W23" s="2"/>
      <c r="X23" s="3" t="str">
        <f>T20</f>
        <v>England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3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0</v>
      </c>
      <c r="R24" s="2"/>
      <c r="S24" s="2"/>
      <c r="T24" s="2"/>
      <c r="U24" s="2"/>
      <c r="V24" s="2"/>
      <c r="W24" s="2"/>
      <c r="X24" s="4">
        <v>1</v>
      </c>
      <c r="Y24" s="4">
        <v>3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Spanien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2</v>
      </c>
      <c r="Q29" s="4"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ACD6-61BF-4B65-A256-0A245A1FDA7D}">
  <dimension ref="A1:AF46"/>
  <sheetViews>
    <sheetView zoomScale="68" workbookViewId="0">
      <selection activeCell="H56" sqref="H56"/>
    </sheetView>
  </sheetViews>
  <sheetFormatPr defaultColWidth="10.7617187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0</v>
      </c>
      <c r="D4" s="2"/>
      <c r="E4" s="2"/>
      <c r="F4" s="4">
        <v>0</v>
      </c>
      <c r="G4" s="4">
        <v>2</v>
      </c>
      <c r="H4" s="2"/>
      <c r="I4" s="2"/>
      <c r="J4" s="4">
        <v>1</v>
      </c>
      <c r="K4" s="4">
        <v>0</v>
      </c>
      <c r="L4" s="2"/>
      <c r="M4" s="2"/>
      <c r="N4" s="4">
        <v>2</v>
      </c>
      <c r="O4" s="4">
        <v>1</v>
      </c>
      <c r="P4" s="2"/>
      <c r="Q4" s="2"/>
      <c r="R4" s="4">
        <v>2</v>
      </c>
      <c r="S4" s="4">
        <v>1</v>
      </c>
      <c r="T4" s="2"/>
      <c r="U4" s="2"/>
      <c r="V4" s="4">
        <v>2</v>
      </c>
      <c r="W4" s="4">
        <v>1</v>
      </c>
      <c r="X4" s="2"/>
      <c r="Y4" s="2"/>
      <c r="Z4" s="4">
        <v>2</v>
      </c>
      <c r="AA4" s="4">
        <v>0</v>
      </c>
      <c r="AB4" s="2"/>
      <c r="AC4" s="2"/>
      <c r="AD4" s="4">
        <v>3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1</v>
      </c>
      <c r="D9" s="2"/>
      <c r="E9" s="2"/>
      <c r="F9" s="4">
        <v>3</v>
      </c>
      <c r="G9" s="4">
        <v>2</v>
      </c>
      <c r="H9" s="2"/>
      <c r="I9" s="2"/>
      <c r="J9" s="4">
        <v>2</v>
      </c>
      <c r="K9" s="4">
        <v>0</v>
      </c>
      <c r="L9" s="2"/>
      <c r="M9" s="2"/>
      <c r="N9" s="4">
        <v>1</v>
      </c>
      <c r="O9" s="4">
        <v>2</v>
      </c>
      <c r="P9" s="2"/>
      <c r="Q9" s="2"/>
      <c r="R9" s="4">
        <v>1</v>
      </c>
      <c r="S9" s="4">
        <v>3</v>
      </c>
      <c r="T9" s="2"/>
      <c r="U9" s="2"/>
      <c r="V9" s="4">
        <v>2</v>
      </c>
      <c r="W9" s="4">
        <v>0</v>
      </c>
      <c r="X9" s="2"/>
      <c r="Y9" s="2"/>
      <c r="Z9" s="4">
        <v>1</v>
      </c>
      <c r="AA9" s="4">
        <v>2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Niederlande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Niederlande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1</v>
      </c>
      <c r="G14" s="4">
        <v>3</v>
      </c>
      <c r="H14" s="2"/>
      <c r="I14" s="2"/>
      <c r="J14" s="4">
        <v>1</v>
      </c>
      <c r="K14" s="4">
        <v>3</v>
      </c>
      <c r="L14" s="2"/>
      <c r="M14" s="2"/>
      <c r="N14" s="4">
        <v>2</v>
      </c>
      <c r="O14" s="4">
        <v>3</v>
      </c>
      <c r="P14" s="2"/>
      <c r="Q14" s="2"/>
      <c r="R14" s="4">
        <v>1</v>
      </c>
      <c r="S14" s="4">
        <v>2</v>
      </c>
      <c r="T14" s="2"/>
      <c r="U14" s="2"/>
      <c r="V14" s="4">
        <v>0</v>
      </c>
      <c r="W14" s="4">
        <v>1</v>
      </c>
      <c r="X14" s="2"/>
      <c r="Y14" s="2"/>
      <c r="Z14" s="4">
        <v>2</v>
      </c>
      <c r="AA14" s="4">
        <v>0</v>
      </c>
      <c r="AB14" s="2"/>
      <c r="AC14" s="2"/>
      <c r="AD14" s="4">
        <v>2</v>
      </c>
      <c r="AE14" s="4">
        <v>1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Niederlande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Norwegen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Niederlande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Norwegen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3</v>
      </c>
      <c r="F19" s="2"/>
      <c r="G19" s="2"/>
      <c r="H19" s="2"/>
      <c r="I19" s="2"/>
      <c r="J19" s="2"/>
      <c r="K19" s="2"/>
      <c r="L19" s="4">
        <v>3</v>
      </c>
      <c r="M19" s="4">
        <v>2</v>
      </c>
      <c r="N19" s="2"/>
      <c r="O19" s="2"/>
      <c r="P19" s="2"/>
      <c r="Q19" s="2"/>
      <c r="R19" s="2"/>
      <c r="S19" s="2"/>
      <c r="T19" s="4">
        <v>1</v>
      </c>
      <c r="U19" s="4">
        <v>0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Niederlande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Norwegen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Niederlande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Niederlande</v>
      </c>
      <c r="Q23" s="3" t="str">
        <f>IF(X24=Y24,"",IF(X23&gt;Y24,X23,Y23))</f>
        <v>Norwegen</v>
      </c>
      <c r="R23" s="2"/>
      <c r="S23" s="2"/>
      <c r="T23" s="2"/>
      <c r="U23" s="2"/>
      <c r="V23" s="2"/>
      <c r="W23" s="2"/>
      <c r="X23" s="3" t="str">
        <f>T20</f>
        <v>Norwegen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0</v>
      </c>
      <c r="I24" s="4">
        <v>1</v>
      </c>
      <c r="J24" s="2"/>
      <c r="K24" s="2"/>
      <c r="L24" s="2"/>
      <c r="M24" s="2"/>
      <c r="N24" s="2"/>
      <c r="O24" s="2"/>
      <c r="P24" s="4">
        <v>2</v>
      </c>
      <c r="Q24" s="4">
        <v>1</v>
      </c>
      <c r="R24" s="2"/>
      <c r="S24" s="2"/>
      <c r="T24" s="2"/>
      <c r="U24" s="2"/>
      <c r="V24" s="2"/>
      <c r="W24" s="2"/>
      <c r="X24" s="4">
        <v>1</v>
      </c>
      <c r="Y24" s="4">
        <v>2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Spanien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Niederlande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Spanien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0</v>
      </c>
      <c r="Q29" s="4">
        <v>1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Argentinien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D1F8-C65E-4BE0-AA23-5C465D93BBC3}">
  <dimension ref="A1:AF46"/>
  <sheetViews>
    <sheetView topLeftCell="F1" zoomScale="68" workbookViewId="0">
      <selection activeCell="J49" sqref="J49"/>
    </sheetView>
  </sheetViews>
  <sheetFormatPr defaultColWidth="10.76171875" defaultRowHeight="15" x14ac:dyDescent="0.2"/>
  <cols>
    <col min="2" max="31" width="16.812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0</v>
      </c>
      <c r="D4" s="2"/>
      <c r="E4" s="2"/>
      <c r="F4" s="4">
        <v>1</v>
      </c>
      <c r="G4" s="4">
        <v>1</v>
      </c>
      <c r="H4" s="2"/>
      <c r="I4" s="2"/>
      <c r="J4" s="4">
        <v>2</v>
      </c>
      <c r="K4" s="4">
        <v>2</v>
      </c>
      <c r="L4" s="2"/>
      <c r="M4" s="2"/>
      <c r="N4" s="4">
        <v>2</v>
      </c>
      <c r="O4" s="4">
        <v>0</v>
      </c>
      <c r="P4" s="2"/>
      <c r="Q4" s="2"/>
      <c r="R4" s="4">
        <v>3</v>
      </c>
      <c r="S4" s="4">
        <v>2</v>
      </c>
      <c r="T4" s="2"/>
      <c r="U4" s="2"/>
      <c r="V4" s="4">
        <v>1</v>
      </c>
      <c r="W4" s="4">
        <v>0</v>
      </c>
      <c r="X4" s="2"/>
      <c r="Y4" s="2"/>
      <c r="Z4" s="4">
        <v>3</v>
      </c>
      <c r="AA4" s="4">
        <v>1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">
        <v>27</v>
      </c>
      <c r="G5" s="15"/>
      <c r="H5" s="2"/>
      <c r="I5" s="2"/>
      <c r="J5" s="15" t="s">
        <v>32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2</v>
      </c>
      <c r="C9" s="4">
        <v>0</v>
      </c>
      <c r="D9" s="2"/>
      <c r="E9" s="2"/>
      <c r="F9" s="4">
        <v>1</v>
      </c>
      <c r="G9" s="4">
        <v>1</v>
      </c>
      <c r="H9" s="2"/>
      <c r="I9" s="2"/>
      <c r="J9" s="4">
        <v>2</v>
      </c>
      <c r="K9" s="4">
        <v>0</v>
      </c>
      <c r="L9" s="2"/>
      <c r="M9" s="2"/>
      <c r="N9" s="4">
        <v>1</v>
      </c>
      <c r="O9" s="4">
        <v>1</v>
      </c>
      <c r="P9" s="2"/>
      <c r="Q9" s="2"/>
      <c r="R9" s="4">
        <v>2</v>
      </c>
      <c r="S9" s="4">
        <v>1</v>
      </c>
      <c r="T9" s="2"/>
      <c r="U9" s="2"/>
      <c r="V9" s="4">
        <v>2</v>
      </c>
      <c r="W9" s="4">
        <v>0</v>
      </c>
      <c r="X9" s="2"/>
      <c r="Y9" s="2"/>
      <c r="Z9" s="4">
        <v>0</v>
      </c>
      <c r="AA9" s="4">
        <v>2</v>
      </c>
      <c r="AB9" s="2"/>
      <c r="AC9" s="2"/>
      <c r="AD9" s="4">
        <v>1</v>
      </c>
      <c r="AE9" s="4">
        <v>2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">
        <v>29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">
        <v>37</v>
      </c>
      <c r="O10" s="15"/>
      <c r="P10" s="2"/>
      <c r="Q10" s="2"/>
      <c r="R10" s="15" t="str">
        <f>IF(R9=S9,"",IF(R9&gt;S9,R8,S8))</f>
        <v>Elfenbeinküste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Ghana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Südafrika</v>
      </c>
      <c r="G13" s="3" t="str">
        <f>F10</f>
        <v>Marokko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Elfenbeinküste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Ghana</v>
      </c>
      <c r="AF13" s="2"/>
    </row>
    <row r="14" spans="1:32" x14ac:dyDescent="0.2">
      <c r="A14" s="2"/>
      <c r="B14" s="4">
        <v>2</v>
      </c>
      <c r="C14" s="4">
        <v>1</v>
      </c>
      <c r="D14" s="2"/>
      <c r="E14" s="2"/>
      <c r="F14" s="4">
        <v>0</v>
      </c>
      <c r="G14" s="4">
        <v>1</v>
      </c>
      <c r="H14" s="2"/>
      <c r="I14" s="2"/>
      <c r="J14" s="4">
        <v>2</v>
      </c>
      <c r="K14" s="4">
        <v>1</v>
      </c>
      <c r="L14" s="2"/>
      <c r="M14" s="2"/>
      <c r="N14" s="4">
        <v>1</v>
      </c>
      <c r="O14" s="4">
        <v>2</v>
      </c>
      <c r="P14" s="2"/>
      <c r="Q14" s="2"/>
      <c r="R14" s="4">
        <v>3</v>
      </c>
      <c r="S14" s="4">
        <v>0</v>
      </c>
      <c r="T14" s="2"/>
      <c r="U14" s="2"/>
      <c r="V14" s="4">
        <v>1</v>
      </c>
      <c r="W14" s="4">
        <v>2</v>
      </c>
      <c r="X14" s="2"/>
      <c r="Y14" s="2"/>
      <c r="Z14" s="4">
        <v>2</v>
      </c>
      <c r="AA14" s="4">
        <v>0</v>
      </c>
      <c r="AB14" s="2"/>
      <c r="AC14" s="2"/>
      <c r="AD14" s="4">
        <v>1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Deutschland</v>
      </c>
      <c r="C15" s="15"/>
      <c r="D15" s="2"/>
      <c r="E15" s="2"/>
      <c r="F15" s="15" t="s">
        <v>29</v>
      </c>
      <c r="G15" s="15"/>
      <c r="H15" s="2"/>
      <c r="I15" s="2"/>
      <c r="J15" s="15" t="str">
        <f>IF(J14=K14,"",IF(J14&gt;K14,J13,K13))</f>
        <v>Kroatien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Deutschland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Kroatien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2</v>
      </c>
      <c r="E19" s="4">
        <v>0</v>
      </c>
      <c r="F19" s="2"/>
      <c r="G19" s="2"/>
      <c r="H19" s="2"/>
      <c r="I19" s="2"/>
      <c r="J19" s="2"/>
      <c r="K19" s="2"/>
      <c r="L19" s="4">
        <v>2</v>
      </c>
      <c r="M19" s="4">
        <v>1</v>
      </c>
      <c r="N19" s="2"/>
      <c r="O19" s="2"/>
      <c r="P19" s="2"/>
      <c r="Q19" s="2"/>
      <c r="R19" s="2"/>
      <c r="S19" s="2"/>
      <c r="T19" s="4">
        <v>2</v>
      </c>
      <c r="U19" s="4">
        <v>1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Deutschland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Kroatien</v>
      </c>
      <c r="M20" s="15"/>
      <c r="N20" s="2"/>
      <c r="O20" s="2"/>
      <c r="P20" s="2"/>
      <c r="Q20" s="2"/>
      <c r="R20" s="2"/>
      <c r="S20" s="2"/>
      <c r="T20" s="15" t="s">
        <v>40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Deutschland</v>
      </c>
      <c r="I23" s="3" t="str">
        <f>L20</f>
        <v>Kroatien</v>
      </c>
      <c r="J23" s="2"/>
      <c r="K23" s="2"/>
      <c r="L23" s="2"/>
      <c r="M23" s="2"/>
      <c r="N23" s="2"/>
      <c r="O23" s="2"/>
      <c r="P23" s="3" t="str">
        <f>IF(H24=I24,"",IF(H24&lt;I24,H23,I23))</f>
        <v>Deutschland</v>
      </c>
      <c r="Q23" s="3" t="s">
        <v>40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1</v>
      </c>
      <c r="I24" s="4">
        <v>2</v>
      </c>
      <c r="J24" s="2"/>
      <c r="K24" s="2"/>
      <c r="L24" s="2"/>
      <c r="M24" s="2"/>
      <c r="N24" s="2"/>
      <c r="O24" s="2"/>
      <c r="P24" s="4">
        <v>1</v>
      </c>
      <c r="Q24" s="4">
        <v>3</v>
      </c>
      <c r="R24" s="2"/>
      <c r="S24" s="2"/>
      <c r="T24" s="2"/>
      <c r="U24" s="2"/>
      <c r="V24" s="2"/>
      <c r="W24" s="2"/>
      <c r="X24" s="4">
        <v>1</v>
      </c>
      <c r="Y24" s="4">
        <v>2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Kroatien</v>
      </c>
      <c r="I25" s="15"/>
      <c r="J25" s="2"/>
      <c r="K25" s="2"/>
      <c r="L25" s="2"/>
      <c r="M25" s="2"/>
      <c r="N25" s="2"/>
      <c r="O25" s="2"/>
      <c r="P25" s="15" t="s">
        <v>40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Argentinien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Kroatien</v>
      </c>
      <c r="Q28" s="3" t="str">
        <f>X25</f>
        <v>Argentinien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1</v>
      </c>
      <c r="Q29" s="4"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">
        <v>51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C37E-25FE-4149-9107-C2537A92BDCD}">
  <dimension ref="A1:AF46"/>
  <sheetViews>
    <sheetView topLeftCell="I1" zoomScale="68" workbookViewId="0">
      <selection activeCell="Q24" sqref="Q24"/>
    </sheetView>
  </sheetViews>
  <sheetFormatPr defaultColWidth="11.56640625" defaultRowHeight="15" x14ac:dyDescent="0.2"/>
  <cols>
    <col min="2" max="31" width="16.94921875" customWidth="1"/>
    <col min="32" max="33" width="11.56640625" customWidth="1"/>
    <col min="37" max="38" width="11.5664062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2</v>
      </c>
      <c r="C4" s="4">
        <v>0</v>
      </c>
      <c r="D4" s="2"/>
      <c r="E4" s="2"/>
      <c r="F4" s="4">
        <v>0</v>
      </c>
      <c r="G4" s="4">
        <v>2</v>
      </c>
      <c r="H4" s="2"/>
      <c r="I4" s="2"/>
      <c r="J4" s="4">
        <v>2</v>
      </c>
      <c r="K4" s="4">
        <v>1</v>
      </c>
      <c r="L4" s="2"/>
      <c r="M4" s="2"/>
      <c r="N4" s="4">
        <v>3</v>
      </c>
      <c r="O4" s="4">
        <v>0</v>
      </c>
      <c r="P4" s="2"/>
      <c r="Q4" s="2"/>
      <c r="R4" s="4">
        <v>3</v>
      </c>
      <c r="S4" s="4">
        <v>1</v>
      </c>
      <c r="T4" s="2"/>
      <c r="U4" s="2"/>
      <c r="V4" s="4">
        <v>2</v>
      </c>
      <c r="W4" s="4">
        <v>1</v>
      </c>
      <c r="X4" s="2"/>
      <c r="Y4" s="2"/>
      <c r="Z4" s="4">
        <v>4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Kanada</v>
      </c>
      <c r="G5" s="15"/>
      <c r="H5" s="2"/>
      <c r="I5" s="2"/>
      <c r="J5" s="15" t="str">
        <f>IF(J4=K4,"",IF(J4&gt;K4,J3,K3))</f>
        <v>Portugal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3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3</v>
      </c>
      <c r="K9" s="4">
        <v>1</v>
      </c>
      <c r="L9" s="2"/>
      <c r="M9" s="2"/>
      <c r="N9" s="4">
        <v>1</v>
      </c>
      <c r="O9" s="4">
        <v>2</v>
      </c>
      <c r="P9" s="2"/>
      <c r="Q9" s="2"/>
      <c r="R9" s="4">
        <v>1</v>
      </c>
      <c r="S9" s="4">
        <v>2</v>
      </c>
      <c r="T9" s="2"/>
      <c r="U9" s="2"/>
      <c r="V9" s="4">
        <v>3</v>
      </c>
      <c r="W9" s="4">
        <v>1</v>
      </c>
      <c r="X9" s="2"/>
      <c r="Y9" s="2"/>
      <c r="Z9" s="4">
        <v>2</v>
      </c>
      <c r="AA9" s="4">
        <v>1</v>
      </c>
      <c r="AB9" s="2"/>
      <c r="AC9" s="2"/>
      <c r="AD9" s="4">
        <v>2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Norwegen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Australien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4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4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Kanada</v>
      </c>
      <c r="G13" s="3" t="str">
        <f>F10</f>
        <v>Marokko</v>
      </c>
      <c r="H13" s="2"/>
      <c r="I13" s="2"/>
      <c r="J13" s="3" t="str">
        <f>J5</f>
        <v>Portugal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Norwegen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Australien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3</v>
      </c>
      <c r="D14" s="2"/>
      <c r="E14" s="2"/>
      <c r="F14" s="4">
        <v>0</v>
      </c>
      <c r="G14" s="4">
        <v>2</v>
      </c>
      <c r="H14" s="2"/>
      <c r="I14" s="2"/>
      <c r="J14" s="4">
        <v>2</v>
      </c>
      <c r="K14" s="4">
        <v>1</v>
      </c>
      <c r="L14" s="2"/>
      <c r="M14" s="2"/>
      <c r="N14" s="4">
        <v>1</v>
      </c>
      <c r="O14" s="4">
        <v>2</v>
      </c>
      <c r="P14" s="2"/>
      <c r="Q14" s="2"/>
      <c r="R14" s="4">
        <v>2</v>
      </c>
      <c r="S14" s="4">
        <v>1</v>
      </c>
      <c r="T14" s="2"/>
      <c r="U14" s="2"/>
      <c r="V14" s="4">
        <v>1</v>
      </c>
      <c r="W14" s="4">
        <v>2</v>
      </c>
      <c r="X14" s="2"/>
      <c r="Y14" s="2"/>
      <c r="Z14" s="4">
        <v>3</v>
      </c>
      <c r="AA14" s="4">
        <v>0</v>
      </c>
      <c r="AB14" s="2"/>
      <c r="AC14" s="2"/>
      <c r="AD14" s="4">
        <v>1</v>
      </c>
      <c r="AE14" s="4">
        <v>2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Portugal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Kolumbien</v>
      </c>
      <c r="AE15" s="15"/>
      <c r="AF15" s="2"/>
    </row>
    <row r="16" spans="1:32" ht="14.4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4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Portugal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Kolumbien</v>
      </c>
      <c r="AE18" s="2"/>
      <c r="AF18" s="2"/>
    </row>
    <row r="19" spans="1:32" x14ac:dyDescent="0.2">
      <c r="A19" s="2"/>
      <c r="B19" s="2"/>
      <c r="C19" s="2"/>
      <c r="D19" s="4">
        <v>3</v>
      </c>
      <c r="E19" s="4">
        <v>1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2</v>
      </c>
      <c r="U19" s="4">
        <v>1</v>
      </c>
      <c r="V19" s="2"/>
      <c r="W19" s="2"/>
      <c r="X19" s="2"/>
      <c r="Y19" s="2"/>
      <c r="Z19" s="2"/>
      <c r="AA19" s="2"/>
      <c r="AB19" s="4">
        <v>2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Frankreich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Portugal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4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4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Frankreich</v>
      </c>
      <c r="I23" s="3" t="str">
        <f>L20</f>
        <v>Portugal</v>
      </c>
      <c r="J23" s="2"/>
      <c r="K23" s="2"/>
      <c r="L23" s="2"/>
      <c r="M23" s="2"/>
      <c r="N23" s="2"/>
      <c r="O23" s="2"/>
      <c r="P23" s="3" t="str">
        <f>IF(H24=I24,"",IF(H24&lt;I24,H23,I23))</f>
        <v>Portugal</v>
      </c>
      <c r="Q23" s="3" t="s">
        <v>51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2</v>
      </c>
      <c r="I24" s="4">
        <v>1</v>
      </c>
      <c r="J24" s="2"/>
      <c r="K24" s="2"/>
      <c r="L24" s="2"/>
      <c r="M24" s="2"/>
      <c r="N24" s="2"/>
      <c r="O24" s="2"/>
      <c r="P24" s="4">
        <v>1</v>
      </c>
      <c r="Q24" s="4">
        <v>3</v>
      </c>
      <c r="R24" s="2"/>
      <c r="S24" s="2"/>
      <c r="T24" s="2"/>
      <c r="U24" s="2"/>
      <c r="V24" s="2"/>
      <c r="W24" s="2"/>
      <c r="X24" s="4">
        <v>2</v>
      </c>
      <c r="Y24" s="4">
        <v>1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Frankreich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Argentinien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Brasilien</v>
      </c>
      <c r="Y25" s="15"/>
      <c r="Z25" s="2"/>
      <c r="AA25" s="2"/>
      <c r="AB25" s="2"/>
      <c r="AC25" s="2"/>
      <c r="AD25" s="2"/>
      <c r="AE25" s="2"/>
      <c r="AF25" s="2"/>
    </row>
    <row r="26" spans="1:32" ht="14.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4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4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Frankreich</v>
      </c>
      <c r="Q28" s="3" t="str">
        <f>X25</f>
        <v>Brasilien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3</v>
      </c>
      <c r="Q29" s="4">
        <v>1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Frankreich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45" customHeight="1" x14ac:dyDescent="0.55000000000000004">
      <c r="O33" s="19" t="s">
        <v>18</v>
      </c>
      <c r="P33" s="19"/>
      <c r="Q33" s="19"/>
      <c r="R33" s="19"/>
      <c r="S33" s="5"/>
    </row>
    <row r="34" spans="15:19" ht="14.45" customHeight="1" x14ac:dyDescent="0.55000000000000004">
      <c r="O34" s="19"/>
      <c r="P34" s="19"/>
      <c r="Q34" s="19"/>
      <c r="R34" s="19"/>
      <c r="S34" s="5"/>
    </row>
    <row r="35" spans="15:19" ht="14.45" customHeight="1" x14ac:dyDescent="0.2">
      <c r="O35" s="17" t="s">
        <v>69</v>
      </c>
      <c r="P35" s="17"/>
      <c r="Q35" s="17"/>
      <c r="R35" s="18">
        <v>10</v>
      </c>
    </row>
    <row r="36" spans="15:19" ht="14.45" customHeight="1" x14ac:dyDescent="0.2">
      <c r="O36" s="17"/>
      <c r="P36" s="17"/>
      <c r="Q36" s="17"/>
      <c r="R36" s="18"/>
    </row>
    <row r="37" spans="15:19" ht="14.45" customHeight="1" x14ac:dyDescent="0.2">
      <c r="O37" s="17" t="s">
        <v>70</v>
      </c>
      <c r="P37" s="17"/>
      <c r="Q37" s="17"/>
      <c r="R37" s="18">
        <v>20</v>
      </c>
    </row>
    <row r="38" spans="15:19" ht="14.45" customHeight="1" x14ac:dyDescent="0.2">
      <c r="O38" s="17"/>
      <c r="P38" s="17"/>
      <c r="Q38" s="17"/>
      <c r="R38" s="18"/>
    </row>
    <row r="39" spans="15:19" ht="14.45" customHeight="1" x14ac:dyDescent="0.2">
      <c r="O39" s="17" t="s">
        <v>19</v>
      </c>
      <c r="P39" s="17"/>
      <c r="Q39" s="17"/>
      <c r="R39" s="18">
        <v>40</v>
      </c>
    </row>
    <row r="40" spans="15:19" ht="14.45" customHeight="1" x14ac:dyDescent="0.2">
      <c r="O40" s="17"/>
      <c r="P40" s="17"/>
      <c r="Q40" s="17"/>
      <c r="R40" s="18"/>
    </row>
    <row r="41" spans="15:19" ht="14.45" customHeight="1" x14ac:dyDescent="0.2">
      <c r="O41" s="17" t="s">
        <v>20</v>
      </c>
      <c r="P41" s="17"/>
      <c r="Q41" s="17"/>
      <c r="R41" s="18">
        <v>60</v>
      </c>
    </row>
    <row r="42" spans="15:19" ht="14.45" customHeight="1" x14ac:dyDescent="0.2">
      <c r="O42" s="17"/>
      <c r="P42" s="17"/>
      <c r="Q42" s="17"/>
      <c r="R42" s="18"/>
    </row>
    <row r="43" spans="15:19" ht="14.45" customHeight="1" x14ac:dyDescent="0.2">
      <c r="O43" s="12" t="s">
        <v>60</v>
      </c>
      <c r="P43" s="12"/>
      <c r="Q43" s="12"/>
      <c r="R43" s="13">
        <v>40</v>
      </c>
    </row>
    <row r="44" spans="15:19" ht="14.4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A8E5-4D0B-483A-A79E-E2E5C584F15C}">
  <dimension ref="A1:AF46"/>
  <sheetViews>
    <sheetView zoomScale="75" workbookViewId="0">
      <selection activeCell="W44" sqref="W44"/>
    </sheetView>
  </sheetViews>
  <sheetFormatPr defaultColWidth="11.56640625" defaultRowHeight="15" x14ac:dyDescent="0.2"/>
  <cols>
    <col min="2" max="31" width="16.8125" customWidth="1"/>
    <col min="32" max="33" width="11.43359375" customWidth="1"/>
    <col min="37" max="38" width="11.43359375" customWidth="1"/>
  </cols>
  <sheetData>
    <row r="1" spans="1:32" x14ac:dyDescent="0.2">
      <c r="A1" s="14" t="s">
        <v>21</v>
      </c>
      <c r="B1" s="16"/>
      <c r="C1" s="16"/>
      <c r="D1" s="16"/>
      <c r="E1" s="14" t="s">
        <v>25</v>
      </c>
      <c r="F1" s="16"/>
      <c r="G1" s="16"/>
      <c r="H1" s="16"/>
      <c r="I1" s="14" t="s">
        <v>30</v>
      </c>
      <c r="J1" s="16"/>
      <c r="K1" s="16"/>
      <c r="L1" s="16"/>
      <c r="M1" s="14" t="s">
        <v>33</v>
      </c>
      <c r="N1" s="16"/>
      <c r="O1" s="16"/>
      <c r="P1" s="16"/>
      <c r="Q1" s="14" t="s">
        <v>38</v>
      </c>
      <c r="R1" s="16"/>
      <c r="S1" s="16"/>
      <c r="T1" s="16"/>
      <c r="U1" s="14" t="s">
        <v>44</v>
      </c>
      <c r="V1" s="16"/>
      <c r="W1" s="16"/>
      <c r="X1" s="16"/>
      <c r="Y1" s="14" t="s">
        <v>49</v>
      </c>
      <c r="Z1" s="16"/>
      <c r="AA1" s="16"/>
      <c r="AB1" s="16"/>
      <c r="AC1" s="14" t="s">
        <v>55</v>
      </c>
      <c r="AD1" s="16"/>
      <c r="AE1" s="16"/>
      <c r="AF1" s="16"/>
    </row>
    <row r="2" spans="1:3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7.25" x14ac:dyDescent="0.3">
      <c r="A3" s="2"/>
      <c r="B3" s="3" t="s">
        <v>3</v>
      </c>
      <c r="C3" s="3" t="s">
        <v>23</v>
      </c>
      <c r="D3" s="2"/>
      <c r="E3" s="2"/>
      <c r="F3" s="3" t="s">
        <v>27</v>
      </c>
      <c r="G3" s="3" t="s">
        <v>28</v>
      </c>
      <c r="H3" s="2"/>
      <c r="I3" s="2"/>
      <c r="J3" s="3" t="s">
        <v>4</v>
      </c>
      <c r="K3" s="3" t="s">
        <v>32</v>
      </c>
      <c r="L3" s="2"/>
      <c r="M3" s="2"/>
      <c r="N3" s="3" t="s">
        <v>35</v>
      </c>
      <c r="O3" s="3" t="s">
        <v>36</v>
      </c>
      <c r="P3" s="2"/>
      <c r="Q3" s="2"/>
      <c r="R3" s="3" t="s">
        <v>40</v>
      </c>
      <c r="S3" s="3" t="s">
        <v>41</v>
      </c>
      <c r="T3" s="2"/>
      <c r="U3" s="2"/>
      <c r="V3" s="3" t="s">
        <v>46</v>
      </c>
      <c r="W3" s="3" t="s">
        <v>47</v>
      </c>
      <c r="X3" s="2"/>
      <c r="Y3" s="2"/>
      <c r="Z3" s="3" t="s">
        <v>51</v>
      </c>
      <c r="AA3" s="3" t="s">
        <v>52</v>
      </c>
      <c r="AB3" s="2"/>
      <c r="AC3" s="2"/>
      <c r="AD3" s="3" t="s">
        <v>10</v>
      </c>
      <c r="AE3" s="3" t="s">
        <v>57</v>
      </c>
      <c r="AF3" s="2"/>
    </row>
    <row r="4" spans="1:32" x14ac:dyDescent="0.2">
      <c r="A4" s="2"/>
      <c r="B4" s="4">
        <v>3</v>
      </c>
      <c r="C4" s="4">
        <v>1</v>
      </c>
      <c r="D4" s="2"/>
      <c r="E4" s="2"/>
      <c r="F4" s="4">
        <v>5</v>
      </c>
      <c r="G4" s="4">
        <v>4</v>
      </c>
      <c r="H4" s="2"/>
      <c r="I4" s="2"/>
      <c r="J4" s="4">
        <v>1</v>
      </c>
      <c r="K4" s="4">
        <v>3</v>
      </c>
      <c r="L4" s="2"/>
      <c r="M4" s="2"/>
      <c r="N4" s="4">
        <v>5</v>
      </c>
      <c r="O4" s="4">
        <v>4</v>
      </c>
      <c r="P4" s="2"/>
      <c r="Q4" s="2"/>
      <c r="R4" s="4">
        <v>3</v>
      </c>
      <c r="S4" s="4">
        <v>1</v>
      </c>
      <c r="T4" s="2"/>
      <c r="U4" s="2"/>
      <c r="V4" s="4">
        <v>1</v>
      </c>
      <c r="W4" s="4">
        <v>0</v>
      </c>
      <c r="X4" s="2"/>
      <c r="Y4" s="2"/>
      <c r="Z4" s="4">
        <v>2</v>
      </c>
      <c r="AA4" s="4">
        <v>0</v>
      </c>
      <c r="AB4" s="2"/>
      <c r="AC4" s="2"/>
      <c r="AD4" s="4">
        <v>2</v>
      </c>
      <c r="AE4" s="4">
        <v>1</v>
      </c>
      <c r="AF4" s="2"/>
    </row>
    <row r="5" spans="1:32" ht="17.25" x14ac:dyDescent="0.3">
      <c r="A5" s="2"/>
      <c r="B5" s="15" t="str">
        <f>IF(B4=C4,"",IF(B4&gt;C4,B3,C3))</f>
        <v>Deutschland</v>
      </c>
      <c r="C5" s="15"/>
      <c r="D5" s="2"/>
      <c r="E5" s="2"/>
      <c r="F5" s="15" t="str">
        <f>IF(F4=G4,"",IF(F4&gt;G4,F3,G3))</f>
        <v>Südafrika</v>
      </c>
      <c r="G5" s="15"/>
      <c r="H5" s="2"/>
      <c r="I5" s="2"/>
      <c r="J5" s="15" t="str">
        <f>IF(J4=K4,"",IF(J4&gt;K4,J3,K3))</f>
        <v>Kroatien</v>
      </c>
      <c r="K5" s="15"/>
      <c r="L5" s="2"/>
      <c r="M5" s="2"/>
      <c r="N5" s="15" t="str">
        <f>IF(N4=O4,"",IF(N4&gt;O4,N3,O3))</f>
        <v>USA</v>
      </c>
      <c r="O5" s="15"/>
      <c r="P5" s="2"/>
      <c r="Q5" s="2"/>
      <c r="R5" s="15" t="str">
        <f>IF(R4=S4,"",IF(R4&gt;S4,R3,S3))</f>
        <v>Brasilien</v>
      </c>
      <c r="S5" s="15"/>
      <c r="T5" s="2"/>
      <c r="U5" s="2"/>
      <c r="V5" s="15" t="str">
        <f>IF(V4=W4,"",IF(V4&gt;W4,V3,W3))</f>
        <v>Mexiko</v>
      </c>
      <c r="W5" s="15"/>
      <c r="X5" s="2"/>
      <c r="Y5" s="2"/>
      <c r="Z5" s="15" t="str">
        <f>IF(Z4=AA4,"",IF(Z4&gt;AA4,Z3,AA3))</f>
        <v>Argentinien</v>
      </c>
      <c r="AA5" s="15"/>
      <c r="AB5" s="2"/>
      <c r="AC5" s="2"/>
      <c r="AD5" s="15" t="str">
        <f>IF(AD4=AE4,"",IF(AD4&gt;AE4,AD3,AE3))</f>
        <v>Schweiz</v>
      </c>
      <c r="AE5" s="15"/>
      <c r="AF5" s="2"/>
    </row>
    <row r="6" spans="1:32" x14ac:dyDescent="0.2">
      <c r="A6" s="14" t="s">
        <v>22</v>
      </c>
      <c r="B6" s="16"/>
      <c r="C6" s="16"/>
      <c r="D6" s="16"/>
      <c r="E6" s="14" t="s">
        <v>26</v>
      </c>
      <c r="F6" s="16"/>
      <c r="G6" s="16"/>
      <c r="H6" s="16"/>
      <c r="I6" s="14" t="s">
        <v>31</v>
      </c>
      <c r="J6" s="16"/>
      <c r="K6" s="16"/>
      <c r="L6" s="16"/>
      <c r="M6" s="14" t="s">
        <v>34</v>
      </c>
      <c r="N6" s="16"/>
      <c r="O6" s="16"/>
      <c r="P6" s="16"/>
      <c r="Q6" s="14" t="s">
        <v>39</v>
      </c>
      <c r="R6" s="16"/>
      <c r="S6" s="16"/>
      <c r="T6" s="16"/>
      <c r="U6" s="14" t="s">
        <v>45</v>
      </c>
      <c r="V6" s="16"/>
      <c r="W6" s="16"/>
      <c r="X6" s="16"/>
      <c r="Y6" s="14" t="s">
        <v>50</v>
      </c>
      <c r="Z6" s="16"/>
      <c r="AA6" s="16"/>
      <c r="AB6" s="16"/>
      <c r="AC6" s="14" t="s">
        <v>56</v>
      </c>
      <c r="AD6" s="16"/>
      <c r="AE6" s="16"/>
      <c r="AF6" s="16"/>
    </row>
    <row r="7" spans="1:32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7.25" x14ac:dyDescent="0.3">
      <c r="A8" s="2"/>
      <c r="B8" s="3" t="s">
        <v>5</v>
      </c>
      <c r="C8" s="3" t="s">
        <v>24</v>
      </c>
      <c r="D8" s="2"/>
      <c r="E8" s="2"/>
      <c r="F8" s="3" t="s">
        <v>7</v>
      </c>
      <c r="G8" s="3" t="s">
        <v>29</v>
      </c>
      <c r="H8" s="2"/>
      <c r="I8" s="2"/>
      <c r="J8" s="3" t="s">
        <v>2</v>
      </c>
      <c r="K8" s="3" t="s">
        <v>8</v>
      </c>
      <c r="L8" s="2"/>
      <c r="M8" s="2"/>
      <c r="N8" s="3" t="s">
        <v>6</v>
      </c>
      <c r="O8" s="3" t="s">
        <v>37</v>
      </c>
      <c r="P8" s="2"/>
      <c r="Q8" s="2"/>
      <c r="R8" s="3" t="s">
        <v>42</v>
      </c>
      <c r="S8" s="3" t="s">
        <v>43</v>
      </c>
      <c r="T8" s="2"/>
      <c r="U8" s="2"/>
      <c r="V8" s="3" t="s">
        <v>9</v>
      </c>
      <c r="W8" s="3" t="s">
        <v>48</v>
      </c>
      <c r="X8" s="2"/>
      <c r="Y8" s="2"/>
      <c r="Z8" s="3" t="s">
        <v>53</v>
      </c>
      <c r="AA8" s="3" t="s">
        <v>54</v>
      </c>
      <c r="AB8" s="2"/>
      <c r="AC8" s="2"/>
      <c r="AD8" s="3" t="s">
        <v>58</v>
      </c>
      <c r="AE8" s="3" t="s">
        <v>59</v>
      </c>
      <c r="AF8" s="2"/>
    </row>
    <row r="9" spans="1:32" x14ac:dyDescent="0.2">
      <c r="A9" s="2"/>
      <c r="B9" s="4">
        <v>4</v>
      </c>
      <c r="C9" s="4">
        <v>1</v>
      </c>
      <c r="D9" s="2"/>
      <c r="E9" s="2"/>
      <c r="F9" s="4">
        <v>1</v>
      </c>
      <c r="G9" s="4">
        <v>2</v>
      </c>
      <c r="H9" s="2"/>
      <c r="I9" s="2"/>
      <c r="J9" s="4">
        <v>3</v>
      </c>
      <c r="K9" s="4">
        <v>0</v>
      </c>
      <c r="L9" s="2"/>
      <c r="M9" s="2"/>
      <c r="N9" s="4">
        <v>1</v>
      </c>
      <c r="O9" s="4">
        <v>2</v>
      </c>
      <c r="P9" s="2"/>
      <c r="Q9" s="2"/>
      <c r="R9" s="4">
        <v>4</v>
      </c>
      <c r="S9" s="4">
        <v>3</v>
      </c>
      <c r="T9" s="2"/>
      <c r="U9" s="2"/>
      <c r="V9" s="4">
        <v>3</v>
      </c>
      <c r="W9" s="4">
        <v>1</v>
      </c>
      <c r="X9" s="2"/>
      <c r="Y9" s="2"/>
      <c r="Z9" s="4">
        <v>0</v>
      </c>
      <c r="AA9" s="4">
        <v>1</v>
      </c>
      <c r="AB9" s="2"/>
      <c r="AC9" s="2"/>
      <c r="AD9" s="4">
        <v>3</v>
      </c>
      <c r="AE9" s="4">
        <v>1</v>
      </c>
      <c r="AF9" s="2"/>
    </row>
    <row r="10" spans="1:32" ht="17.25" x14ac:dyDescent="0.3">
      <c r="A10" s="2"/>
      <c r="B10" s="15" t="str">
        <f>IF(B9=C9,"",IF(B9&gt;C9,B8,C8))</f>
        <v>Frankreich</v>
      </c>
      <c r="C10" s="15"/>
      <c r="D10" s="2"/>
      <c r="E10" s="2"/>
      <c r="F10" s="15" t="str">
        <f>IF(F9=G9,"",IF(F9&gt;G9,F8,G8))</f>
        <v>Marokko</v>
      </c>
      <c r="G10" s="15"/>
      <c r="H10" s="2"/>
      <c r="I10" s="2"/>
      <c r="J10" s="15" t="str">
        <f>IF(J9=K9,"",IF(J9&gt;K9,J8,K8))</f>
        <v>Spanien</v>
      </c>
      <c r="K10" s="15"/>
      <c r="L10" s="2"/>
      <c r="M10" s="2"/>
      <c r="N10" s="15" t="str">
        <f>IF(N9=O9,"",IF(N9&gt;O9,N8,O8))</f>
        <v>Senegal</v>
      </c>
      <c r="O10" s="15"/>
      <c r="P10" s="2"/>
      <c r="Q10" s="2"/>
      <c r="R10" s="15" t="str">
        <f>IF(R9=S9,"",IF(R9&gt;S9,R8,S8))</f>
        <v>Elfenbeinküste</v>
      </c>
      <c r="S10" s="15"/>
      <c r="T10" s="2"/>
      <c r="U10" s="2"/>
      <c r="V10" s="15" t="str">
        <f>IF(V9=W9,"",IF(V9&gt;W9,V8,W8))</f>
        <v>England</v>
      </c>
      <c r="W10" s="15"/>
      <c r="X10" s="2"/>
      <c r="Y10" s="2"/>
      <c r="Z10" s="15" t="str">
        <f>IF(Z9=AA9,"",IF(Z9&gt;AA9,Z8,AA8))</f>
        <v>Ägypten</v>
      </c>
      <c r="AA10" s="15"/>
      <c r="AB10" s="2"/>
      <c r="AC10" s="2"/>
      <c r="AD10" s="15" t="str">
        <f>IF(AD9=AE9,"",IF(AD9&gt;AE9,AD8,AE8))</f>
        <v>Kolumbien</v>
      </c>
      <c r="AE10" s="15"/>
      <c r="AF10" s="2"/>
    </row>
    <row r="11" spans="1:32" ht="14.65" customHeight="1" x14ac:dyDescent="0.2">
      <c r="A11" s="14" t="s">
        <v>0</v>
      </c>
      <c r="B11" s="16"/>
      <c r="C11" s="16"/>
      <c r="D11" s="16"/>
      <c r="E11" s="14" t="s">
        <v>1</v>
      </c>
      <c r="F11" s="16"/>
      <c r="G11" s="16"/>
      <c r="H11" s="16"/>
      <c r="I11" s="14" t="s">
        <v>63</v>
      </c>
      <c r="J11" s="16"/>
      <c r="K11" s="16"/>
      <c r="L11" s="16"/>
      <c r="M11" s="14" t="s">
        <v>64</v>
      </c>
      <c r="N11" s="16"/>
      <c r="O11" s="16"/>
      <c r="P11" s="16"/>
      <c r="Q11" s="14" t="s">
        <v>65</v>
      </c>
      <c r="R11" s="16"/>
      <c r="S11" s="16"/>
      <c r="T11" s="16"/>
      <c r="U11" s="14" t="s">
        <v>66</v>
      </c>
      <c r="V11" s="16"/>
      <c r="W11" s="16"/>
      <c r="X11" s="16"/>
      <c r="Y11" s="14" t="s">
        <v>67</v>
      </c>
      <c r="Z11" s="16"/>
      <c r="AA11" s="16"/>
      <c r="AB11" s="16"/>
      <c r="AC11" s="14" t="s">
        <v>68</v>
      </c>
      <c r="AD11" s="16"/>
      <c r="AE11" s="16"/>
      <c r="AF11" s="16"/>
    </row>
    <row r="12" spans="1:32" ht="14.6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7.25" x14ac:dyDescent="0.3">
      <c r="A13" s="2"/>
      <c r="B13" s="3" t="str">
        <f>B5</f>
        <v>Deutschland</v>
      </c>
      <c r="C13" s="3" t="str">
        <f>B10</f>
        <v>Frankreich</v>
      </c>
      <c r="D13" s="2"/>
      <c r="E13" s="2"/>
      <c r="F13" s="3" t="str">
        <f>F5</f>
        <v>Südafrika</v>
      </c>
      <c r="G13" s="3" t="str">
        <f>F10</f>
        <v>Marokko</v>
      </c>
      <c r="H13" s="2"/>
      <c r="I13" s="2"/>
      <c r="J13" s="3" t="str">
        <f>J5</f>
        <v>Kroatien</v>
      </c>
      <c r="K13" s="3" t="str">
        <f>J10</f>
        <v>Spanien</v>
      </c>
      <c r="L13" s="2"/>
      <c r="M13" s="2"/>
      <c r="N13" s="3" t="str">
        <f>N5</f>
        <v>USA</v>
      </c>
      <c r="O13" s="3" t="str">
        <f>N10</f>
        <v>Senegal</v>
      </c>
      <c r="P13" s="2"/>
      <c r="Q13" s="2"/>
      <c r="R13" s="3" t="str">
        <f>R5</f>
        <v>Brasilien</v>
      </c>
      <c r="S13" s="3" t="str">
        <f>R10</f>
        <v>Elfenbeinküste</v>
      </c>
      <c r="T13" s="2"/>
      <c r="U13" s="2"/>
      <c r="V13" s="3" t="str">
        <f>V5</f>
        <v>Mexiko</v>
      </c>
      <c r="W13" s="3" t="str">
        <f>V10</f>
        <v>England</v>
      </c>
      <c r="X13" s="2"/>
      <c r="Y13" s="2"/>
      <c r="Z13" s="3" t="str">
        <f>Z5</f>
        <v>Argentinien</v>
      </c>
      <c r="AA13" s="3" t="str">
        <f>Z10</f>
        <v>Ägypten</v>
      </c>
      <c r="AB13" s="2"/>
      <c r="AC13" s="2"/>
      <c r="AD13" s="3" t="str">
        <f>AD5</f>
        <v>Schweiz</v>
      </c>
      <c r="AE13" s="3" t="str">
        <f>AD10</f>
        <v>Kolumbien</v>
      </c>
      <c r="AF13" s="2"/>
    </row>
    <row r="14" spans="1:32" x14ac:dyDescent="0.2">
      <c r="A14" s="2"/>
      <c r="B14" s="4">
        <v>1</v>
      </c>
      <c r="C14" s="4">
        <v>2</v>
      </c>
      <c r="D14" s="2"/>
      <c r="E14" s="2"/>
      <c r="F14" s="4">
        <v>4</v>
      </c>
      <c r="G14" s="4">
        <v>5</v>
      </c>
      <c r="H14" s="2"/>
      <c r="I14" s="2"/>
      <c r="J14" s="4">
        <v>1</v>
      </c>
      <c r="K14" s="4">
        <v>2</v>
      </c>
      <c r="L14" s="2"/>
      <c r="M14" s="2"/>
      <c r="N14" s="4">
        <v>4</v>
      </c>
      <c r="O14" s="4">
        <v>5</v>
      </c>
      <c r="P14" s="2"/>
      <c r="Q14" s="2"/>
      <c r="R14" s="4">
        <v>2</v>
      </c>
      <c r="S14" s="4">
        <v>0</v>
      </c>
      <c r="T14" s="2"/>
      <c r="U14" s="2"/>
      <c r="V14" s="4">
        <v>0</v>
      </c>
      <c r="W14" s="4">
        <v>1</v>
      </c>
      <c r="X14" s="2"/>
      <c r="Y14" s="2"/>
      <c r="Z14" s="4">
        <v>3</v>
      </c>
      <c r="AA14" s="4">
        <v>1</v>
      </c>
      <c r="AB14" s="2"/>
      <c r="AC14" s="2"/>
      <c r="AD14" s="4">
        <v>1</v>
      </c>
      <c r="AE14" s="4">
        <v>0</v>
      </c>
      <c r="AF14" s="2"/>
    </row>
    <row r="15" spans="1:32" ht="17.25" x14ac:dyDescent="0.3">
      <c r="A15" s="2"/>
      <c r="B15" s="15" t="str">
        <f>IF(B14=C14,"",IF(B14&gt;C14,B13,C13))</f>
        <v>Frankreich</v>
      </c>
      <c r="C15" s="15"/>
      <c r="D15" s="2"/>
      <c r="E15" s="2"/>
      <c r="F15" s="15" t="str">
        <f>IF(F14=G14,"",IF(F14&gt;G14,F13,G13))</f>
        <v>Marokko</v>
      </c>
      <c r="G15" s="15"/>
      <c r="H15" s="2"/>
      <c r="I15" s="2"/>
      <c r="J15" s="15" t="str">
        <f>IF(J14=K14,"",IF(J14&gt;K14,J13,K13))</f>
        <v>Spanien</v>
      </c>
      <c r="K15" s="15"/>
      <c r="L15" s="2"/>
      <c r="M15" s="2"/>
      <c r="N15" s="15" t="str">
        <f>IF(N14=O14,"",IF(N14&gt;O14,N13,O13))</f>
        <v>Senegal</v>
      </c>
      <c r="O15" s="15"/>
      <c r="P15" s="2"/>
      <c r="Q15" s="2"/>
      <c r="R15" s="15" t="str">
        <f>IF(R14=S14,"",IF(R14&gt;S14,R13,S13))</f>
        <v>Brasilien</v>
      </c>
      <c r="S15" s="15"/>
      <c r="T15" s="2"/>
      <c r="U15" s="2"/>
      <c r="V15" s="15" t="str">
        <f>IF(V14=W14,"",IF(V14&gt;W14,V13,W13))</f>
        <v>England</v>
      </c>
      <c r="W15" s="15"/>
      <c r="X15" s="2"/>
      <c r="Y15" s="2"/>
      <c r="Z15" s="15" t="str">
        <f>IF(Z14=AA14,"",IF(Z14&gt;AA14,Z13,AA13))</f>
        <v>Argentinien</v>
      </c>
      <c r="AA15" s="15"/>
      <c r="AB15" s="2"/>
      <c r="AC15" s="2"/>
      <c r="AD15" s="15" t="str">
        <f>IF(AD14=AE14,"",IF(AD14&gt;AE14,AD13,AE13))</f>
        <v>Schweiz</v>
      </c>
      <c r="AE15" s="15"/>
      <c r="AF15" s="2"/>
    </row>
    <row r="16" spans="1:32" ht="14.65" customHeight="1" x14ac:dyDescent="0.2">
      <c r="A16" s="2"/>
      <c r="B16" s="2"/>
      <c r="C16" s="14" t="s">
        <v>11</v>
      </c>
      <c r="D16" s="14"/>
      <c r="E16" s="14"/>
      <c r="F16" s="14"/>
      <c r="G16" s="2"/>
      <c r="H16" s="2"/>
      <c r="I16" s="2"/>
      <c r="J16" s="2"/>
      <c r="K16" s="14" t="s">
        <v>12</v>
      </c>
      <c r="L16" s="14"/>
      <c r="M16" s="14"/>
      <c r="N16" s="14"/>
      <c r="O16" s="2"/>
      <c r="P16" s="2"/>
      <c r="Q16" s="2"/>
      <c r="R16" s="2"/>
      <c r="S16" s="14" t="s">
        <v>13</v>
      </c>
      <c r="T16" s="14"/>
      <c r="U16" s="14"/>
      <c r="V16" s="14"/>
      <c r="W16" s="2"/>
      <c r="X16" s="2"/>
      <c r="Y16" s="2"/>
      <c r="Z16" s="2"/>
      <c r="AA16" s="14" t="s">
        <v>14</v>
      </c>
      <c r="AB16" s="14"/>
      <c r="AC16" s="14"/>
      <c r="AD16" s="14"/>
      <c r="AE16" s="2"/>
      <c r="AF16" s="2"/>
    </row>
    <row r="17" spans="1:32" ht="14.65" customHeight="1" x14ac:dyDescent="0.2">
      <c r="A17" s="2"/>
      <c r="B17" s="2"/>
      <c r="C17" s="14"/>
      <c r="D17" s="14"/>
      <c r="E17" s="14"/>
      <c r="F17" s="14"/>
      <c r="G17" s="2"/>
      <c r="H17" s="2"/>
      <c r="I17" s="2"/>
      <c r="J17" s="2"/>
      <c r="K17" s="14"/>
      <c r="L17" s="14"/>
      <c r="M17" s="14"/>
      <c r="N17" s="14"/>
      <c r="O17" s="2"/>
      <c r="P17" s="2"/>
      <c r="Q17" s="2"/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14"/>
      <c r="AE17" s="2"/>
      <c r="AF17" s="2"/>
    </row>
    <row r="18" spans="1:32" ht="17.25" x14ac:dyDescent="0.3">
      <c r="A18" s="2"/>
      <c r="B18" s="2"/>
      <c r="C18" s="2"/>
      <c r="D18" s="3" t="str">
        <f>B15</f>
        <v>Frankreich</v>
      </c>
      <c r="E18" s="3" t="str">
        <f>F15</f>
        <v>Marokko</v>
      </c>
      <c r="F18" s="2"/>
      <c r="G18" s="2"/>
      <c r="H18" s="2"/>
      <c r="I18" s="2"/>
      <c r="J18" s="2"/>
      <c r="K18" s="2"/>
      <c r="L18" s="3" t="str">
        <f>J15</f>
        <v>Spanien</v>
      </c>
      <c r="M18" s="3" t="str">
        <f>N15</f>
        <v>Senegal</v>
      </c>
      <c r="N18" s="2"/>
      <c r="O18" s="2"/>
      <c r="P18" s="2"/>
      <c r="Q18" s="2"/>
      <c r="R18" s="2"/>
      <c r="T18" s="3" t="str">
        <f>R15</f>
        <v>Brasilien</v>
      </c>
      <c r="U18" s="3" t="str">
        <f>V15</f>
        <v>England</v>
      </c>
      <c r="V18" s="2"/>
      <c r="W18" s="2"/>
      <c r="X18" s="2"/>
      <c r="Y18" s="2"/>
      <c r="Z18" s="2"/>
      <c r="AA18" s="2"/>
      <c r="AB18" s="3" t="str">
        <f>Z15</f>
        <v>Argentinien</v>
      </c>
      <c r="AC18" s="3" t="str">
        <f>AD15</f>
        <v>Schweiz</v>
      </c>
      <c r="AE18" s="2"/>
      <c r="AF18" s="2"/>
    </row>
    <row r="19" spans="1:32" x14ac:dyDescent="0.2">
      <c r="A19" s="2"/>
      <c r="B19" s="2"/>
      <c r="C19" s="2"/>
      <c r="D19" s="4">
        <v>4</v>
      </c>
      <c r="E19" s="4">
        <v>5</v>
      </c>
      <c r="F19" s="2"/>
      <c r="G19" s="2"/>
      <c r="H19" s="2"/>
      <c r="I19" s="2"/>
      <c r="J19" s="2"/>
      <c r="K19" s="2"/>
      <c r="L19" s="4">
        <v>3</v>
      </c>
      <c r="M19" s="4">
        <v>1</v>
      </c>
      <c r="N19" s="2"/>
      <c r="O19" s="2"/>
      <c r="P19" s="2"/>
      <c r="Q19" s="2"/>
      <c r="R19" s="2"/>
      <c r="S19" s="2"/>
      <c r="T19" s="4">
        <v>2</v>
      </c>
      <c r="U19" s="4">
        <v>1</v>
      </c>
      <c r="V19" s="2"/>
      <c r="W19" s="2"/>
      <c r="X19" s="2"/>
      <c r="Y19" s="2"/>
      <c r="Z19" s="2"/>
      <c r="AA19" s="2"/>
      <c r="AB19" s="4">
        <v>3</v>
      </c>
      <c r="AC19" s="4">
        <v>1</v>
      </c>
      <c r="AD19" s="2"/>
      <c r="AE19" s="2"/>
      <c r="AF19" s="2"/>
    </row>
    <row r="20" spans="1:32" ht="17.25" x14ac:dyDescent="0.3">
      <c r="A20" s="2"/>
      <c r="B20" s="2"/>
      <c r="C20" s="2"/>
      <c r="D20" s="15" t="str">
        <f>IF(D19=E19,"",IF(D19&gt;E19,D18,E18))</f>
        <v>Marokko</v>
      </c>
      <c r="E20" s="15"/>
      <c r="F20" s="2"/>
      <c r="G20" s="2"/>
      <c r="H20" s="2"/>
      <c r="I20" s="2"/>
      <c r="J20" s="2"/>
      <c r="K20" s="2"/>
      <c r="L20" s="15" t="str">
        <f>IF(L19=M19,"",IF(L19&gt;M19,L18,M18))</f>
        <v>Spanien</v>
      </c>
      <c r="M20" s="15"/>
      <c r="N20" s="2"/>
      <c r="O20" s="2"/>
      <c r="P20" s="2"/>
      <c r="Q20" s="2"/>
      <c r="R20" s="2"/>
      <c r="S20" s="2"/>
      <c r="T20" s="15" t="str">
        <f>IF(T19=U19,"",IF(T19&gt;U19,T18,U18))</f>
        <v>Brasilien</v>
      </c>
      <c r="U20" s="15"/>
      <c r="V20" s="2"/>
      <c r="W20" s="2"/>
      <c r="X20" s="2"/>
      <c r="Y20" s="2"/>
      <c r="Z20" s="2"/>
      <c r="AA20" s="2"/>
      <c r="AB20" s="15" t="str">
        <f>IF(AB19=AC19,"",IF(AB19&gt;AC19,AB18,AC18))</f>
        <v>Argentinien</v>
      </c>
      <c r="AC20" s="15"/>
      <c r="AD20" s="2"/>
      <c r="AE20" s="2"/>
      <c r="AF20" s="2"/>
    </row>
    <row r="21" spans="1:32" ht="14.65" customHeight="1" x14ac:dyDescent="0.3">
      <c r="A21" s="2"/>
      <c r="B21" s="2"/>
      <c r="C21" s="2"/>
      <c r="D21" s="1"/>
      <c r="E21" s="1"/>
      <c r="F21" s="2"/>
      <c r="G21" s="14" t="s">
        <v>15</v>
      </c>
      <c r="H21" s="14"/>
      <c r="I21" s="14"/>
      <c r="J21" s="14"/>
      <c r="K21" s="2"/>
      <c r="L21" s="2"/>
      <c r="M21" s="2"/>
      <c r="N21" s="2"/>
      <c r="O21" s="14" t="s">
        <v>62</v>
      </c>
      <c r="P21" s="14"/>
      <c r="Q21" s="14"/>
      <c r="R21" s="14"/>
      <c r="S21" s="2"/>
      <c r="T21" s="2"/>
      <c r="U21" s="2"/>
      <c r="V21" s="2"/>
      <c r="W21" s="14" t="s">
        <v>16</v>
      </c>
      <c r="X21" s="14"/>
      <c r="Y21" s="14"/>
      <c r="Z21" s="14"/>
      <c r="AA21" s="2"/>
      <c r="AB21" s="2"/>
      <c r="AC21" s="2"/>
      <c r="AD21" s="2"/>
      <c r="AE21" s="2"/>
      <c r="AF21" s="2"/>
    </row>
    <row r="22" spans="1:32" ht="14.65" customHeight="1" x14ac:dyDescent="0.2">
      <c r="A22" s="2"/>
      <c r="B22" s="2"/>
      <c r="C22" s="2"/>
      <c r="D22" s="2"/>
      <c r="E22" s="2"/>
      <c r="F22" s="2"/>
      <c r="G22" s="14"/>
      <c r="H22" s="14"/>
      <c r="I22" s="14"/>
      <c r="J22" s="14"/>
      <c r="K22" s="2"/>
      <c r="L22" s="2"/>
      <c r="M22" s="2"/>
      <c r="N22" s="2"/>
      <c r="O22" s="14"/>
      <c r="P22" s="14"/>
      <c r="Q22" s="14"/>
      <c r="R22" s="14"/>
      <c r="S22" s="2"/>
      <c r="T22" s="2"/>
      <c r="U22" s="2"/>
      <c r="V22" s="2"/>
      <c r="W22" s="14"/>
      <c r="X22" s="14"/>
      <c r="Y22" s="14"/>
      <c r="Z22" s="14"/>
      <c r="AA22" s="2"/>
      <c r="AB22" s="2"/>
      <c r="AC22" s="2"/>
      <c r="AD22" s="2"/>
      <c r="AE22" s="2"/>
      <c r="AF22" s="2"/>
    </row>
    <row r="23" spans="1:32" ht="17.25" x14ac:dyDescent="0.3">
      <c r="A23" s="2"/>
      <c r="B23" s="2"/>
      <c r="C23" s="2"/>
      <c r="D23" s="2"/>
      <c r="E23" s="2"/>
      <c r="F23" s="2"/>
      <c r="G23" s="2"/>
      <c r="H23" s="3" t="str">
        <f>D20</f>
        <v>Marokko</v>
      </c>
      <c r="I23" s="3" t="str">
        <f>L20</f>
        <v>Spanien</v>
      </c>
      <c r="J23" s="2"/>
      <c r="K23" s="2"/>
      <c r="L23" s="2"/>
      <c r="M23" s="2"/>
      <c r="N23" s="2"/>
      <c r="O23" s="2"/>
      <c r="P23" s="3" t="str">
        <f>IF(H24=I24,"",IF(H24&lt;I24,H23,I23))</f>
        <v>Spanien</v>
      </c>
      <c r="Q23" s="3" t="s">
        <v>51</v>
      </c>
      <c r="R23" s="2"/>
      <c r="S23" s="2"/>
      <c r="T23" s="2"/>
      <c r="U23" s="2"/>
      <c r="V23" s="2"/>
      <c r="W23" s="2"/>
      <c r="X23" s="3" t="str">
        <f>T20</f>
        <v>Brasilien</v>
      </c>
      <c r="Y23" s="3" t="str">
        <f>AB20</f>
        <v>Argentinien</v>
      </c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"/>
      <c r="D24" s="2"/>
      <c r="E24" s="2"/>
      <c r="F24" s="2"/>
      <c r="G24" s="2"/>
      <c r="H24" s="4">
        <v>5</v>
      </c>
      <c r="I24" s="4">
        <v>4</v>
      </c>
      <c r="J24" s="2"/>
      <c r="K24" s="2"/>
      <c r="L24" s="2"/>
      <c r="M24" s="2"/>
      <c r="N24" s="2"/>
      <c r="O24" s="2"/>
      <c r="P24" s="4">
        <v>2</v>
      </c>
      <c r="Q24" s="4">
        <v>3</v>
      </c>
      <c r="R24" s="2"/>
      <c r="S24" s="2"/>
      <c r="T24" s="2"/>
      <c r="U24" s="2"/>
      <c r="V24" s="2"/>
      <c r="W24" s="2"/>
      <c r="X24" s="4">
        <v>2</v>
      </c>
      <c r="Y24" s="4">
        <v>1</v>
      </c>
      <c r="Z24" s="2"/>
      <c r="AA24" s="2"/>
      <c r="AB24" s="2"/>
      <c r="AC24" s="2"/>
      <c r="AD24" s="2"/>
      <c r="AE24" s="2"/>
      <c r="AF24" s="2"/>
    </row>
    <row r="25" spans="1:32" ht="17.25" x14ac:dyDescent="0.3">
      <c r="A25" s="2"/>
      <c r="B25" s="2"/>
      <c r="C25" s="2"/>
      <c r="D25" s="2"/>
      <c r="E25" s="2"/>
      <c r="F25" s="2"/>
      <c r="G25" s="2"/>
      <c r="H25" s="15" t="str">
        <f>IF(H24=I24,"",IF(H24&gt;I24,H23,I23))</f>
        <v>Marokko</v>
      </c>
      <c r="I25" s="15"/>
      <c r="J25" s="2"/>
      <c r="K25" s="2"/>
      <c r="L25" s="2"/>
      <c r="M25" s="2"/>
      <c r="N25" s="2"/>
      <c r="O25" s="2"/>
      <c r="P25" s="15" t="str">
        <f>IF(P24=Q24,"",IF(P24&gt;Q24,P23,Q23))</f>
        <v>Argentinien</v>
      </c>
      <c r="Q25" s="15"/>
      <c r="R25" s="2"/>
      <c r="S25" s="2"/>
      <c r="T25" s="2"/>
      <c r="U25" s="2"/>
      <c r="V25" s="2"/>
      <c r="W25" s="2"/>
      <c r="X25" s="15" t="str">
        <f>IF(X24=Y24,"",IF(X24&gt;Y24,X23,Y23))</f>
        <v>Brasilien</v>
      </c>
      <c r="Y25" s="15"/>
      <c r="Z25" s="2"/>
      <c r="AA25" s="2"/>
      <c r="AB25" s="2"/>
      <c r="AC25" s="2"/>
      <c r="AD25" s="2"/>
      <c r="AE25" s="2"/>
      <c r="AF25" s="2"/>
    </row>
    <row r="26" spans="1:32" ht="14.6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 t="s">
        <v>17</v>
      </c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6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7.649999999999999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 t="str">
        <f>H25</f>
        <v>Marokko</v>
      </c>
      <c r="Q28" s="3" t="str">
        <f>X25</f>
        <v>Brasilien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>
        <v>1</v>
      </c>
      <c r="Q29" s="4">
        <v>3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5" t="str">
        <f>IF(P29=Q29,"",IF(P29&gt;Q29,P28,Q28))</f>
        <v>Brasilien</v>
      </c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</row>
    <row r="31" spans="1:3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5:19" ht="14.65" customHeight="1" x14ac:dyDescent="0.55000000000000004">
      <c r="O33" s="19" t="s">
        <v>18</v>
      </c>
      <c r="P33" s="19"/>
      <c r="Q33" s="19"/>
      <c r="R33" s="19"/>
      <c r="S33" s="5"/>
    </row>
    <row r="34" spans="15:19" ht="14.65" customHeight="1" x14ac:dyDescent="0.55000000000000004">
      <c r="O34" s="19"/>
      <c r="P34" s="19"/>
      <c r="Q34" s="19"/>
      <c r="R34" s="19"/>
      <c r="S34" s="5"/>
    </row>
    <row r="35" spans="15:19" ht="14.65" customHeight="1" x14ac:dyDescent="0.2">
      <c r="O35" s="17" t="s">
        <v>69</v>
      </c>
      <c r="P35" s="17"/>
      <c r="Q35" s="17"/>
      <c r="R35" s="18">
        <v>10</v>
      </c>
    </row>
    <row r="36" spans="15:19" ht="14.65" customHeight="1" x14ac:dyDescent="0.2">
      <c r="O36" s="17"/>
      <c r="P36" s="17"/>
      <c r="Q36" s="17"/>
      <c r="R36" s="18"/>
    </row>
    <row r="37" spans="15:19" ht="14.65" customHeight="1" x14ac:dyDescent="0.2">
      <c r="O37" s="17" t="s">
        <v>70</v>
      </c>
      <c r="P37" s="17"/>
      <c r="Q37" s="17"/>
      <c r="R37" s="18">
        <v>20</v>
      </c>
    </row>
    <row r="38" spans="15:19" ht="14.65" customHeight="1" x14ac:dyDescent="0.2">
      <c r="O38" s="17"/>
      <c r="P38" s="17"/>
      <c r="Q38" s="17"/>
      <c r="R38" s="18"/>
    </row>
    <row r="39" spans="15:19" ht="14.65" customHeight="1" x14ac:dyDescent="0.2">
      <c r="O39" s="17" t="s">
        <v>19</v>
      </c>
      <c r="P39" s="17"/>
      <c r="Q39" s="17"/>
      <c r="R39" s="18">
        <v>40</v>
      </c>
    </row>
    <row r="40" spans="15:19" ht="14.65" customHeight="1" x14ac:dyDescent="0.2">
      <c r="O40" s="17"/>
      <c r="P40" s="17"/>
      <c r="Q40" s="17"/>
      <c r="R40" s="18"/>
    </row>
    <row r="41" spans="15:19" ht="14.65" customHeight="1" x14ac:dyDescent="0.2">
      <c r="O41" s="17" t="s">
        <v>20</v>
      </c>
      <c r="P41" s="17"/>
      <c r="Q41" s="17"/>
      <c r="R41" s="18">
        <v>60</v>
      </c>
    </row>
    <row r="42" spans="15:19" ht="14.65" customHeight="1" x14ac:dyDescent="0.2">
      <c r="O42" s="17"/>
      <c r="P42" s="17"/>
      <c r="Q42" s="17"/>
      <c r="R42" s="18"/>
    </row>
    <row r="43" spans="15:19" ht="14.65" customHeight="1" x14ac:dyDescent="0.2">
      <c r="O43" s="12" t="s">
        <v>60</v>
      </c>
      <c r="P43" s="12"/>
      <c r="Q43" s="12"/>
      <c r="R43" s="13">
        <v>40</v>
      </c>
    </row>
    <row r="44" spans="15:19" ht="14.65" customHeight="1" x14ac:dyDescent="0.2">
      <c r="O44" s="12"/>
      <c r="P44" s="12"/>
      <c r="Q44" s="12"/>
      <c r="R44" s="13"/>
    </row>
    <row r="45" spans="15:19" x14ac:dyDescent="0.2">
      <c r="O45" s="12" t="s">
        <v>61</v>
      </c>
      <c r="P45" s="12"/>
      <c r="Q45" s="12"/>
      <c r="R45" s="13">
        <v>80</v>
      </c>
    </row>
    <row r="46" spans="15:19" x14ac:dyDescent="0.2">
      <c r="O46" s="12"/>
      <c r="P46" s="12"/>
      <c r="Q46" s="12"/>
      <c r="R46" s="13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C5D2-C5D4-4601-8D52-D8E2764A7E61}">
  <dimension ref="A1:AF46"/>
  <sheetViews>
    <sheetView workbookViewId="0">
      <selection activeCell="K40" sqref="K40"/>
    </sheetView>
  </sheetViews>
  <sheetFormatPr defaultColWidth="10.4921875" defaultRowHeight="15" x14ac:dyDescent="0.2"/>
  <cols>
    <col min="1" max="1" width="10.4921875" style="6" customWidth="1"/>
    <col min="2" max="31" width="16.8125" style="6" customWidth="1"/>
    <col min="32" max="33" width="11.43359375" style="6" customWidth="1"/>
    <col min="34" max="36" width="10.4921875" style="6" customWidth="1"/>
    <col min="37" max="38" width="11.43359375" style="6" customWidth="1"/>
    <col min="39" max="39" width="10.4921875" style="6" customWidth="1"/>
    <col min="40" max="16384" width="10.4921875" style="6"/>
  </cols>
  <sheetData>
    <row r="1" spans="1:32" x14ac:dyDescent="0.2">
      <c r="A1" s="24" t="s">
        <v>21</v>
      </c>
      <c r="B1" s="27"/>
      <c r="C1" s="27"/>
      <c r="D1" s="27"/>
      <c r="E1" s="24" t="s">
        <v>25</v>
      </c>
      <c r="F1" s="27"/>
      <c r="G1" s="27"/>
      <c r="H1" s="27"/>
      <c r="I1" s="24" t="s">
        <v>30</v>
      </c>
      <c r="J1" s="27"/>
      <c r="K1" s="27"/>
      <c r="L1" s="27"/>
      <c r="M1" s="24" t="s">
        <v>33</v>
      </c>
      <c r="N1" s="27"/>
      <c r="O1" s="27"/>
      <c r="P1" s="27"/>
      <c r="Q1" s="24" t="s">
        <v>38</v>
      </c>
      <c r="R1" s="27"/>
      <c r="S1" s="27"/>
      <c r="T1" s="27"/>
      <c r="U1" s="24" t="s">
        <v>44</v>
      </c>
      <c r="V1" s="27"/>
      <c r="W1" s="27"/>
      <c r="X1" s="27"/>
      <c r="Y1" s="24" t="s">
        <v>49</v>
      </c>
      <c r="Z1" s="27"/>
      <c r="AA1" s="27"/>
      <c r="AB1" s="27"/>
      <c r="AC1" s="24" t="s">
        <v>55</v>
      </c>
      <c r="AD1" s="27"/>
      <c r="AE1" s="27"/>
      <c r="AF1" s="27"/>
    </row>
    <row r="2" spans="1:32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</row>
    <row r="3" spans="1:32" ht="16.5" customHeight="1" x14ac:dyDescent="0.3">
      <c r="A3" s="7"/>
      <c r="B3" s="8" t="s">
        <v>3</v>
      </c>
      <c r="C3" s="8" t="s">
        <v>23</v>
      </c>
      <c r="D3" s="7"/>
      <c r="E3" s="7"/>
      <c r="F3" s="8" t="s">
        <v>27</v>
      </c>
      <c r="G3" s="8" t="s">
        <v>28</v>
      </c>
      <c r="H3" s="7"/>
      <c r="I3" s="7"/>
      <c r="J3" s="8" t="s">
        <v>4</v>
      </c>
      <c r="K3" s="8" t="s">
        <v>32</v>
      </c>
      <c r="L3" s="7"/>
      <c r="M3" s="7"/>
      <c r="N3" s="8" t="s">
        <v>35</v>
      </c>
      <c r="O3" s="8" t="s">
        <v>36</v>
      </c>
      <c r="P3" s="7"/>
      <c r="Q3" s="7"/>
      <c r="R3" s="8" t="s">
        <v>40</v>
      </c>
      <c r="S3" s="8" t="s">
        <v>41</v>
      </c>
      <c r="T3" s="7"/>
      <c r="U3" s="7"/>
      <c r="V3" s="8" t="s">
        <v>46</v>
      </c>
      <c r="W3" s="8" t="s">
        <v>47</v>
      </c>
      <c r="X3" s="7"/>
      <c r="Y3" s="7"/>
      <c r="Z3" s="8" t="s">
        <v>51</v>
      </c>
      <c r="AA3" s="8" t="s">
        <v>52</v>
      </c>
      <c r="AB3" s="7"/>
      <c r="AC3" s="7"/>
      <c r="AD3" s="8" t="s">
        <v>10</v>
      </c>
      <c r="AE3" s="8" t="s">
        <v>57</v>
      </c>
      <c r="AF3" s="7"/>
    </row>
    <row r="4" spans="1:32" x14ac:dyDescent="0.2">
      <c r="A4" s="7"/>
      <c r="B4" s="9">
        <v>2</v>
      </c>
      <c r="C4" s="9">
        <v>0</v>
      </c>
      <c r="D4" s="7"/>
      <c r="E4" s="7"/>
      <c r="F4" s="9">
        <v>1</v>
      </c>
      <c r="G4" s="9">
        <v>2</v>
      </c>
      <c r="H4" s="7"/>
      <c r="I4" s="7"/>
      <c r="J4" s="9">
        <v>2</v>
      </c>
      <c r="K4" s="9">
        <v>1</v>
      </c>
      <c r="L4" s="7"/>
      <c r="M4" s="7"/>
      <c r="N4" s="9">
        <v>2</v>
      </c>
      <c r="O4" s="9">
        <v>0</v>
      </c>
      <c r="P4" s="7"/>
      <c r="Q4" s="7"/>
      <c r="R4" s="9">
        <v>2</v>
      </c>
      <c r="S4" s="9">
        <v>1</v>
      </c>
      <c r="T4" s="7"/>
      <c r="U4" s="7"/>
      <c r="V4" s="9">
        <v>2</v>
      </c>
      <c r="W4" s="9">
        <v>1</v>
      </c>
      <c r="X4" s="7"/>
      <c r="Y4" s="7"/>
      <c r="Z4" s="9">
        <v>3</v>
      </c>
      <c r="AA4" s="9">
        <v>0</v>
      </c>
      <c r="AB4" s="7"/>
      <c r="AC4" s="7"/>
      <c r="AD4" s="9">
        <v>2</v>
      </c>
      <c r="AE4" s="9">
        <v>0</v>
      </c>
      <c r="AF4" s="7"/>
    </row>
    <row r="5" spans="1:32" ht="16.5" customHeight="1" x14ac:dyDescent="0.3">
      <c r="A5" s="7"/>
      <c r="B5" s="25" t="str">
        <f>IF(B4=C4,"",IF(B4&gt;C4,B3,C3))</f>
        <v>Deutschland</v>
      </c>
      <c r="C5" s="28"/>
      <c r="D5" s="7"/>
      <c r="E5" s="7"/>
      <c r="F5" s="25" t="str">
        <f>IF(F4=G4,"",IF(F4&gt;G4,F3,G3))</f>
        <v>Kanada</v>
      </c>
      <c r="G5" s="28"/>
      <c r="H5" s="7"/>
      <c r="I5" s="7"/>
      <c r="J5" s="25" t="str">
        <f>IF(J4=K4,"",IF(J4&gt;K4,J3,K3))</f>
        <v>Portugal</v>
      </c>
      <c r="K5" s="28"/>
      <c r="L5" s="7"/>
      <c r="M5" s="7"/>
      <c r="N5" s="25" t="str">
        <f>IF(N4=O4,"",IF(N4&gt;O4,N3,O3))</f>
        <v>USA</v>
      </c>
      <c r="O5" s="28"/>
      <c r="P5" s="7"/>
      <c r="Q5" s="7"/>
      <c r="R5" s="25" t="str">
        <f>IF(R4=S4,"",IF(R4&gt;S4,R3,S3))</f>
        <v>Brasilien</v>
      </c>
      <c r="S5" s="28"/>
      <c r="T5" s="7"/>
      <c r="U5" s="7"/>
      <c r="V5" s="25" t="str">
        <f>IF(V4=W4,"",IF(V4&gt;W4,V3,W3))</f>
        <v>Mexiko</v>
      </c>
      <c r="W5" s="28"/>
      <c r="X5" s="7"/>
      <c r="Y5" s="7"/>
      <c r="Z5" s="25" t="str">
        <f>IF(Z4=AA4,"",IF(Z4&gt;AA4,Z3,AA3))</f>
        <v>Argentinien</v>
      </c>
      <c r="AA5" s="28"/>
      <c r="AB5" s="7"/>
      <c r="AC5" s="7"/>
      <c r="AD5" s="25" t="str">
        <f>IF(AD4=AE4,"",IF(AD4&gt;AE4,AD3,AE3))</f>
        <v>Schweiz</v>
      </c>
      <c r="AE5" s="28"/>
      <c r="AF5" s="7"/>
    </row>
    <row r="6" spans="1:32" x14ac:dyDescent="0.2">
      <c r="A6" s="24" t="s">
        <v>22</v>
      </c>
      <c r="B6" s="27"/>
      <c r="C6" s="27"/>
      <c r="D6" s="27"/>
      <c r="E6" s="24" t="s">
        <v>26</v>
      </c>
      <c r="F6" s="27"/>
      <c r="G6" s="27"/>
      <c r="H6" s="27"/>
      <c r="I6" s="24" t="s">
        <v>31</v>
      </c>
      <c r="J6" s="27"/>
      <c r="K6" s="27"/>
      <c r="L6" s="27"/>
      <c r="M6" s="24" t="s">
        <v>34</v>
      </c>
      <c r="N6" s="27"/>
      <c r="O6" s="27"/>
      <c r="P6" s="27"/>
      <c r="Q6" s="24" t="s">
        <v>39</v>
      </c>
      <c r="R6" s="27"/>
      <c r="S6" s="27"/>
      <c r="T6" s="27"/>
      <c r="U6" s="24" t="s">
        <v>45</v>
      </c>
      <c r="V6" s="27"/>
      <c r="W6" s="27"/>
      <c r="X6" s="27"/>
      <c r="Y6" s="24" t="s">
        <v>50</v>
      </c>
      <c r="Z6" s="27"/>
      <c r="AA6" s="27"/>
      <c r="AB6" s="27"/>
      <c r="AC6" s="24" t="s">
        <v>56</v>
      </c>
      <c r="AD6" s="27"/>
      <c r="AE6" s="27"/>
      <c r="AF6" s="27"/>
    </row>
    <row r="7" spans="1:32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</row>
    <row r="8" spans="1:32" ht="16.5" customHeight="1" x14ac:dyDescent="0.3">
      <c r="A8" s="7"/>
      <c r="B8" s="8" t="s">
        <v>5</v>
      </c>
      <c r="C8" s="8" t="s">
        <v>24</v>
      </c>
      <c r="D8" s="7"/>
      <c r="E8" s="7"/>
      <c r="F8" s="8" t="s">
        <v>7</v>
      </c>
      <c r="G8" s="8" t="s">
        <v>29</v>
      </c>
      <c r="H8" s="7"/>
      <c r="I8" s="7"/>
      <c r="J8" s="8" t="s">
        <v>2</v>
      </c>
      <c r="K8" s="8" t="s">
        <v>8</v>
      </c>
      <c r="L8" s="7"/>
      <c r="M8" s="7"/>
      <c r="N8" s="8" t="s">
        <v>6</v>
      </c>
      <c r="O8" s="8" t="s">
        <v>37</v>
      </c>
      <c r="P8" s="7"/>
      <c r="Q8" s="7"/>
      <c r="R8" s="8" t="s">
        <v>42</v>
      </c>
      <c r="S8" s="8" t="s">
        <v>43</v>
      </c>
      <c r="T8" s="7"/>
      <c r="U8" s="7"/>
      <c r="V8" s="8" t="s">
        <v>9</v>
      </c>
      <c r="W8" s="8" t="s">
        <v>48</v>
      </c>
      <c r="X8" s="7"/>
      <c r="Y8" s="7"/>
      <c r="Z8" s="8" t="s">
        <v>53</v>
      </c>
      <c r="AA8" s="8" t="s">
        <v>54</v>
      </c>
      <c r="AB8" s="7"/>
      <c r="AC8" s="7"/>
      <c r="AD8" s="8" t="s">
        <v>58</v>
      </c>
      <c r="AE8" s="8" t="s">
        <v>59</v>
      </c>
      <c r="AF8" s="7"/>
    </row>
    <row r="9" spans="1:32" x14ac:dyDescent="0.2">
      <c r="A9" s="7"/>
      <c r="B9" s="9">
        <v>2</v>
      </c>
      <c r="C9" s="9">
        <v>0</v>
      </c>
      <c r="D9" s="7"/>
      <c r="E9" s="7"/>
      <c r="F9" s="9">
        <v>2</v>
      </c>
      <c r="G9" s="9">
        <v>1</v>
      </c>
      <c r="H9" s="7"/>
      <c r="I9" s="7"/>
      <c r="J9" s="9">
        <v>3</v>
      </c>
      <c r="K9" s="9">
        <v>0</v>
      </c>
      <c r="L9" s="7"/>
      <c r="M9" s="7"/>
      <c r="N9" s="9">
        <v>2</v>
      </c>
      <c r="O9" s="9">
        <v>1</v>
      </c>
      <c r="P9" s="7"/>
      <c r="Q9" s="7"/>
      <c r="R9" s="9">
        <v>1</v>
      </c>
      <c r="S9" s="9">
        <v>2</v>
      </c>
      <c r="T9" s="7"/>
      <c r="U9" s="7"/>
      <c r="V9" s="9">
        <v>3</v>
      </c>
      <c r="W9" s="9">
        <v>0</v>
      </c>
      <c r="X9" s="7"/>
      <c r="Y9" s="7"/>
      <c r="Z9" s="9">
        <v>1</v>
      </c>
      <c r="AA9" s="9">
        <v>2</v>
      </c>
      <c r="AB9" s="7"/>
      <c r="AC9" s="7"/>
      <c r="AD9" s="9">
        <v>2</v>
      </c>
      <c r="AE9" s="9">
        <v>0</v>
      </c>
      <c r="AF9" s="7"/>
    </row>
    <row r="10" spans="1:32" ht="16.5" customHeight="1" x14ac:dyDescent="0.3">
      <c r="A10" s="7"/>
      <c r="B10" s="25" t="str">
        <f>IF(B9=C9,"",IF(B9&gt;C9,B8,C8))</f>
        <v>Frankreich</v>
      </c>
      <c r="C10" s="28"/>
      <c r="D10" s="7"/>
      <c r="E10" s="7"/>
      <c r="F10" s="25" t="str">
        <f>IF(F9=G9,"",IF(F9&gt;G9,F8,G8))</f>
        <v>Niederlande</v>
      </c>
      <c r="G10" s="28"/>
      <c r="H10" s="7"/>
      <c r="I10" s="7"/>
      <c r="J10" s="25" t="str">
        <f>IF(J9=K9,"",IF(J9&gt;K9,J8,K8))</f>
        <v>Spanien</v>
      </c>
      <c r="K10" s="28"/>
      <c r="L10" s="7"/>
      <c r="M10" s="7"/>
      <c r="N10" s="25" t="str">
        <f>IF(N9=O9,"",IF(N9&gt;O9,N8,O8))</f>
        <v>Belgien</v>
      </c>
      <c r="O10" s="28"/>
      <c r="P10" s="7"/>
      <c r="Q10" s="7"/>
      <c r="R10" s="25" t="str">
        <f>IF(R9=S9,"",IF(R9&gt;S9,R8,S8))</f>
        <v>Norwegen</v>
      </c>
      <c r="S10" s="28"/>
      <c r="T10" s="7"/>
      <c r="U10" s="7"/>
      <c r="V10" s="25" t="str">
        <f>IF(V9=W9,"",IF(V9&gt;W9,V8,W8))</f>
        <v>England</v>
      </c>
      <c r="W10" s="28"/>
      <c r="X10" s="7"/>
      <c r="Y10" s="7"/>
      <c r="Z10" s="25" t="str">
        <f>IF(Z9=AA9,"",IF(Z9&gt;AA9,Z8,AA8))</f>
        <v>Ägypten</v>
      </c>
      <c r="AA10" s="28"/>
      <c r="AB10" s="7"/>
      <c r="AC10" s="7"/>
      <c r="AD10" s="25" t="str">
        <f>IF(AD9=AE9,"",IF(AD9&gt;AE9,AD8,AE8))</f>
        <v>Kolumbien</v>
      </c>
      <c r="AE10" s="28"/>
      <c r="AF10" s="7"/>
    </row>
    <row r="11" spans="1:32" ht="14.25" customHeight="1" x14ac:dyDescent="0.2">
      <c r="A11" s="24" t="s">
        <v>0</v>
      </c>
      <c r="B11" s="27"/>
      <c r="C11" s="27"/>
      <c r="D11" s="27"/>
      <c r="E11" s="24" t="s">
        <v>1</v>
      </c>
      <c r="F11" s="27"/>
      <c r="G11" s="27"/>
      <c r="H11" s="27"/>
      <c r="I11" s="24" t="s">
        <v>63</v>
      </c>
      <c r="J11" s="27"/>
      <c r="K11" s="27"/>
      <c r="L11" s="27"/>
      <c r="M11" s="24" t="s">
        <v>64</v>
      </c>
      <c r="N11" s="27"/>
      <c r="O11" s="27"/>
      <c r="P11" s="27"/>
      <c r="Q11" s="24" t="s">
        <v>65</v>
      </c>
      <c r="R11" s="27"/>
      <c r="S11" s="27"/>
      <c r="T11" s="27"/>
      <c r="U11" s="24" t="s">
        <v>66</v>
      </c>
      <c r="V11" s="27"/>
      <c r="W11" s="27"/>
      <c r="X11" s="27"/>
      <c r="Y11" s="24" t="s">
        <v>67</v>
      </c>
      <c r="Z11" s="27"/>
      <c r="AA11" s="27"/>
      <c r="AB11" s="27"/>
      <c r="AC11" s="24" t="s">
        <v>68</v>
      </c>
      <c r="AD11" s="27"/>
      <c r="AE11" s="27"/>
      <c r="AF11" s="27"/>
    </row>
    <row r="12" spans="1:32" ht="14.25" customHeight="1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</row>
    <row r="13" spans="1:32" ht="16.5" customHeight="1" x14ac:dyDescent="0.3">
      <c r="A13" s="7"/>
      <c r="B13" s="8" t="str">
        <f>B5</f>
        <v>Deutschland</v>
      </c>
      <c r="C13" s="8" t="str">
        <f>B10</f>
        <v>Frankreich</v>
      </c>
      <c r="D13" s="7"/>
      <c r="E13" s="7"/>
      <c r="F13" s="8" t="str">
        <f>F5</f>
        <v>Kanada</v>
      </c>
      <c r="G13" s="8" t="str">
        <f>F10</f>
        <v>Niederlande</v>
      </c>
      <c r="H13" s="7"/>
      <c r="I13" s="7"/>
      <c r="J13" s="8" t="str">
        <f>J5</f>
        <v>Portugal</v>
      </c>
      <c r="K13" s="8" t="str">
        <f>J10</f>
        <v>Spanien</v>
      </c>
      <c r="L13" s="7"/>
      <c r="M13" s="7"/>
      <c r="N13" s="8" t="str">
        <f>N5</f>
        <v>USA</v>
      </c>
      <c r="O13" s="8" t="str">
        <f>N10</f>
        <v>Belgien</v>
      </c>
      <c r="P13" s="7"/>
      <c r="Q13" s="7"/>
      <c r="R13" s="8" t="str">
        <f>R5</f>
        <v>Brasilien</v>
      </c>
      <c r="S13" s="8" t="str">
        <f>R10</f>
        <v>Norwegen</v>
      </c>
      <c r="T13" s="7"/>
      <c r="U13" s="7"/>
      <c r="V13" s="8" t="str">
        <f>V5</f>
        <v>Mexiko</v>
      </c>
      <c r="W13" s="8" t="str">
        <f>V10</f>
        <v>England</v>
      </c>
      <c r="X13" s="7"/>
      <c r="Y13" s="7"/>
      <c r="Z13" s="8" t="str">
        <f>Z5</f>
        <v>Argentinien</v>
      </c>
      <c r="AA13" s="8" t="str">
        <f>Z10</f>
        <v>Ägypten</v>
      </c>
      <c r="AB13" s="7"/>
      <c r="AC13" s="7"/>
      <c r="AD13" s="8" t="str">
        <f>AD5</f>
        <v>Schweiz</v>
      </c>
      <c r="AE13" s="8" t="str">
        <f>AD10</f>
        <v>Kolumbien</v>
      </c>
      <c r="AF13" s="7"/>
    </row>
    <row r="14" spans="1:32" x14ac:dyDescent="0.2">
      <c r="A14" s="7"/>
      <c r="B14" s="9">
        <v>1</v>
      </c>
      <c r="C14" s="9">
        <v>2</v>
      </c>
      <c r="D14" s="7"/>
      <c r="E14" s="7"/>
      <c r="F14" s="9">
        <v>0</v>
      </c>
      <c r="G14" s="9">
        <v>2</v>
      </c>
      <c r="H14" s="7"/>
      <c r="I14" s="7"/>
      <c r="J14" s="9">
        <v>1</v>
      </c>
      <c r="K14" s="9">
        <v>2</v>
      </c>
      <c r="L14" s="7"/>
      <c r="M14" s="7"/>
      <c r="N14" s="9">
        <v>1</v>
      </c>
      <c r="O14" s="9">
        <v>2</v>
      </c>
      <c r="P14" s="7"/>
      <c r="Q14" s="7"/>
      <c r="R14" s="9">
        <v>3</v>
      </c>
      <c r="S14" s="9">
        <v>1</v>
      </c>
      <c r="T14" s="7"/>
      <c r="U14" s="7"/>
      <c r="V14" s="9">
        <v>1</v>
      </c>
      <c r="W14" s="9">
        <v>2</v>
      </c>
      <c r="X14" s="7"/>
      <c r="Y14" s="7"/>
      <c r="Z14" s="9">
        <v>3</v>
      </c>
      <c r="AA14" s="9">
        <v>0</v>
      </c>
      <c r="AB14" s="7"/>
      <c r="AC14" s="7"/>
      <c r="AD14" s="9">
        <v>2</v>
      </c>
      <c r="AE14" s="9">
        <v>1</v>
      </c>
      <c r="AF14" s="7"/>
    </row>
    <row r="15" spans="1:32" ht="16.5" customHeight="1" x14ac:dyDescent="0.3">
      <c r="A15" s="7"/>
      <c r="B15" s="25" t="str">
        <f>IF(B14=C14,"",IF(B14&gt;C14,B13,C13))</f>
        <v>Frankreich</v>
      </c>
      <c r="C15" s="28"/>
      <c r="D15" s="7"/>
      <c r="E15" s="7"/>
      <c r="F15" s="25" t="str">
        <f>IF(F14=G14,"",IF(F14&gt;G14,F13,G13))</f>
        <v>Niederlande</v>
      </c>
      <c r="G15" s="28"/>
      <c r="H15" s="7"/>
      <c r="I15" s="7"/>
      <c r="J15" s="25" t="str">
        <f>IF(J14=K14,"",IF(J14&gt;K14,J13,K13))</f>
        <v>Spanien</v>
      </c>
      <c r="K15" s="28"/>
      <c r="L15" s="7"/>
      <c r="M15" s="7"/>
      <c r="N15" s="25" t="str">
        <f>IF(N14=O14,"",IF(N14&gt;O14,N13,O13))</f>
        <v>Belgien</v>
      </c>
      <c r="O15" s="28"/>
      <c r="P15" s="7"/>
      <c r="Q15" s="7"/>
      <c r="R15" s="25" t="str">
        <f>IF(R14=S14,"",IF(R14&gt;S14,R13,S13))</f>
        <v>Brasilien</v>
      </c>
      <c r="S15" s="28"/>
      <c r="T15" s="7"/>
      <c r="U15" s="7"/>
      <c r="V15" s="25" t="str">
        <f>IF(V14=W14,"",IF(V14&gt;W14,V13,W13))</f>
        <v>England</v>
      </c>
      <c r="W15" s="28"/>
      <c r="X15" s="7"/>
      <c r="Y15" s="7"/>
      <c r="Z15" s="25" t="str">
        <f>IF(Z14=AA14,"",IF(Z14&gt;AA14,Z13,AA13))</f>
        <v>Argentinien</v>
      </c>
      <c r="AA15" s="28"/>
      <c r="AB15" s="7"/>
      <c r="AC15" s="7"/>
      <c r="AD15" s="25" t="str">
        <f>IF(AD14=AE14,"",IF(AD14&gt;AE14,AD13,AE13))</f>
        <v>Schweiz</v>
      </c>
      <c r="AE15" s="28"/>
      <c r="AF15" s="7"/>
    </row>
    <row r="16" spans="1:32" ht="14.25" customHeight="1" x14ac:dyDescent="0.2">
      <c r="A16" s="7"/>
      <c r="B16" s="7"/>
      <c r="C16" s="24" t="s">
        <v>11</v>
      </c>
      <c r="D16" s="27"/>
      <c r="E16" s="27"/>
      <c r="F16" s="27"/>
      <c r="G16" s="7"/>
      <c r="H16" s="7"/>
      <c r="I16" s="7"/>
      <c r="J16" s="7"/>
      <c r="K16" s="24" t="s">
        <v>12</v>
      </c>
      <c r="L16" s="27"/>
      <c r="M16" s="27"/>
      <c r="N16" s="27"/>
      <c r="O16" s="7"/>
      <c r="P16" s="7"/>
      <c r="Q16" s="7"/>
      <c r="R16" s="7"/>
      <c r="S16" s="24" t="s">
        <v>13</v>
      </c>
      <c r="T16" s="27"/>
      <c r="U16" s="27"/>
      <c r="V16" s="27"/>
      <c r="W16" s="7"/>
      <c r="X16" s="7"/>
      <c r="Y16" s="7"/>
      <c r="Z16" s="7"/>
      <c r="AA16" s="24" t="s">
        <v>14</v>
      </c>
      <c r="AB16" s="27"/>
      <c r="AC16" s="27"/>
      <c r="AD16" s="27"/>
      <c r="AE16" s="7"/>
      <c r="AF16" s="7"/>
    </row>
    <row r="17" spans="1:32" ht="14.25" customHeight="1" x14ac:dyDescent="0.2">
      <c r="A17" s="7"/>
      <c r="B17" s="7"/>
      <c r="C17" s="27"/>
      <c r="D17" s="27"/>
      <c r="E17" s="27"/>
      <c r="F17" s="27"/>
      <c r="G17" s="7"/>
      <c r="H17" s="7"/>
      <c r="I17" s="7"/>
      <c r="J17" s="7"/>
      <c r="K17" s="27"/>
      <c r="L17" s="27"/>
      <c r="M17" s="27"/>
      <c r="N17" s="27"/>
      <c r="O17" s="7"/>
      <c r="P17" s="7"/>
      <c r="Q17" s="7"/>
      <c r="R17" s="7"/>
      <c r="S17" s="27"/>
      <c r="T17" s="27"/>
      <c r="U17" s="27"/>
      <c r="V17" s="27"/>
      <c r="W17" s="7"/>
      <c r="X17" s="7"/>
      <c r="Y17" s="7"/>
      <c r="Z17" s="7"/>
      <c r="AA17" s="27"/>
      <c r="AB17" s="27"/>
      <c r="AC17" s="27"/>
      <c r="AD17" s="27"/>
      <c r="AE17" s="7"/>
      <c r="AF17" s="7"/>
    </row>
    <row r="18" spans="1:32" ht="16.5" customHeight="1" x14ac:dyDescent="0.3">
      <c r="A18" s="7"/>
      <c r="B18" s="7"/>
      <c r="C18" s="7"/>
      <c r="D18" s="8" t="str">
        <f>B15</f>
        <v>Frankreich</v>
      </c>
      <c r="E18" s="8" t="str">
        <f>F15</f>
        <v>Niederlande</v>
      </c>
      <c r="F18" s="7"/>
      <c r="G18" s="7"/>
      <c r="H18" s="7"/>
      <c r="I18" s="7"/>
      <c r="J18" s="7"/>
      <c r="K18" s="7"/>
      <c r="L18" s="8" t="str">
        <f>J15</f>
        <v>Spanien</v>
      </c>
      <c r="M18" s="8" t="str">
        <f>N15</f>
        <v>Belgien</v>
      </c>
      <c r="N18" s="7"/>
      <c r="O18" s="7"/>
      <c r="P18" s="7"/>
      <c r="Q18" s="7"/>
      <c r="R18" s="7"/>
      <c r="T18" s="8" t="str">
        <f>R15</f>
        <v>Brasilien</v>
      </c>
      <c r="U18" s="8" t="str">
        <f>V15</f>
        <v>England</v>
      </c>
      <c r="V18" s="7"/>
      <c r="W18" s="7"/>
      <c r="X18" s="7"/>
      <c r="Y18" s="7"/>
      <c r="Z18" s="7"/>
      <c r="AA18" s="7"/>
      <c r="AB18" s="8" t="str">
        <f>Z15</f>
        <v>Argentinien</v>
      </c>
      <c r="AC18" s="8" t="str">
        <f>AD15</f>
        <v>Schweiz</v>
      </c>
      <c r="AE18" s="7"/>
      <c r="AF18" s="7"/>
    </row>
    <row r="19" spans="1:32" x14ac:dyDescent="0.2">
      <c r="A19" s="7"/>
      <c r="B19" s="7"/>
      <c r="C19" s="7"/>
      <c r="D19" s="9">
        <v>2</v>
      </c>
      <c r="E19" s="9">
        <v>1</v>
      </c>
      <c r="F19" s="7"/>
      <c r="G19" s="7"/>
      <c r="H19" s="7"/>
      <c r="I19" s="7"/>
      <c r="J19" s="7"/>
      <c r="K19" s="7"/>
      <c r="L19" s="9">
        <v>2</v>
      </c>
      <c r="M19" s="9">
        <v>0</v>
      </c>
      <c r="N19" s="7"/>
      <c r="O19" s="7"/>
      <c r="P19" s="7"/>
      <c r="Q19" s="7"/>
      <c r="R19" s="7"/>
      <c r="S19" s="7"/>
      <c r="T19" s="9">
        <v>2</v>
      </c>
      <c r="U19" s="9">
        <v>1</v>
      </c>
      <c r="V19" s="7"/>
      <c r="W19" s="7"/>
      <c r="X19" s="7"/>
      <c r="Y19" s="7"/>
      <c r="Z19" s="7"/>
      <c r="AA19" s="7"/>
      <c r="AB19" s="9">
        <v>2</v>
      </c>
      <c r="AC19" s="9">
        <v>0</v>
      </c>
      <c r="AD19" s="7"/>
      <c r="AE19" s="7"/>
      <c r="AF19" s="7"/>
    </row>
    <row r="20" spans="1:32" ht="16.5" customHeight="1" x14ac:dyDescent="0.3">
      <c r="A20" s="7"/>
      <c r="B20" s="7"/>
      <c r="C20" s="7"/>
      <c r="D20" s="25" t="str">
        <f>IF(D19=E19,"",IF(D19&gt;E19,D18,E18))</f>
        <v>Frankreich</v>
      </c>
      <c r="E20" s="28"/>
      <c r="F20" s="7"/>
      <c r="G20" s="7"/>
      <c r="H20" s="7"/>
      <c r="I20" s="7"/>
      <c r="J20" s="7"/>
      <c r="K20" s="7"/>
      <c r="L20" s="25" t="str">
        <f>IF(L19=M19,"",IF(L19&gt;M19,L18,M18))</f>
        <v>Spanien</v>
      </c>
      <c r="M20" s="28"/>
      <c r="N20" s="7"/>
      <c r="O20" s="7"/>
      <c r="P20" s="7"/>
      <c r="Q20" s="7"/>
      <c r="R20" s="7"/>
      <c r="S20" s="7"/>
      <c r="T20" s="25" t="str">
        <f>IF(T19=U19,"",IF(T19&gt;U19,T18,U18))</f>
        <v>Brasilien</v>
      </c>
      <c r="U20" s="28"/>
      <c r="V20" s="7"/>
      <c r="W20" s="7"/>
      <c r="X20" s="7"/>
      <c r="Y20" s="7"/>
      <c r="Z20" s="7"/>
      <c r="AA20" s="7"/>
      <c r="AB20" s="25" t="str">
        <f>IF(AB19=AC19,"",IF(AB19&gt;AC19,AB18,AC18))</f>
        <v>Argentinien</v>
      </c>
      <c r="AC20" s="28"/>
      <c r="AD20" s="7"/>
      <c r="AE20" s="7"/>
      <c r="AF20" s="7"/>
    </row>
    <row r="21" spans="1:32" ht="14.25" customHeight="1" x14ac:dyDescent="0.3">
      <c r="A21" s="7"/>
      <c r="B21" s="7"/>
      <c r="C21" s="7"/>
      <c r="D21" s="10"/>
      <c r="E21" s="10"/>
      <c r="F21" s="7"/>
      <c r="G21" s="24" t="s">
        <v>15</v>
      </c>
      <c r="H21" s="27"/>
      <c r="I21" s="27"/>
      <c r="J21" s="27"/>
      <c r="K21" s="7"/>
      <c r="L21" s="7"/>
      <c r="M21" s="7"/>
      <c r="N21" s="7"/>
      <c r="O21" s="24" t="s">
        <v>62</v>
      </c>
      <c r="P21" s="27"/>
      <c r="Q21" s="27"/>
      <c r="R21" s="27"/>
      <c r="S21" s="7"/>
      <c r="T21" s="7"/>
      <c r="U21" s="7"/>
      <c r="V21" s="7"/>
      <c r="W21" s="24" t="s">
        <v>16</v>
      </c>
      <c r="X21" s="27"/>
      <c r="Y21" s="27"/>
      <c r="Z21" s="27"/>
      <c r="AA21" s="7"/>
      <c r="AB21" s="7"/>
      <c r="AC21" s="7"/>
      <c r="AD21" s="7"/>
      <c r="AE21" s="7"/>
      <c r="AF21" s="7"/>
    </row>
    <row r="22" spans="1:32" ht="14.25" customHeight="1" x14ac:dyDescent="0.2">
      <c r="A22" s="7"/>
      <c r="B22" s="7"/>
      <c r="C22" s="7"/>
      <c r="D22" s="7"/>
      <c r="E22" s="7"/>
      <c r="F22" s="7"/>
      <c r="G22" s="27"/>
      <c r="H22" s="27"/>
      <c r="I22" s="27"/>
      <c r="J22" s="27"/>
      <c r="K22" s="7"/>
      <c r="L22" s="7"/>
      <c r="M22" s="7"/>
      <c r="N22" s="7"/>
      <c r="O22" s="27"/>
      <c r="P22" s="27"/>
      <c r="Q22" s="27"/>
      <c r="R22" s="27"/>
      <c r="S22" s="7"/>
      <c r="T22" s="7"/>
      <c r="U22" s="7"/>
      <c r="V22" s="7"/>
      <c r="W22" s="27"/>
      <c r="X22" s="27"/>
      <c r="Y22" s="27"/>
      <c r="Z22" s="27"/>
      <c r="AA22" s="7"/>
      <c r="AB22" s="7"/>
      <c r="AC22" s="7"/>
      <c r="AD22" s="7"/>
      <c r="AE22" s="7"/>
      <c r="AF22" s="7"/>
    </row>
    <row r="23" spans="1:32" ht="16.5" customHeight="1" x14ac:dyDescent="0.3">
      <c r="A23" s="7"/>
      <c r="B23" s="7"/>
      <c r="C23" s="7"/>
      <c r="D23" s="7"/>
      <c r="E23" s="7"/>
      <c r="F23" s="7"/>
      <c r="G23" s="7"/>
      <c r="H23" s="8" t="str">
        <f>D20</f>
        <v>Frankreich</v>
      </c>
      <c r="I23" s="8" t="str">
        <f>L20</f>
        <v>Spanien</v>
      </c>
      <c r="J23" s="7"/>
      <c r="K23" s="7"/>
      <c r="L23" s="7"/>
      <c r="M23" s="7"/>
      <c r="N23" s="7"/>
      <c r="O23" s="7"/>
      <c r="P23" s="8" t="str">
        <f>IF(H24=I24,"",IF(H24&lt;I24,H23,I23))</f>
        <v>Frankreich</v>
      </c>
      <c r="Q23" s="8" t="str">
        <f>IF(X24=Y24,"",IF(X24&lt;Y24,X23,Y23))</f>
        <v>Brasilien</v>
      </c>
      <c r="R23" s="7"/>
      <c r="S23" s="7"/>
      <c r="T23" s="7"/>
      <c r="U23" s="7"/>
      <c r="V23" s="7"/>
      <c r="W23" s="7"/>
      <c r="X23" s="8" t="str">
        <f>T20</f>
        <v>Brasilien</v>
      </c>
      <c r="Y23" s="8" t="str">
        <f>AB20</f>
        <v>Argentinien</v>
      </c>
      <c r="Z23" s="7"/>
      <c r="AA23" s="7"/>
      <c r="AB23" s="7"/>
      <c r="AC23" s="7"/>
      <c r="AD23" s="7"/>
      <c r="AE23" s="7"/>
      <c r="AF23" s="7"/>
    </row>
    <row r="24" spans="1:32" x14ac:dyDescent="0.2">
      <c r="A24" s="7"/>
      <c r="B24" s="7"/>
      <c r="C24" s="7"/>
      <c r="D24" s="7"/>
      <c r="E24" s="7"/>
      <c r="F24" s="7"/>
      <c r="G24" s="7"/>
      <c r="H24" s="9">
        <v>1</v>
      </c>
      <c r="I24" s="9">
        <v>2</v>
      </c>
      <c r="J24" s="7"/>
      <c r="K24" s="7"/>
      <c r="L24" s="7"/>
      <c r="M24" s="7"/>
      <c r="N24" s="7"/>
      <c r="O24" s="7"/>
      <c r="P24" s="9">
        <v>1</v>
      </c>
      <c r="Q24" s="9">
        <v>2</v>
      </c>
      <c r="R24" s="7"/>
      <c r="S24" s="7"/>
      <c r="T24" s="7"/>
      <c r="U24" s="7"/>
      <c r="V24" s="7"/>
      <c r="W24" s="7"/>
      <c r="X24" s="9">
        <v>1</v>
      </c>
      <c r="Y24" s="9">
        <v>2</v>
      </c>
      <c r="Z24" s="7"/>
      <c r="AA24" s="7"/>
      <c r="AB24" s="7"/>
      <c r="AC24" s="7"/>
      <c r="AD24" s="7"/>
      <c r="AE24" s="7"/>
      <c r="AF24" s="7"/>
    </row>
    <row r="25" spans="1:32" ht="16.5" customHeight="1" x14ac:dyDescent="0.3">
      <c r="A25" s="7"/>
      <c r="B25" s="7"/>
      <c r="C25" s="7"/>
      <c r="D25" s="7"/>
      <c r="E25" s="7"/>
      <c r="F25" s="7"/>
      <c r="G25" s="7"/>
      <c r="H25" s="25" t="str">
        <f>IF(H24=I24,"",IF(H24&gt;I24,H23,I23))</f>
        <v>Spanien</v>
      </c>
      <c r="I25" s="28"/>
      <c r="J25" s="7"/>
      <c r="K25" s="7"/>
      <c r="L25" s="7"/>
      <c r="M25" s="7"/>
      <c r="N25" s="7"/>
      <c r="O25" s="7"/>
      <c r="P25" s="25" t="str">
        <f>IF(P24=Q24,"",IF(P24&gt;Q24,P23,Q23))</f>
        <v>Brasilien</v>
      </c>
      <c r="Q25" s="28"/>
      <c r="R25" s="7"/>
      <c r="S25" s="7"/>
      <c r="T25" s="7"/>
      <c r="U25" s="7"/>
      <c r="V25" s="7"/>
      <c r="W25" s="7"/>
      <c r="X25" s="25" t="str">
        <f>IF(X24=Y24,"",IF(X24&gt;Y24,X23,Y23))</f>
        <v>Argentinien</v>
      </c>
      <c r="Y25" s="28"/>
      <c r="Z25" s="7"/>
      <c r="AA25" s="7"/>
      <c r="AB25" s="7"/>
      <c r="AC25" s="7"/>
      <c r="AD25" s="7"/>
      <c r="AE25" s="7"/>
      <c r="AF25" s="7"/>
    </row>
    <row r="26" spans="1:32" ht="14.2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24" t="s">
        <v>17</v>
      </c>
      <c r="P26" s="27"/>
      <c r="Q26" s="27"/>
      <c r="R26" s="2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.2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27"/>
      <c r="P27" s="27"/>
      <c r="Q27" s="27"/>
      <c r="R27" s="2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7.2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 t="str">
        <f>H25</f>
        <v>Spanien</v>
      </c>
      <c r="Q28" s="8" t="str">
        <f>X25</f>
        <v>Argentinien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9">
        <v>2</v>
      </c>
      <c r="Q29" s="9">
        <v>1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6.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25" t="str">
        <f>IF(P29=Q29,"",IF(P29&gt;Q29,P28,Q28))</f>
        <v>Spanien</v>
      </c>
      <c r="Q30" s="28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F30" s="7"/>
    </row>
    <row r="31" spans="1:3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5:19" ht="14.25" customHeight="1" x14ac:dyDescent="0.55000000000000004">
      <c r="O33" s="26" t="s">
        <v>18</v>
      </c>
      <c r="P33" s="27"/>
      <c r="Q33" s="27"/>
      <c r="R33" s="27"/>
      <c r="S33" s="11"/>
    </row>
    <row r="34" spans="15:19" ht="14.25" customHeight="1" x14ac:dyDescent="0.55000000000000004">
      <c r="O34" s="27"/>
      <c r="P34" s="27"/>
      <c r="Q34" s="27"/>
      <c r="R34" s="27"/>
      <c r="S34" s="11"/>
    </row>
    <row r="35" spans="15:19" ht="14.25" customHeight="1" x14ac:dyDescent="0.2">
      <c r="O35" s="22" t="s">
        <v>69</v>
      </c>
      <c r="P35" s="27"/>
      <c r="Q35" s="27"/>
      <c r="R35" s="23">
        <v>10</v>
      </c>
    </row>
    <row r="36" spans="15:19" ht="14.25" customHeight="1" x14ac:dyDescent="0.2">
      <c r="O36" s="27"/>
      <c r="P36" s="27"/>
      <c r="Q36" s="27"/>
      <c r="R36" s="27"/>
    </row>
    <row r="37" spans="15:19" ht="14.25" customHeight="1" x14ac:dyDescent="0.2">
      <c r="O37" s="22" t="s">
        <v>70</v>
      </c>
      <c r="P37" s="27"/>
      <c r="Q37" s="27"/>
      <c r="R37" s="23">
        <v>20</v>
      </c>
    </row>
    <row r="38" spans="15:19" ht="14.25" customHeight="1" x14ac:dyDescent="0.2">
      <c r="O38" s="27"/>
      <c r="P38" s="27"/>
      <c r="Q38" s="27"/>
      <c r="R38" s="27"/>
    </row>
    <row r="39" spans="15:19" ht="14.25" customHeight="1" x14ac:dyDescent="0.2">
      <c r="O39" s="22" t="s">
        <v>19</v>
      </c>
      <c r="P39" s="27"/>
      <c r="Q39" s="27"/>
      <c r="R39" s="23">
        <v>40</v>
      </c>
    </row>
    <row r="40" spans="15:19" ht="14.25" customHeight="1" x14ac:dyDescent="0.2">
      <c r="O40" s="27"/>
      <c r="P40" s="27"/>
      <c r="Q40" s="27"/>
      <c r="R40" s="27"/>
    </row>
    <row r="41" spans="15:19" ht="14.25" customHeight="1" x14ac:dyDescent="0.2">
      <c r="O41" s="22" t="s">
        <v>20</v>
      </c>
      <c r="P41" s="27"/>
      <c r="Q41" s="27"/>
      <c r="R41" s="23">
        <v>60</v>
      </c>
    </row>
    <row r="42" spans="15:19" ht="14.25" customHeight="1" x14ac:dyDescent="0.2">
      <c r="O42" s="27"/>
      <c r="P42" s="27"/>
      <c r="Q42" s="27"/>
      <c r="R42" s="27"/>
    </row>
    <row r="43" spans="15:19" ht="14.25" customHeight="1" x14ac:dyDescent="0.2">
      <c r="O43" s="20" t="s">
        <v>60</v>
      </c>
      <c r="P43" s="27"/>
      <c r="Q43" s="27"/>
      <c r="R43" s="21">
        <v>40</v>
      </c>
    </row>
    <row r="44" spans="15:19" ht="14.25" customHeight="1" x14ac:dyDescent="0.2">
      <c r="O44" s="27"/>
      <c r="P44" s="27"/>
      <c r="Q44" s="27"/>
      <c r="R44" s="27"/>
    </row>
    <row r="45" spans="15:19" x14ac:dyDescent="0.2">
      <c r="O45" s="20" t="s">
        <v>61</v>
      </c>
      <c r="P45" s="27"/>
      <c r="Q45" s="27"/>
      <c r="R45" s="21">
        <v>80</v>
      </c>
    </row>
    <row r="46" spans="15:19" x14ac:dyDescent="0.2">
      <c r="O46" s="27"/>
      <c r="P46" s="27"/>
      <c r="Q46" s="27"/>
      <c r="R46" s="27"/>
    </row>
  </sheetData>
  <mergeCells count="77">
    <mergeCell ref="Y1:AB2"/>
    <mergeCell ref="AC1:AF2"/>
    <mergeCell ref="B5:C5"/>
    <mergeCell ref="F5:G5"/>
    <mergeCell ref="J5:K5"/>
    <mergeCell ref="N5:O5"/>
    <mergeCell ref="R5:S5"/>
    <mergeCell ref="V5:W5"/>
    <mergeCell ref="Z5:AA5"/>
    <mergeCell ref="AD5:AE5"/>
    <mergeCell ref="A1:D2"/>
    <mergeCell ref="E1:H2"/>
    <mergeCell ref="I1:L2"/>
    <mergeCell ref="M1:P2"/>
    <mergeCell ref="Q1:T2"/>
    <mergeCell ref="U1:X2"/>
    <mergeCell ref="Y6:AB7"/>
    <mergeCell ref="AC6:AF7"/>
    <mergeCell ref="B10:C10"/>
    <mergeCell ref="F10:G10"/>
    <mergeCell ref="J10:K10"/>
    <mergeCell ref="N10:O10"/>
    <mergeCell ref="R10:S10"/>
    <mergeCell ref="V10:W10"/>
    <mergeCell ref="Z10:AA10"/>
    <mergeCell ref="AD10:AE10"/>
    <mergeCell ref="A6:D7"/>
    <mergeCell ref="E6:H7"/>
    <mergeCell ref="I6:L7"/>
    <mergeCell ref="M6:P7"/>
    <mergeCell ref="Q6:T7"/>
    <mergeCell ref="U6:X7"/>
    <mergeCell ref="Y11:AB12"/>
    <mergeCell ref="AC11:AF12"/>
    <mergeCell ref="B15:C15"/>
    <mergeCell ref="F15:G15"/>
    <mergeCell ref="J15:K15"/>
    <mergeCell ref="N15:O15"/>
    <mergeCell ref="R15:S15"/>
    <mergeCell ref="V15:W15"/>
    <mergeCell ref="Z15:AA15"/>
    <mergeCell ref="AD15:AE15"/>
    <mergeCell ref="A11:D12"/>
    <mergeCell ref="E11:H12"/>
    <mergeCell ref="I11:L12"/>
    <mergeCell ref="M11:P12"/>
    <mergeCell ref="Q11:T12"/>
    <mergeCell ref="U11:X12"/>
    <mergeCell ref="C16:F17"/>
    <mergeCell ref="K16:N17"/>
    <mergeCell ref="S16:V17"/>
    <mergeCell ref="AA16:AD17"/>
    <mergeCell ref="D20:E20"/>
    <mergeCell ref="L20:M20"/>
    <mergeCell ref="T20:U20"/>
    <mergeCell ref="AB20:AC20"/>
    <mergeCell ref="O37:Q38"/>
    <mergeCell ref="R37:R38"/>
    <mergeCell ref="G21:J22"/>
    <mergeCell ref="O21:R22"/>
    <mergeCell ref="W21:Z22"/>
    <mergeCell ref="H25:I25"/>
    <mergeCell ref="P25:Q25"/>
    <mergeCell ref="X25:Y25"/>
    <mergeCell ref="O26:R27"/>
    <mergeCell ref="P30:Q30"/>
    <mergeCell ref="O33:R34"/>
    <mergeCell ref="O35:Q36"/>
    <mergeCell ref="R35:R36"/>
    <mergeCell ref="O45:Q46"/>
    <mergeCell ref="R45:R46"/>
    <mergeCell ref="O39:Q40"/>
    <mergeCell ref="R39:R40"/>
    <mergeCell ref="O41:Q42"/>
    <mergeCell ref="R41:R42"/>
    <mergeCell ref="O43:Q44"/>
    <mergeCell ref="R43:R44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Realität</vt:lpstr>
      <vt:lpstr>Colin</vt:lpstr>
      <vt:lpstr>Dennis</vt:lpstr>
      <vt:lpstr>Fabian</vt:lpstr>
      <vt:lpstr>Heidi</vt:lpstr>
      <vt:lpstr>Julius</vt:lpstr>
      <vt:lpstr>Leonard</vt:lpstr>
      <vt:lpstr>Mads</vt:lpstr>
      <vt:lpstr>Max</vt:lpstr>
      <vt:lpstr>Mirco</vt:lpstr>
      <vt:lpstr>Nici</vt:lpstr>
      <vt:lpstr>Nick</vt:lpstr>
      <vt:lpstr>Sebi</vt:lpstr>
      <vt:lpstr>Tobe</vt:lpstr>
      <vt:lpstr>Urs</vt:lpstr>
      <vt:lpstr>Vito+Jonas</vt:lpstr>
      <vt:lpstr>Claude (out of competition)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Fritschi</dc:creator>
  <cp:lastModifiedBy>Leonard Fritschi</cp:lastModifiedBy>
  <dcterms:created xsi:type="dcterms:W3CDTF">2024-06-26T21:42:22Z</dcterms:created>
  <dcterms:modified xsi:type="dcterms:W3CDTF">2026-06-29T19:03:49Z</dcterms:modified>
</cp:coreProperties>
</file>