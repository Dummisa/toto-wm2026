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82" documentId="13_ncr:1_{A299B5FB-7316-45B5-8838-E7E2A244E032}" xr6:coauthVersionLast="47" xr6:coauthVersionMax="47" xr10:uidLastSave="{A2201090-90B0-2A40-BEEB-E531A5356825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D1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<sst xmlns="http://schemas.openxmlformats.org/spreadsheetml/2006/main" count="1226" uniqueCount="71">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</sst>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I1" zoomScale="68" workbookViewId="0">
      <selection activeCell="K14" sqref="K1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7" t="s">
        <v>23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">
        <v>54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>
        <v>0</v>
      </c>
      <c r="K14" s="4">
        <v>1</v>
      </c>
      <c r="L14" s="2"/>
      <c r="M14" s="2"/>
      <c r="N14" s="4"/>
      <c r="O14" s="4"/>
      <c r="P14" s="2"/>
      <c r="Q14" s="2"/>
      <c r="R14" s="4">
        <v>1</v>
      </c>
      <c r="S14" s="4">
        <v>2</v>
      </c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/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/>
      </c>
      <c r="W15" s="17"/>
      <c r="X15" s="2"/>
      <c r="Y15" s="2"/>
      <c r="Z15" s="17" t="str">
        <f>IF(Z14=AA14,"",IF(Z14&gt;AA14,Z13,AA13))</f>
        <v/>
      </c>
      <c r="AA15" s="17"/>
      <c r="AB15" s="2"/>
      <c r="AC15" s="2"/>
      <c r="AD15" s="17" t="str">
        <f>IF(AD14=AE14,"",IF(AD14&gt;AE14,AD13,AE13))</f>
        <v/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/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2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/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/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/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/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/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/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/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/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I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2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2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2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2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4"/>
      <c r="Q33" s="24"/>
      <c r="R33" s="24"/>
      <c r="S33" s="11"/>
    </row>
    <row r="34" spans="15:19" ht="14.25" customHeight="1" x14ac:dyDescent="0.55000000000000004">
      <c r="O34" s="24"/>
      <c r="P34" s="24"/>
      <c r="Q34" s="24"/>
      <c r="R34" s="24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5" t="s">
        <v>60</v>
      </c>
      <c r="P43" s="25"/>
      <c r="Q43" s="25"/>
      <c r="R43" s="26">
        <v>40</v>
      </c>
    </row>
    <row r="44" spans="15:19" ht="14.25" customHeight="1" x14ac:dyDescent="0.2">
      <c r="O44" s="25"/>
      <c r="P44" s="25"/>
      <c r="Q44" s="25"/>
      <c r="R44" s="26"/>
    </row>
    <row r="45" spans="15:19" x14ac:dyDescent="0.2">
      <c r="O45" s="25" t="s">
        <v>61</v>
      </c>
      <c r="P45" s="25"/>
      <c r="Q45" s="25"/>
      <c r="R45" s="26">
        <v>80</v>
      </c>
    </row>
    <row r="46" spans="15:19" x14ac:dyDescent="0.2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Deutschland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Schweiz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Schweiz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Norwegen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Algerien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Deutschland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England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Deutschland</v>
      </c>
      <c r="Q30" s="17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Ecuador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Ghana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England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Niederlande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Niederlande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">
        <v>27</v>
      </c>
      <c r="G5" s="17"/>
      <c r="H5" s="2"/>
      <c r="I5" s="2"/>
      <c r="J5" s="17" t="s">
        <v>32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">
        <v>37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">
        <v>29</v>
      </c>
      <c r="G15" s="17"/>
      <c r="H15" s="2"/>
      <c r="I15" s="2"/>
      <c r="J15" s="17" t="str">
        <f>IF(J14=K14,"",IF(J14&gt;K14,J13,K13))</f>
        <v>Kroatien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Kroatien</v>
      </c>
      <c r="M20" s="17"/>
      <c r="N20" s="2"/>
      <c r="O20" s="2"/>
      <c r="P20" s="2"/>
      <c r="Q20" s="2"/>
      <c r="R20" s="2"/>
      <c r="S20" s="2"/>
      <c r="T20" s="17" t="s">
        <v>40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Kroatien</v>
      </c>
      <c r="I25" s="17"/>
      <c r="J25" s="2"/>
      <c r="K25" s="2"/>
      <c r="L25" s="2"/>
      <c r="M25" s="2"/>
      <c r="N25" s="2"/>
      <c r="O25" s="2"/>
      <c r="P25" s="17" t="s">
        <v>40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">
        <v>51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I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Portugal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Marokko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Marokko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Brasilien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2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2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5" t="s">
        <v>60</v>
      </c>
      <c r="P43" s="27"/>
      <c r="Q43" s="27"/>
      <c r="R43" s="26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5" t="s">
        <v>61</v>
      </c>
      <c r="P45" s="27"/>
      <c r="Q45" s="27"/>
      <c r="R45" s="26">
        <v>80</v>
      </c>
    </row>
    <row r="46" spans="15:19" x14ac:dyDescent="0.2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