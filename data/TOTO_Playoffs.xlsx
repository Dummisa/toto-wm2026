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55" documentId="13_ncr:1_{A299B5FB-7316-45B5-8838-E7E2A244E032}" xr6:coauthVersionLast="47" xr6:coauthVersionMax="47" xr10:uidLastSave="{AC48E6F6-C5E0-C94F-9F9B-CF55066DFFA1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Y23" i="1"/>
  <c r="X25" i="1"/>
  <c r="T20" i="1"/>
  <c r="X23" i="1"/>
  <c r="I23" i="1"/>
  <c r="P23" i="1"/>
  <c r="H25" i="1"/>
  <c r="P25" i="1"/>
  <c r="AD15" i="1"/>
  <c r="AC18" i="1"/>
  <c r="AD10" i="1"/>
  <c r="AE13" i="1"/>
  <c r="AD5" i="1"/>
  <c r="AD13" i="1"/>
  <c r="Z15" i="1"/>
  <c r="AB18" i="1"/>
  <c r="Z10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AB20" i="1"/>
  <c r="L20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<sst xmlns="http://schemas.openxmlformats.org/spreadsheetml/2006/main" count="1225" uniqueCount="71">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</sst>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U1" zoomScale="68" workbookViewId="0">
      <selection activeCell="W20" sqref="W20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/>
      <c r="K4" s="4"/>
      <c r="L4" s="2"/>
      <c r="M4" s="2"/>
      <c r="N4" s="4"/>
      <c r="O4" s="4"/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/>
      <c r="AA4" s="4"/>
      <c r="AB4" s="2"/>
      <c r="AC4" s="2"/>
      <c r="AD4" s="4"/>
      <c r="AE4" s="4"/>
      <c r="AF4" s="2"/>
    </row>
    <row r="5" spans="1:32" ht="17.25" x14ac:dyDescent="0.3">
      <c r="A5" s="2"/>
      <c r="B5" s="17" t="s">
        <v>23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/>
      </c>
      <c r="K5" s="17"/>
      <c r="L5" s="2"/>
      <c r="M5" s="2"/>
      <c r="N5" s="17" t="str">
        <f>IF(N4=O4,"",IF(N4&gt;O4,N3,O3))</f>
        <v/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/>
      </c>
      <c r="AA5" s="17"/>
      <c r="AB5" s="2"/>
      <c r="AC5" s="2"/>
      <c r="AD5" s="17" t="str">
        <f>IF(AD4=AE4,"",IF(AD4&gt;AE4,AD3,AE3))</f>
        <v/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/>
      <c r="K9" s="4"/>
      <c r="L9" s="2"/>
      <c r="M9" s="2"/>
      <c r="N9" s="4"/>
      <c r="O9" s="4"/>
      <c r="P9" s="2"/>
      <c r="Q9" s="2"/>
      <c r="R9" s="4">
        <v>1</v>
      </c>
      <c r="S9" s="4">
        <v>2</v>
      </c>
      <c r="T9" s="2"/>
      <c r="U9" s="2"/>
      <c r="V9" s="4"/>
      <c r="W9" s="4"/>
      <c r="X9" s="2"/>
      <c r="Y9" s="2"/>
      <c r="Z9" s="4"/>
      <c r="AA9" s="4"/>
      <c r="AB9" s="2"/>
      <c r="AC9" s="2"/>
      <c r="AD9" s="4"/>
      <c r="AE9" s="4"/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/>
      </c>
      <c r="K10" s="17"/>
      <c r="L10" s="2"/>
      <c r="M10" s="2"/>
      <c r="N10" s="17" t="str">
        <f>IF(N9=O9,"",IF(N9&gt;O9,N8,O8))</f>
        <v/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/>
      </c>
      <c r="W10" s="17"/>
      <c r="X10" s="2"/>
      <c r="Y10" s="2"/>
      <c r="Z10" s="17" t="str">
        <f>IF(Z9=AA9,"",IF(Z9&gt;AA9,Z8,AA8))</f>
        <v/>
      </c>
      <c r="AA10" s="17"/>
      <c r="AB10" s="2"/>
      <c r="AC10" s="2"/>
      <c r="AD10" s="17" t="str">
        <f>IF(AD9=AE9,"",IF(AD9&gt;AE9,AD8,AE8))</f>
        <v/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/>
      </c>
      <c r="K13" s="3" t="str">
        <f>J10</f>
        <v/>
      </c>
      <c r="L13" s="2"/>
      <c r="M13" s="2"/>
      <c r="N13" s="3" t="str">
        <f>N5</f>
        <v/>
      </c>
      <c r="O13" s="3" t="str">
        <f>N10</f>
        <v/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/>
      </c>
      <c r="X13" s="2"/>
      <c r="Y13" s="2"/>
      <c r="Z13" s="3" t="str">
        <f>Z5</f>
        <v/>
      </c>
      <c r="AA13" s="3" t="str">
        <f>Z10</f>
        <v/>
      </c>
      <c r="AB13" s="2"/>
      <c r="AC13" s="2"/>
      <c r="AD13" s="3" t="str">
        <f>AD5</f>
        <v/>
      </c>
      <c r="AE13" s="3" t="str">
        <f>AD10</f>
        <v/>
      </c>
      <c r="AF13" s="2"/>
    </row>
    <row r="14" spans="1:32" x14ac:dyDescent="0.2">
      <c r="A14" s="2"/>
      <c r="B14" s="4"/>
      <c r="C14" s="4"/>
      <c r="D14" s="2"/>
      <c r="E14" s="2"/>
      <c r="F14" s="4"/>
      <c r="G14" s="4"/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25" x14ac:dyDescent="0.3">
      <c r="A15" s="2"/>
      <c r="B15" s="17" t="str">
        <f>IF(B14=C14,"",IF(B14&gt;C14,B13,C13))</f>
        <v/>
      </c>
      <c r="C15" s="17"/>
      <c r="D15" s="2"/>
      <c r="E15" s="2"/>
      <c r="F15" s="17" t="str">
        <f>IF(F14=G14,"",IF(F14&gt;G14,F13,G13))</f>
        <v/>
      </c>
      <c r="G15" s="17"/>
      <c r="H15" s="2"/>
      <c r="I15" s="2"/>
      <c r="J15" s="17" t="str">
        <f>IF(J14=K14,"",IF(J14&gt;K14,J13,K13))</f>
        <v/>
      </c>
      <c r="K15" s="17"/>
      <c r="L15" s="2"/>
      <c r="M15" s="2"/>
      <c r="N15" s="17" t="str">
        <f>IF(N14=O14,"",IF(N14&gt;O14,N13,O13))</f>
        <v/>
      </c>
      <c r="O15" s="17"/>
      <c r="P15" s="2"/>
      <c r="Q15" s="2"/>
      <c r="R15" s="17" t="str">
        <f>IF(R14=S14,"",IF(R14&gt;S14,R13,S13))</f>
        <v/>
      </c>
      <c r="S15" s="17"/>
      <c r="T15" s="2"/>
      <c r="U15" s="2"/>
      <c r="V15" s="17" t="str">
        <f>IF(V14=W14,"",IF(V14&gt;W14,V13,W13))</f>
        <v/>
      </c>
      <c r="W15" s="17"/>
      <c r="X15" s="2"/>
      <c r="Y15" s="2"/>
      <c r="Z15" s="17" t="str">
        <f>IF(Z14=AA14,"",IF(Z14&gt;AA14,Z13,AA13))</f>
        <v/>
      </c>
      <c r="AA15" s="17"/>
      <c r="AB15" s="2"/>
      <c r="AC15" s="2"/>
      <c r="AD15" s="17" t="str">
        <f>IF(AD14=AE14,"",IF(AD14&gt;AE14,AD13,AE13))</f>
        <v/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/>
      </c>
      <c r="E18" s="3" t="str">
        <f>F15</f>
        <v/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/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/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/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/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/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/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/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/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E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Deutschland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Mexiko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Schweiz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Schweiz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Norwegen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Algerien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Senegal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Deutschland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England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Deutschland</v>
      </c>
      <c r="Q30" s="17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Ecuador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Ghana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Frankreich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England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Spanien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Belgien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Belgien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Ecuador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England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Spanien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Niederlande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Niederlande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Norwegen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Niederlande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Norwegen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Spanien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Niederlande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Argentinien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">
        <v>27</v>
      </c>
      <c r="G5" s="17"/>
      <c r="H5" s="2"/>
      <c r="I5" s="2"/>
      <c r="J5" s="17" t="s">
        <v>32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">
        <v>29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">
        <v>37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Ghana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Deutschland</v>
      </c>
      <c r="C15" s="17"/>
      <c r="D15" s="2"/>
      <c r="E15" s="2"/>
      <c r="F15" s="17" t="s">
        <v>29</v>
      </c>
      <c r="G15" s="17"/>
      <c r="H15" s="2"/>
      <c r="I15" s="2"/>
      <c r="J15" s="17" t="str">
        <f>IF(J14=K14,"",IF(J14&gt;K14,J13,K13))</f>
        <v>Kroatien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Deutschland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Kroatien</v>
      </c>
      <c r="M20" s="17"/>
      <c r="N20" s="2"/>
      <c r="O20" s="2"/>
      <c r="P20" s="2"/>
      <c r="Q20" s="2"/>
      <c r="R20" s="2"/>
      <c r="S20" s="2"/>
      <c r="T20" s="17" t="s">
        <v>40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Kroatien</v>
      </c>
      <c r="I25" s="17"/>
      <c r="J25" s="2"/>
      <c r="K25" s="2"/>
      <c r="L25" s="2"/>
      <c r="M25" s="2"/>
      <c r="N25" s="2"/>
      <c r="O25" s="2"/>
      <c r="P25" s="17" t="s">
        <v>40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Argentinien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">
        <v>51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Kanada</v>
      </c>
      <c r="G5" s="17"/>
      <c r="H5" s="2"/>
      <c r="I5" s="2"/>
      <c r="J5" s="17" t="str">
        <f>IF(J4=K4,"",IF(J4&gt;K4,J3,K3))</f>
        <v>Portugal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Norwegen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Australien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4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4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Portugal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Kolumbien</v>
      </c>
      <c r="AE15" s="17"/>
      <c r="AF15" s="2"/>
    </row>
    <row r="16" spans="1:32" ht="14.4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4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Frankreich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Portugal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Frankreich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Frankreich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3" t="s">
        <v>69</v>
      </c>
      <c r="P35" s="13"/>
      <c r="Q35" s="13"/>
      <c r="R35" s="12">
        <v>10</v>
      </c>
    </row>
    <row r="36" spans="15:19" ht="14.45" customHeight="1" x14ac:dyDescent="0.2">
      <c r="O36" s="13"/>
      <c r="P36" s="13"/>
      <c r="Q36" s="13"/>
      <c r="R36" s="12"/>
    </row>
    <row r="37" spans="15:19" ht="14.45" customHeight="1" x14ac:dyDescent="0.2">
      <c r="O37" s="13" t="s">
        <v>70</v>
      </c>
      <c r="P37" s="13"/>
      <c r="Q37" s="13"/>
      <c r="R37" s="12">
        <v>20</v>
      </c>
    </row>
    <row r="38" spans="15:19" ht="14.45" customHeight="1" x14ac:dyDescent="0.2">
      <c r="O38" s="13"/>
      <c r="P38" s="13"/>
      <c r="Q38" s="13"/>
      <c r="R38" s="12"/>
    </row>
    <row r="39" spans="15:19" ht="14.45" customHeight="1" x14ac:dyDescent="0.2">
      <c r="O39" s="13" t="s">
        <v>19</v>
      </c>
      <c r="P39" s="13"/>
      <c r="Q39" s="13"/>
      <c r="R39" s="12">
        <v>40</v>
      </c>
    </row>
    <row r="40" spans="15:19" ht="14.45" customHeight="1" x14ac:dyDescent="0.2">
      <c r="O40" s="13"/>
      <c r="P40" s="13"/>
      <c r="Q40" s="13"/>
      <c r="R40" s="12"/>
    </row>
    <row r="41" spans="15:19" ht="14.45" customHeight="1" x14ac:dyDescent="0.2">
      <c r="O41" s="13" t="s">
        <v>20</v>
      </c>
      <c r="P41" s="13"/>
      <c r="Q41" s="13"/>
      <c r="R41" s="12">
        <v>60</v>
      </c>
    </row>
    <row r="42" spans="15:19" ht="14.45" customHeight="1" x14ac:dyDescent="0.2">
      <c r="O42" s="13"/>
      <c r="P42" s="13"/>
      <c r="Q42" s="13"/>
      <c r="R42" s="12"/>
    </row>
    <row r="43" spans="15:19" ht="14.45" customHeight="1" x14ac:dyDescent="0.2">
      <c r="O43" s="14" t="s">
        <v>60</v>
      </c>
      <c r="P43" s="14"/>
      <c r="Q43" s="14"/>
      <c r="R43" s="15">
        <v>40</v>
      </c>
    </row>
    <row r="44" spans="15:19" ht="14.4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6" t="s">
        <v>21</v>
      </c>
      <c r="B1" s="18"/>
      <c r="C1" s="18"/>
      <c r="D1" s="18"/>
      <c r="E1" s="16" t="s">
        <v>25</v>
      </c>
      <c r="F1" s="18"/>
      <c r="G1" s="18"/>
      <c r="H1" s="18"/>
      <c r="I1" s="16" t="s">
        <v>30</v>
      </c>
      <c r="J1" s="18"/>
      <c r="K1" s="18"/>
      <c r="L1" s="18"/>
      <c r="M1" s="16" t="s">
        <v>33</v>
      </c>
      <c r="N1" s="18"/>
      <c r="O1" s="18"/>
      <c r="P1" s="18"/>
      <c r="Q1" s="16" t="s">
        <v>38</v>
      </c>
      <c r="R1" s="18"/>
      <c r="S1" s="18"/>
      <c r="T1" s="18"/>
      <c r="U1" s="16" t="s">
        <v>44</v>
      </c>
      <c r="V1" s="18"/>
      <c r="W1" s="18"/>
      <c r="X1" s="18"/>
      <c r="Y1" s="16" t="s">
        <v>49</v>
      </c>
      <c r="Z1" s="18"/>
      <c r="AA1" s="18"/>
      <c r="AB1" s="18"/>
      <c r="AC1" s="16" t="s">
        <v>55</v>
      </c>
      <c r="AD1" s="18"/>
      <c r="AE1" s="18"/>
      <c r="AF1" s="18"/>
    </row>
    <row r="2" spans="1:32" x14ac:dyDescent="0.2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7" t="str">
        <f>IF(B4=C4,"",IF(B4&gt;C4,B3,C3))</f>
        <v>Deutschland</v>
      </c>
      <c r="C5" s="17"/>
      <c r="D5" s="2"/>
      <c r="E5" s="2"/>
      <c r="F5" s="17" t="str">
        <f>IF(F4=G4,"",IF(F4&gt;G4,F3,G3))</f>
        <v>Südafrika</v>
      </c>
      <c r="G5" s="17"/>
      <c r="H5" s="2"/>
      <c r="I5" s="2"/>
      <c r="J5" s="17" t="str">
        <f>IF(J4=K4,"",IF(J4&gt;K4,J3,K3))</f>
        <v>Kroatien</v>
      </c>
      <c r="K5" s="17"/>
      <c r="L5" s="2"/>
      <c r="M5" s="2"/>
      <c r="N5" s="17" t="str">
        <f>IF(N4=O4,"",IF(N4&gt;O4,N3,O3))</f>
        <v>USA</v>
      </c>
      <c r="O5" s="17"/>
      <c r="P5" s="2"/>
      <c r="Q5" s="2"/>
      <c r="R5" s="17" t="str">
        <f>IF(R4=S4,"",IF(R4&gt;S4,R3,S3))</f>
        <v>Brasilien</v>
      </c>
      <c r="S5" s="17"/>
      <c r="T5" s="2"/>
      <c r="U5" s="2"/>
      <c r="V5" s="17" t="str">
        <f>IF(V4=W4,"",IF(V4&gt;W4,V3,W3))</f>
        <v>Mexiko</v>
      </c>
      <c r="W5" s="17"/>
      <c r="X5" s="2"/>
      <c r="Y5" s="2"/>
      <c r="Z5" s="17" t="str">
        <f>IF(Z4=AA4,"",IF(Z4&gt;AA4,Z3,AA3))</f>
        <v>Argentinien</v>
      </c>
      <c r="AA5" s="17"/>
      <c r="AB5" s="2"/>
      <c r="AC5" s="2"/>
      <c r="AD5" s="17" t="str">
        <f>IF(AD4=AE4,"",IF(AD4&gt;AE4,AD3,AE3))</f>
        <v>Schweiz</v>
      </c>
      <c r="AE5" s="17"/>
      <c r="AF5" s="2"/>
    </row>
    <row r="6" spans="1:32" x14ac:dyDescent="0.2">
      <c r="A6" s="16" t="s">
        <v>22</v>
      </c>
      <c r="B6" s="18"/>
      <c r="C6" s="18"/>
      <c r="D6" s="18"/>
      <c r="E6" s="16" t="s">
        <v>26</v>
      </c>
      <c r="F6" s="18"/>
      <c r="G6" s="18"/>
      <c r="H6" s="18"/>
      <c r="I6" s="16" t="s">
        <v>31</v>
      </c>
      <c r="J6" s="18"/>
      <c r="K6" s="18"/>
      <c r="L6" s="18"/>
      <c r="M6" s="16" t="s">
        <v>34</v>
      </c>
      <c r="N6" s="18"/>
      <c r="O6" s="18"/>
      <c r="P6" s="18"/>
      <c r="Q6" s="16" t="s">
        <v>39</v>
      </c>
      <c r="R6" s="18"/>
      <c r="S6" s="18"/>
      <c r="T6" s="18"/>
      <c r="U6" s="16" t="s">
        <v>45</v>
      </c>
      <c r="V6" s="18"/>
      <c r="W6" s="18"/>
      <c r="X6" s="18"/>
      <c r="Y6" s="16" t="s">
        <v>50</v>
      </c>
      <c r="Z6" s="18"/>
      <c r="AA6" s="18"/>
      <c r="AB6" s="18"/>
      <c r="AC6" s="16" t="s">
        <v>56</v>
      </c>
      <c r="AD6" s="18"/>
      <c r="AE6" s="18"/>
      <c r="AF6" s="18"/>
    </row>
    <row r="7" spans="1:32" x14ac:dyDescent="0.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7" t="str">
        <f>IF(B9=C9,"",IF(B9&gt;C9,B8,C8))</f>
        <v>Frankreich</v>
      </c>
      <c r="C10" s="17"/>
      <c r="D10" s="2"/>
      <c r="E10" s="2"/>
      <c r="F10" s="17" t="str">
        <f>IF(F9=G9,"",IF(F9&gt;G9,F8,G8))</f>
        <v>Marokko</v>
      </c>
      <c r="G10" s="17"/>
      <c r="H10" s="2"/>
      <c r="I10" s="2"/>
      <c r="J10" s="17" t="str">
        <f>IF(J9=K9,"",IF(J9&gt;K9,J8,K8))</f>
        <v>Spanien</v>
      </c>
      <c r="K10" s="17"/>
      <c r="L10" s="2"/>
      <c r="M10" s="2"/>
      <c r="N10" s="17" t="str">
        <f>IF(N9=O9,"",IF(N9&gt;O9,N8,O8))</f>
        <v>Senegal</v>
      </c>
      <c r="O10" s="17"/>
      <c r="P10" s="2"/>
      <c r="Q10" s="2"/>
      <c r="R10" s="17" t="str">
        <f>IF(R9=S9,"",IF(R9&gt;S9,R8,S8))</f>
        <v>Elfenbeinküste</v>
      </c>
      <c r="S10" s="17"/>
      <c r="T10" s="2"/>
      <c r="U10" s="2"/>
      <c r="V10" s="17" t="str">
        <f>IF(V9=W9,"",IF(V9&gt;W9,V8,W8))</f>
        <v>England</v>
      </c>
      <c r="W10" s="17"/>
      <c r="X10" s="2"/>
      <c r="Y10" s="2"/>
      <c r="Z10" s="17" t="str">
        <f>IF(Z9=AA9,"",IF(Z9&gt;AA9,Z8,AA8))</f>
        <v>Ägypten</v>
      </c>
      <c r="AA10" s="17"/>
      <c r="AB10" s="2"/>
      <c r="AC10" s="2"/>
      <c r="AD10" s="17" t="str">
        <f>IF(AD9=AE9,"",IF(AD9&gt;AE9,AD8,AE8))</f>
        <v>Kolumbien</v>
      </c>
      <c r="AE10" s="17"/>
      <c r="AF10" s="2"/>
    </row>
    <row r="11" spans="1:32" ht="14.65" customHeight="1" x14ac:dyDescent="0.2">
      <c r="A11" s="16" t="s">
        <v>0</v>
      </c>
      <c r="B11" s="18"/>
      <c r="C11" s="18"/>
      <c r="D11" s="18"/>
      <c r="E11" s="16" t="s">
        <v>1</v>
      </c>
      <c r="F11" s="18"/>
      <c r="G11" s="18"/>
      <c r="H11" s="18"/>
      <c r="I11" s="16" t="s">
        <v>63</v>
      </c>
      <c r="J11" s="18"/>
      <c r="K11" s="18"/>
      <c r="L11" s="18"/>
      <c r="M11" s="16" t="s">
        <v>64</v>
      </c>
      <c r="N11" s="18"/>
      <c r="O11" s="18"/>
      <c r="P11" s="18"/>
      <c r="Q11" s="16" t="s">
        <v>65</v>
      </c>
      <c r="R11" s="18"/>
      <c r="S11" s="18"/>
      <c r="T11" s="18"/>
      <c r="U11" s="16" t="s">
        <v>66</v>
      </c>
      <c r="V11" s="18"/>
      <c r="W11" s="18"/>
      <c r="X11" s="18"/>
      <c r="Y11" s="16" t="s">
        <v>67</v>
      </c>
      <c r="Z11" s="18"/>
      <c r="AA11" s="18"/>
      <c r="AB11" s="18"/>
      <c r="AC11" s="16" t="s">
        <v>68</v>
      </c>
      <c r="AD11" s="18"/>
      <c r="AE11" s="18"/>
      <c r="AF11" s="18"/>
    </row>
    <row r="12" spans="1:32" ht="14.65" customHeight="1" x14ac:dyDescent="0.2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7" t="str">
        <f>IF(B14=C14,"",IF(B14&gt;C14,B13,C13))</f>
        <v>Frankreich</v>
      </c>
      <c r="C15" s="17"/>
      <c r="D15" s="2"/>
      <c r="E15" s="2"/>
      <c r="F15" s="17" t="str">
        <f>IF(F14=G14,"",IF(F14&gt;G14,F13,G13))</f>
        <v>Marokko</v>
      </c>
      <c r="G15" s="17"/>
      <c r="H15" s="2"/>
      <c r="I15" s="2"/>
      <c r="J15" s="17" t="str">
        <f>IF(J14=K14,"",IF(J14&gt;K14,J13,K13))</f>
        <v>Spanien</v>
      </c>
      <c r="K15" s="17"/>
      <c r="L15" s="2"/>
      <c r="M15" s="2"/>
      <c r="N15" s="17" t="str">
        <f>IF(N14=O14,"",IF(N14&gt;O14,N13,O13))</f>
        <v>Senegal</v>
      </c>
      <c r="O15" s="17"/>
      <c r="P15" s="2"/>
      <c r="Q15" s="2"/>
      <c r="R15" s="17" t="str">
        <f>IF(R14=S14,"",IF(R14&gt;S14,R13,S13))</f>
        <v>Brasilien</v>
      </c>
      <c r="S15" s="17"/>
      <c r="T15" s="2"/>
      <c r="U15" s="2"/>
      <c r="V15" s="17" t="str">
        <f>IF(V14=W14,"",IF(V14&gt;W14,V13,W13))</f>
        <v>England</v>
      </c>
      <c r="W15" s="17"/>
      <c r="X15" s="2"/>
      <c r="Y15" s="2"/>
      <c r="Z15" s="17" t="str">
        <f>IF(Z14=AA14,"",IF(Z14&gt;AA14,Z13,AA13))</f>
        <v>Argentinien</v>
      </c>
      <c r="AA15" s="17"/>
      <c r="AB15" s="2"/>
      <c r="AC15" s="2"/>
      <c r="AD15" s="17" t="str">
        <f>IF(AD14=AE14,"",IF(AD14&gt;AE14,AD13,AE13))</f>
        <v>Schweiz</v>
      </c>
      <c r="AE15" s="17"/>
      <c r="AF15" s="2"/>
    </row>
    <row r="16" spans="1:32" ht="14.65" customHeight="1" x14ac:dyDescent="0.2">
      <c r="A16" s="2"/>
      <c r="B16" s="2"/>
      <c r="C16" s="16" t="s">
        <v>11</v>
      </c>
      <c r="D16" s="16"/>
      <c r="E16" s="16"/>
      <c r="F16" s="16"/>
      <c r="G16" s="2"/>
      <c r="H16" s="2"/>
      <c r="I16" s="2"/>
      <c r="J16" s="2"/>
      <c r="K16" s="16" t="s">
        <v>12</v>
      </c>
      <c r="L16" s="16"/>
      <c r="M16" s="16"/>
      <c r="N16" s="16"/>
      <c r="O16" s="2"/>
      <c r="P16" s="2"/>
      <c r="Q16" s="2"/>
      <c r="R16" s="2"/>
      <c r="S16" s="16" t="s">
        <v>13</v>
      </c>
      <c r="T16" s="16"/>
      <c r="U16" s="16"/>
      <c r="V16" s="16"/>
      <c r="W16" s="2"/>
      <c r="X16" s="2"/>
      <c r="Y16" s="2"/>
      <c r="Z16" s="2"/>
      <c r="AA16" s="16" t="s">
        <v>14</v>
      </c>
      <c r="AB16" s="16"/>
      <c r="AC16" s="16"/>
      <c r="AD16" s="16"/>
      <c r="AE16" s="2"/>
      <c r="AF16" s="2"/>
    </row>
    <row r="17" spans="1:32" ht="14.65" customHeight="1" x14ac:dyDescent="0.2">
      <c r="A17" s="2"/>
      <c r="B17" s="2"/>
      <c r="C17" s="16"/>
      <c r="D17" s="16"/>
      <c r="E17" s="16"/>
      <c r="F17" s="16"/>
      <c r="G17" s="2"/>
      <c r="H17" s="2"/>
      <c r="I17" s="2"/>
      <c r="J17" s="2"/>
      <c r="K17" s="16"/>
      <c r="L17" s="16"/>
      <c r="M17" s="16"/>
      <c r="N17" s="16"/>
      <c r="O17" s="2"/>
      <c r="P17" s="2"/>
      <c r="Q17" s="2"/>
      <c r="R17" s="2"/>
      <c r="S17" s="16"/>
      <c r="T17" s="16"/>
      <c r="U17" s="16"/>
      <c r="V17" s="16"/>
      <c r="W17" s="2"/>
      <c r="X17" s="2"/>
      <c r="Y17" s="2"/>
      <c r="Z17" s="2"/>
      <c r="AA17" s="16"/>
      <c r="AB17" s="16"/>
      <c r="AC17" s="16"/>
      <c r="AD17" s="16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7" t="str">
        <f>IF(D19=E19,"",IF(D19&gt;E19,D18,E18))</f>
        <v>Marokko</v>
      </c>
      <c r="E20" s="17"/>
      <c r="F20" s="2"/>
      <c r="G20" s="2"/>
      <c r="H20" s="2"/>
      <c r="I20" s="2"/>
      <c r="J20" s="2"/>
      <c r="K20" s="2"/>
      <c r="L20" s="17" t="str">
        <f>IF(L19=M19,"",IF(L19&gt;M19,L18,M18))</f>
        <v>Spanien</v>
      </c>
      <c r="M20" s="17"/>
      <c r="N20" s="2"/>
      <c r="O20" s="2"/>
      <c r="P20" s="2"/>
      <c r="Q20" s="2"/>
      <c r="R20" s="2"/>
      <c r="S20" s="2"/>
      <c r="T20" s="17" t="str">
        <f>IF(T19=U19,"",IF(T19&gt;U19,T18,U18))</f>
        <v>Brasilien</v>
      </c>
      <c r="U20" s="17"/>
      <c r="V20" s="2"/>
      <c r="W20" s="2"/>
      <c r="X20" s="2"/>
      <c r="Y20" s="2"/>
      <c r="Z20" s="2"/>
      <c r="AA20" s="2"/>
      <c r="AB20" s="17" t="str">
        <f>IF(AB19=AC19,"",IF(AB19&gt;AC19,AB18,AC18))</f>
        <v>Argentinien</v>
      </c>
      <c r="AC20" s="17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6" t="s">
        <v>15</v>
      </c>
      <c r="H21" s="16"/>
      <c r="I21" s="16"/>
      <c r="J21" s="16"/>
      <c r="K21" s="2"/>
      <c r="L21" s="2"/>
      <c r="M21" s="2"/>
      <c r="N21" s="2"/>
      <c r="O21" s="16" t="s">
        <v>62</v>
      </c>
      <c r="P21" s="16"/>
      <c r="Q21" s="16"/>
      <c r="R21" s="16"/>
      <c r="S21" s="2"/>
      <c r="T21" s="2"/>
      <c r="U21" s="2"/>
      <c r="V21" s="2"/>
      <c r="W21" s="16" t="s">
        <v>16</v>
      </c>
      <c r="X21" s="16"/>
      <c r="Y21" s="16"/>
      <c r="Z21" s="16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6"/>
      <c r="H22" s="16"/>
      <c r="I22" s="16"/>
      <c r="J22" s="16"/>
      <c r="K22" s="2"/>
      <c r="L22" s="2"/>
      <c r="M22" s="2"/>
      <c r="N22" s="2"/>
      <c r="O22" s="16"/>
      <c r="P22" s="16"/>
      <c r="Q22" s="16"/>
      <c r="R22" s="16"/>
      <c r="S22" s="2"/>
      <c r="T22" s="2"/>
      <c r="U22" s="2"/>
      <c r="V22" s="2"/>
      <c r="W22" s="16"/>
      <c r="X22" s="16"/>
      <c r="Y22" s="16"/>
      <c r="Z22" s="16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7" t="str">
        <f>IF(H24=I24,"",IF(H24&gt;I24,H23,I23))</f>
        <v>Marokko</v>
      </c>
      <c r="I25" s="17"/>
      <c r="J25" s="2"/>
      <c r="K25" s="2"/>
      <c r="L25" s="2"/>
      <c r="M25" s="2"/>
      <c r="N25" s="2"/>
      <c r="O25" s="2"/>
      <c r="P25" s="17" t="str">
        <f>IF(P24=Q24,"",IF(P24&gt;Q24,P23,Q23))</f>
        <v>Argentinien</v>
      </c>
      <c r="Q25" s="17"/>
      <c r="R25" s="2"/>
      <c r="S25" s="2"/>
      <c r="T25" s="2"/>
      <c r="U25" s="2"/>
      <c r="V25" s="2"/>
      <c r="W25" s="2"/>
      <c r="X25" s="17" t="str">
        <f>IF(X24=Y24,"",IF(X24&gt;Y24,X23,Y23))</f>
        <v>Brasilien</v>
      </c>
      <c r="Y25" s="17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6" t="s">
        <v>17</v>
      </c>
      <c r="P26" s="16"/>
      <c r="Q26" s="16"/>
      <c r="R26" s="1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6"/>
      <c r="P27" s="16"/>
      <c r="Q27" s="16"/>
      <c r="R27" s="16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7" t="str">
        <f>IF(P29=Q29,"",IF(P29&gt;Q29,P28,Q28))</f>
        <v>Brasilien</v>
      </c>
      <c r="Q30" s="17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3" t="s">
        <v>69</v>
      </c>
      <c r="P35" s="13"/>
      <c r="Q35" s="13"/>
      <c r="R35" s="12">
        <v>10</v>
      </c>
    </row>
    <row r="36" spans="15:19" ht="14.65" customHeight="1" x14ac:dyDescent="0.2">
      <c r="O36" s="13"/>
      <c r="P36" s="13"/>
      <c r="Q36" s="13"/>
      <c r="R36" s="12"/>
    </row>
    <row r="37" spans="15:19" ht="14.65" customHeight="1" x14ac:dyDescent="0.2">
      <c r="O37" s="13" t="s">
        <v>70</v>
      </c>
      <c r="P37" s="13"/>
      <c r="Q37" s="13"/>
      <c r="R37" s="12">
        <v>20</v>
      </c>
    </row>
    <row r="38" spans="15:19" ht="14.65" customHeight="1" x14ac:dyDescent="0.2">
      <c r="O38" s="13"/>
      <c r="P38" s="13"/>
      <c r="Q38" s="13"/>
      <c r="R38" s="12"/>
    </row>
    <row r="39" spans="15:19" ht="14.65" customHeight="1" x14ac:dyDescent="0.2">
      <c r="O39" s="13" t="s">
        <v>19</v>
      </c>
      <c r="P39" s="13"/>
      <c r="Q39" s="13"/>
      <c r="R39" s="12">
        <v>40</v>
      </c>
    </row>
    <row r="40" spans="15:19" ht="14.65" customHeight="1" x14ac:dyDescent="0.2">
      <c r="O40" s="13"/>
      <c r="P40" s="13"/>
      <c r="Q40" s="13"/>
      <c r="R40" s="12"/>
    </row>
    <row r="41" spans="15:19" ht="14.65" customHeight="1" x14ac:dyDescent="0.2">
      <c r="O41" s="13" t="s">
        <v>20</v>
      </c>
      <c r="P41" s="13"/>
      <c r="Q41" s="13"/>
      <c r="R41" s="12">
        <v>60</v>
      </c>
    </row>
    <row r="42" spans="15:19" ht="14.65" customHeight="1" x14ac:dyDescent="0.2">
      <c r="O42" s="13"/>
      <c r="P42" s="13"/>
      <c r="Q42" s="13"/>
      <c r="R42" s="12"/>
    </row>
    <row r="43" spans="15:19" ht="14.65" customHeight="1" x14ac:dyDescent="0.2">
      <c r="O43" s="14" t="s">
        <v>60</v>
      </c>
      <c r="P43" s="14"/>
      <c r="Q43" s="14"/>
      <c r="R43" s="15">
        <v>40</v>
      </c>
    </row>
    <row r="44" spans="15:19" ht="14.65" customHeight="1" x14ac:dyDescent="0.2">
      <c r="O44" s="14"/>
      <c r="P44" s="14"/>
      <c r="Q44" s="14"/>
      <c r="R44" s="15"/>
    </row>
    <row r="45" spans="15:19" x14ac:dyDescent="0.2">
      <c r="O45" s="14" t="s">
        <v>61</v>
      </c>
      <c r="P45" s="14"/>
      <c r="Q45" s="14"/>
      <c r="R45" s="15">
        <v>80</v>
      </c>
    </row>
    <row r="46" spans="15:19" x14ac:dyDescent="0.2">
      <c r="O46" s="14"/>
      <c r="P46" s="14"/>
      <c r="Q46" s="14"/>
      <c r="R46" s="15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