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986c3747c471c36/Dokumente/Coding Projekte/toto-wm2026/data/"/>
    </mc:Choice>
  </mc:AlternateContent>
  <xr:revisionPtr revIDLastSave="12" documentId="13_ncr:1_{11B9F9C2-7658-413A-9CE2-C175DD5D3CEE}" xr6:coauthVersionLast="47" xr6:coauthVersionMax="47" xr10:uidLastSave="{9ECB580C-8485-4292-A526-F9AC53E4ECE5}"/>
  <bookViews>
    <workbookView xWindow="-108" yWindow="-108" windowWidth="41496" windowHeight="16776" activeTab="5" xr2:uid="{00000000-000D-0000-FFFF-FFFF00000000}"/>
  </bookViews>
  <sheets>
    <sheet name="Auswertung" sheetId="1" r:id="rId1"/>
    <sheet name="Realität" sheetId="2" r:id="rId2"/>
    <sheet name="Sebi" sheetId="24" r:id="rId3"/>
    <sheet name="Nick" sheetId="25" r:id="rId4"/>
    <sheet name="Nici" sheetId="40" r:id="rId5"/>
    <sheet name="Mads" sheetId="27" r:id="rId6"/>
    <sheet name="Julius" sheetId="28" r:id="rId7"/>
    <sheet name="Dennis" sheetId="29" r:id="rId8"/>
    <sheet name="Heidi" sheetId="30" r:id="rId9"/>
    <sheet name="Mirco" sheetId="31" r:id="rId10"/>
    <sheet name="Tobe" sheetId="32" r:id="rId11"/>
    <sheet name="Urs" sheetId="33" r:id="rId12"/>
    <sheet name="Max" sheetId="34" r:id="rId13"/>
    <sheet name="Vito+Jonas" sheetId="35" r:id="rId14"/>
    <sheet name="Colin" sheetId="36" r:id="rId15"/>
    <sheet name="Fabian" sheetId="37" r:id="rId16"/>
    <sheet name="Leonard" sheetId="38" r:id="rId17"/>
    <sheet name="Linda" sheetId="39" r:id="rId18"/>
    <sheet name="Claude (out of competition)" sheetId="41"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7" i="39" l="1"/>
  <c r="D256" i="39"/>
  <c r="D255" i="39"/>
  <c r="D254" i="39"/>
  <c r="D253" i="39"/>
  <c r="D252" i="39"/>
  <c r="D251" i="39"/>
  <c r="D250" i="39"/>
  <c r="D249" i="39"/>
  <c r="D248" i="39"/>
  <c r="D247" i="39"/>
  <c r="D246" i="39"/>
  <c r="D243" i="39"/>
  <c r="D242" i="39"/>
  <c r="D241" i="39"/>
  <c r="D240" i="39"/>
  <c r="D239" i="39"/>
  <c r="D238" i="39"/>
  <c r="D237" i="39"/>
  <c r="D236" i="39"/>
  <c r="D235" i="39"/>
  <c r="D234" i="39"/>
  <c r="H231" i="39"/>
  <c r="G231" i="39"/>
  <c r="F231" i="39"/>
  <c r="E231" i="39"/>
  <c r="H230" i="39"/>
  <c r="G230" i="39"/>
  <c r="F230" i="39"/>
  <c r="E230" i="39"/>
  <c r="H229" i="39"/>
  <c r="G229" i="39"/>
  <c r="F229" i="39"/>
  <c r="E229" i="39"/>
  <c r="H228" i="39"/>
  <c r="G228" i="39"/>
  <c r="F228" i="39"/>
  <c r="E228" i="39"/>
  <c r="H227" i="39"/>
  <c r="G227" i="39"/>
  <c r="F227" i="39"/>
  <c r="E227" i="39"/>
  <c r="H226" i="39"/>
  <c r="G226" i="39"/>
  <c r="F226" i="39"/>
  <c r="E226" i="39"/>
  <c r="H225" i="39"/>
  <c r="G225" i="39"/>
  <c r="F225" i="39"/>
  <c r="E225" i="39"/>
  <c r="H224" i="39"/>
  <c r="G224" i="39"/>
  <c r="F224" i="39"/>
  <c r="E224" i="39"/>
  <c r="H223" i="39"/>
  <c r="G223" i="39"/>
  <c r="F223" i="39"/>
  <c r="E223" i="39"/>
  <c r="H222" i="39"/>
  <c r="G222" i="39"/>
  <c r="F222" i="39"/>
  <c r="E222" i="39"/>
  <c r="H221" i="39"/>
  <c r="G221" i="39"/>
  <c r="F221" i="39"/>
  <c r="E221" i="39"/>
  <c r="H220" i="39"/>
  <c r="G220" i="39"/>
  <c r="F220" i="39"/>
  <c r="E220" i="39"/>
  <c r="H219" i="39"/>
  <c r="G219" i="39"/>
  <c r="F219" i="39"/>
  <c r="E219" i="39"/>
  <c r="H218" i="39"/>
  <c r="G218" i="39"/>
  <c r="F218" i="39"/>
  <c r="E218" i="39"/>
  <c r="H217" i="39"/>
  <c r="G217" i="39"/>
  <c r="F217" i="39"/>
  <c r="E217" i="39"/>
  <c r="H216" i="39"/>
  <c r="G216" i="39"/>
  <c r="F216" i="39"/>
  <c r="E216" i="39"/>
  <c r="H215" i="39"/>
  <c r="G215" i="39"/>
  <c r="F215" i="39"/>
  <c r="E215" i="39"/>
  <c r="H214" i="39"/>
  <c r="G214" i="39"/>
  <c r="F214" i="39"/>
  <c r="E214" i="39"/>
  <c r="H213" i="39"/>
  <c r="G213" i="39"/>
  <c r="F213" i="39"/>
  <c r="E213" i="39"/>
  <c r="H212" i="39"/>
  <c r="G212" i="39"/>
  <c r="F212" i="39"/>
  <c r="E212" i="39"/>
  <c r="H211" i="39"/>
  <c r="G211" i="39"/>
  <c r="F211" i="39"/>
  <c r="E211" i="39"/>
  <c r="H210" i="39"/>
  <c r="G210" i="39"/>
  <c r="F210" i="39"/>
  <c r="E210" i="39"/>
  <c r="H209" i="39"/>
  <c r="G209" i="39"/>
  <c r="F209" i="39"/>
  <c r="E209" i="39"/>
  <c r="H208" i="39"/>
  <c r="G208" i="39"/>
  <c r="F208" i="39"/>
  <c r="E208" i="39"/>
  <c r="H207" i="39"/>
  <c r="G207" i="39"/>
  <c r="F207" i="39"/>
  <c r="E207" i="39"/>
  <c r="H206" i="39"/>
  <c r="G206" i="39"/>
  <c r="F206" i="39"/>
  <c r="E206" i="39"/>
  <c r="H205" i="39"/>
  <c r="G205" i="39"/>
  <c r="F205" i="39"/>
  <c r="E205" i="39"/>
  <c r="H204" i="39"/>
  <c r="G204" i="39"/>
  <c r="F204" i="39"/>
  <c r="E204" i="39"/>
  <c r="H203" i="39"/>
  <c r="G203" i="39"/>
  <c r="F203" i="39"/>
  <c r="E203" i="39"/>
  <c r="H202" i="39"/>
  <c r="G202" i="39"/>
  <c r="F202" i="39"/>
  <c r="E202" i="39"/>
  <c r="H201" i="39"/>
  <c r="G201" i="39"/>
  <c r="F201" i="39"/>
  <c r="E201" i="39"/>
  <c r="H200" i="39"/>
  <c r="G200" i="39"/>
  <c r="F200" i="39"/>
  <c r="E200" i="39"/>
  <c r="H199" i="39"/>
  <c r="G199" i="39"/>
  <c r="F199" i="39"/>
  <c r="E199" i="39"/>
  <c r="H198" i="39"/>
  <c r="G198" i="39"/>
  <c r="F198" i="39"/>
  <c r="E198" i="39"/>
  <c r="H197" i="39"/>
  <c r="G197" i="39"/>
  <c r="F197" i="39"/>
  <c r="E197" i="39"/>
  <c r="H196" i="39"/>
  <c r="G196" i="39"/>
  <c r="F196" i="39"/>
  <c r="E196" i="39"/>
  <c r="H195" i="39"/>
  <c r="G195" i="39"/>
  <c r="F195" i="39"/>
  <c r="E195" i="39"/>
  <c r="H194" i="39"/>
  <c r="G194" i="39"/>
  <c r="F194" i="39"/>
  <c r="E194" i="39"/>
  <c r="H193" i="39"/>
  <c r="G193" i="39"/>
  <c r="F193" i="39"/>
  <c r="E193" i="39"/>
  <c r="H192" i="39"/>
  <c r="G192" i="39"/>
  <c r="F192" i="39"/>
  <c r="E192" i="39"/>
  <c r="H191" i="39"/>
  <c r="G191" i="39"/>
  <c r="F191" i="39"/>
  <c r="E191" i="39"/>
  <c r="H190" i="39"/>
  <c r="G190" i="39"/>
  <c r="F190" i="39"/>
  <c r="E190" i="39"/>
  <c r="H189" i="39"/>
  <c r="G189" i="39"/>
  <c r="F189" i="39"/>
  <c r="E189" i="39"/>
  <c r="H188" i="39"/>
  <c r="G188" i="39"/>
  <c r="F188" i="39"/>
  <c r="E188" i="39"/>
  <c r="H187" i="39"/>
  <c r="G187" i="39"/>
  <c r="F187" i="39"/>
  <c r="E187" i="39"/>
  <c r="H186" i="39"/>
  <c r="G186" i="39"/>
  <c r="F186" i="39"/>
  <c r="E186" i="39"/>
  <c r="H185" i="39"/>
  <c r="G185" i="39"/>
  <c r="F185" i="39"/>
  <c r="E185" i="39"/>
  <c r="H184" i="39"/>
  <c r="G184" i="39"/>
  <c r="F184" i="39"/>
  <c r="E184" i="39"/>
  <c r="H183" i="39"/>
  <c r="G183" i="39"/>
  <c r="F183" i="39"/>
  <c r="E183" i="39"/>
  <c r="H182" i="39"/>
  <c r="G182" i="39"/>
  <c r="F182" i="39"/>
  <c r="E182" i="39"/>
  <c r="H181" i="39"/>
  <c r="G181" i="39"/>
  <c r="F181" i="39"/>
  <c r="E181" i="39"/>
  <c r="H180" i="39"/>
  <c r="G180" i="39"/>
  <c r="F180" i="39"/>
  <c r="E180" i="39"/>
  <c r="H179" i="39"/>
  <c r="G179" i="39"/>
  <c r="F179" i="39"/>
  <c r="E179" i="39"/>
  <c r="H178" i="39"/>
  <c r="G178" i="39"/>
  <c r="F178" i="39"/>
  <c r="E178" i="39"/>
  <c r="H177" i="39"/>
  <c r="G177" i="39"/>
  <c r="F177" i="39"/>
  <c r="E177" i="39"/>
  <c r="H176" i="39"/>
  <c r="G176" i="39"/>
  <c r="F176" i="39"/>
  <c r="E176" i="39"/>
  <c r="H175" i="39"/>
  <c r="G175" i="39"/>
  <c r="F175" i="39"/>
  <c r="E175" i="39"/>
  <c r="H174" i="39"/>
  <c r="G174" i="39"/>
  <c r="F174" i="39"/>
  <c r="E174" i="39"/>
  <c r="H173" i="39"/>
  <c r="G173" i="39"/>
  <c r="F173" i="39"/>
  <c r="E173" i="39"/>
  <c r="H172" i="39"/>
  <c r="G172" i="39"/>
  <c r="F172" i="39"/>
  <c r="E172" i="39"/>
  <c r="H171" i="39"/>
  <c r="G171" i="39"/>
  <c r="F171" i="39"/>
  <c r="E171" i="39"/>
  <c r="H170" i="39"/>
  <c r="G170" i="39"/>
  <c r="F170" i="39"/>
  <c r="E170" i="39"/>
  <c r="H169" i="39"/>
  <c r="G169" i="39"/>
  <c r="F169" i="39"/>
  <c r="E169" i="39"/>
  <c r="H168" i="39"/>
  <c r="G168" i="39"/>
  <c r="F168" i="39"/>
  <c r="E168" i="39"/>
  <c r="H167" i="39"/>
  <c r="G167" i="39"/>
  <c r="F167" i="39"/>
  <c r="E167" i="39"/>
  <c r="H166" i="39"/>
  <c r="G166" i="39"/>
  <c r="F166" i="39"/>
  <c r="E166" i="39"/>
  <c r="H165" i="39"/>
  <c r="G165" i="39"/>
  <c r="F165" i="39"/>
  <c r="E165" i="39"/>
  <c r="H164" i="39"/>
  <c r="G164" i="39"/>
  <c r="F164" i="39"/>
  <c r="E164" i="39"/>
  <c r="H163" i="39"/>
  <c r="G163" i="39"/>
  <c r="F163" i="39"/>
  <c r="E163" i="39"/>
  <c r="H162" i="39"/>
  <c r="G162" i="39"/>
  <c r="F162" i="39"/>
  <c r="E162" i="39"/>
  <c r="H161" i="39"/>
  <c r="G161" i="39"/>
  <c r="F161" i="39"/>
  <c r="E161" i="39"/>
  <c r="H160" i="39"/>
  <c r="G160" i="39"/>
  <c r="F160" i="39"/>
  <c r="E160" i="39"/>
  <c r="D265" i="41"/>
  <c r="D264" i="41"/>
  <c r="D263" i="41"/>
  <c r="D262" i="41"/>
  <c r="D261" i="41"/>
  <c r="D260" i="41"/>
  <c r="D259" i="41"/>
  <c r="D258" i="41"/>
  <c r="D257" i="41"/>
  <c r="D256" i="41"/>
  <c r="D255" i="41"/>
  <c r="D254" i="41"/>
  <c r="D253" i="41"/>
  <c r="D252" i="41"/>
  <c r="D251" i="41"/>
  <c r="D250" i="41"/>
  <c r="D249" i="41"/>
  <c r="D248" i="41"/>
  <c r="D247" i="41"/>
  <c r="D246" i="41"/>
  <c r="D245" i="41"/>
  <c r="D244" i="41"/>
  <c r="D243" i="41"/>
  <c r="D242" i="41"/>
  <c r="D241" i="41"/>
  <c r="D240" i="41"/>
  <c r="D239" i="41"/>
  <c r="D238" i="41"/>
  <c r="D237" i="41"/>
  <c r="D236" i="41"/>
  <c r="D235" i="41"/>
  <c r="D234" i="41"/>
  <c r="H231" i="41"/>
  <c r="G231" i="41"/>
  <c r="F231" i="41"/>
  <c r="E231" i="41"/>
  <c r="H230" i="41"/>
  <c r="G230" i="41"/>
  <c r="F230" i="41"/>
  <c r="E230" i="41"/>
  <c r="H229" i="41"/>
  <c r="G229" i="41"/>
  <c r="F229" i="41"/>
  <c r="E229" i="41"/>
  <c r="H228" i="41"/>
  <c r="G228" i="41"/>
  <c r="F228" i="41"/>
  <c r="E228" i="41"/>
  <c r="H227" i="41"/>
  <c r="G227" i="41"/>
  <c r="F227" i="41"/>
  <c r="E227" i="41"/>
  <c r="H226" i="41"/>
  <c r="G226" i="41"/>
  <c r="F226" i="41"/>
  <c r="E226" i="41"/>
  <c r="H225" i="41"/>
  <c r="G225" i="41"/>
  <c r="F225" i="41"/>
  <c r="E225" i="41"/>
  <c r="H224" i="41"/>
  <c r="G224" i="41"/>
  <c r="F224" i="41"/>
  <c r="E224" i="41"/>
  <c r="H223" i="41"/>
  <c r="G223" i="41"/>
  <c r="F223" i="41"/>
  <c r="E223" i="41"/>
  <c r="H222" i="41"/>
  <c r="G222" i="41"/>
  <c r="F222" i="41"/>
  <c r="E222" i="41"/>
  <c r="H221" i="41"/>
  <c r="G221" i="41"/>
  <c r="F221" i="41"/>
  <c r="E221" i="41"/>
  <c r="H220" i="41"/>
  <c r="G220" i="41"/>
  <c r="F220" i="41"/>
  <c r="E220" i="41"/>
  <c r="H219" i="41"/>
  <c r="G219" i="41"/>
  <c r="F219" i="41"/>
  <c r="E219" i="41"/>
  <c r="H218" i="41"/>
  <c r="G218" i="41"/>
  <c r="F218" i="41"/>
  <c r="E218" i="41"/>
  <c r="H217" i="41"/>
  <c r="G217" i="41"/>
  <c r="F217" i="41"/>
  <c r="E217" i="41"/>
  <c r="H216" i="41"/>
  <c r="G216" i="41"/>
  <c r="F216" i="41"/>
  <c r="E216" i="41"/>
  <c r="H215" i="41"/>
  <c r="G215" i="41"/>
  <c r="F215" i="41"/>
  <c r="E215" i="41"/>
  <c r="H214" i="41"/>
  <c r="G214" i="41"/>
  <c r="F214" i="41"/>
  <c r="E214" i="41"/>
  <c r="H213" i="41"/>
  <c r="G213" i="41"/>
  <c r="F213" i="41"/>
  <c r="E213" i="41"/>
  <c r="H212" i="41"/>
  <c r="G212" i="41"/>
  <c r="F212" i="41"/>
  <c r="E212" i="41"/>
  <c r="H211" i="41"/>
  <c r="G211" i="41"/>
  <c r="F211" i="41"/>
  <c r="E211" i="41"/>
  <c r="H210" i="41"/>
  <c r="G210" i="41"/>
  <c r="F210" i="41"/>
  <c r="E210" i="41"/>
  <c r="H209" i="41"/>
  <c r="G209" i="41"/>
  <c r="F209" i="41"/>
  <c r="E209" i="41"/>
  <c r="H208" i="41"/>
  <c r="G208" i="41"/>
  <c r="F208" i="41"/>
  <c r="E208" i="41"/>
  <c r="H207" i="41"/>
  <c r="G207" i="41"/>
  <c r="F207" i="41"/>
  <c r="E207" i="41"/>
  <c r="H206" i="41"/>
  <c r="G206" i="41"/>
  <c r="F206" i="41"/>
  <c r="E206" i="41"/>
  <c r="H205" i="41"/>
  <c r="G205" i="41"/>
  <c r="F205" i="41"/>
  <c r="E205" i="41"/>
  <c r="H204" i="41"/>
  <c r="G204" i="41"/>
  <c r="F204" i="41"/>
  <c r="E204" i="41"/>
  <c r="H203" i="41"/>
  <c r="G203" i="41"/>
  <c r="F203" i="41"/>
  <c r="E203" i="41"/>
  <c r="H202" i="41"/>
  <c r="G202" i="41"/>
  <c r="F202" i="41"/>
  <c r="E202" i="41"/>
  <c r="H201" i="41"/>
  <c r="G201" i="41"/>
  <c r="F201" i="41"/>
  <c r="E201" i="41"/>
  <c r="H200" i="41"/>
  <c r="G200" i="41"/>
  <c r="F200" i="41"/>
  <c r="E200" i="41"/>
  <c r="H199" i="41"/>
  <c r="G199" i="41"/>
  <c r="F199" i="41"/>
  <c r="E199" i="41"/>
  <c r="H198" i="41"/>
  <c r="G198" i="41"/>
  <c r="F198" i="41"/>
  <c r="E198" i="41"/>
  <c r="H197" i="41"/>
  <c r="G197" i="41"/>
  <c r="F197" i="41"/>
  <c r="E197" i="41"/>
  <c r="H196" i="41"/>
  <c r="G196" i="41"/>
  <c r="F196" i="41"/>
  <c r="E196" i="41"/>
  <c r="H195" i="41"/>
  <c r="G195" i="41"/>
  <c r="F195" i="41"/>
  <c r="E195" i="41"/>
  <c r="H194" i="41"/>
  <c r="G194" i="41"/>
  <c r="F194" i="41"/>
  <c r="E194" i="41"/>
  <c r="H193" i="41"/>
  <c r="G193" i="41"/>
  <c r="F193" i="41"/>
  <c r="E193" i="41"/>
  <c r="H192" i="41"/>
  <c r="G192" i="41"/>
  <c r="F192" i="41"/>
  <c r="E192" i="41"/>
  <c r="H191" i="41"/>
  <c r="G191" i="41"/>
  <c r="F191" i="41"/>
  <c r="E191" i="41"/>
  <c r="H190" i="41"/>
  <c r="G190" i="41"/>
  <c r="F190" i="41"/>
  <c r="E190" i="41"/>
  <c r="H189" i="41"/>
  <c r="G189" i="41"/>
  <c r="F189" i="41"/>
  <c r="E189" i="41"/>
  <c r="H188" i="41"/>
  <c r="G188" i="41"/>
  <c r="F188" i="41"/>
  <c r="E188" i="41"/>
  <c r="H187" i="41"/>
  <c r="G187" i="41"/>
  <c r="F187" i="41"/>
  <c r="E187" i="41"/>
  <c r="H186" i="41"/>
  <c r="G186" i="41"/>
  <c r="F186" i="41"/>
  <c r="E186" i="41"/>
  <c r="H185" i="41"/>
  <c r="G185" i="41"/>
  <c r="F185" i="41"/>
  <c r="E185" i="41"/>
  <c r="H184" i="41"/>
  <c r="G184" i="41"/>
  <c r="F184" i="41"/>
  <c r="E184" i="41"/>
  <c r="H183" i="41"/>
  <c r="G183" i="41"/>
  <c r="F183" i="41"/>
  <c r="E183" i="41"/>
  <c r="H182" i="41"/>
  <c r="G182" i="41"/>
  <c r="F182" i="41"/>
  <c r="E182" i="41"/>
  <c r="H181" i="41"/>
  <c r="G181" i="41"/>
  <c r="F181" i="41"/>
  <c r="E181" i="41"/>
  <c r="H180" i="41"/>
  <c r="G180" i="41"/>
  <c r="F180" i="41"/>
  <c r="E180" i="41"/>
  <c r="H179" i="41"/>
  <c r="G179" i="41"/>
  <c r="F179" i="41"/>
  <c r="E179" i="41"/>
  <c r="H178" i="41"/>
  <c r="G178" i="41"/>
  <c r="F178" i="41"/>
  <c r="E178" i="41"/>
  <c r="H177" i="41"/>
  <c r="G177" i="41"/>
  <c r="F177" i="41"/>
  <c r="E177" i="41"/>
  <c r="H176" i="41"/>
  <c r="G176" i="41"/>
  <c r="F176" i="41"/>
  <c r="E176" i="41"/>
  <c r="H175" i="41"/>
  <c r="G175" i="41"/>
  <c r="F175" i="41"/>
  <c r="E175" i="41"/>
  <c r="H174" i="41"/>
  <c r="G174" i="41"/>
  <c r="F174" i="41"/>
  <c r="E174" i="41"/>
  <c r="H173" i="41"/>
  <c r="G173" i="41"/>
  <c r="F173" i="41"/>
  <c r="E173" i="41"/>
  <c r="H172" i="41"/>
  <c r="G172" i="41"/>
  <c r="F172" i="41"/>
  <c r="E172" i="41"/>
  <c r="H171" i="41"/>
  <c r="G171" i="41"/>
  <c r="F171" i="41"/>
  <c r="E171" i="41"/>
  <c r="H170" i="41"/>
  <c r="G170" i="41"/>
  <c r="F170" i="41"/>
  <c r="E170" i="41"/>
  <c r="H169" i="41"/>
  <c r="G169" i="41"/>
  <c r="F169" i="41"/>
  <c r="E169" i="41"/>
  <c r="H168" i="41"/>
  <c r="G168" i="41"/>
  <c r="F168" i="41"/>
  <c r="E168" i="41"/>
  <c r="H167" i="41"/>
  <c r="G167" i="41"/>
  <c r="F167" i="41"/>
  <c r="E167" i="41"/>
  <c r="H166" i="41"/>
  <c r="G166" i="41"/>
  <c r="F166" i="41"/>
  <c r="E166" i="41"/>
  <c r="H165" i="41"/>
  <c r="G165" i="41"/>
  <c r="F165" i="41"/>
  <c r="E165" i="41"/>
  <c r="H164" i="41"/>
  <c r="G164" i="41"/>
  <c r="F164" i="41"/>
  <c r="E164" i="41"/>
  <c r="H163" i="41"/>
  <c r="G163" i="41"/>
  <c r="F163" i="41"/>
  <c r="E163" i="41"/>
  <c r="H162" i="41"/>
  <c r="G162" i="41"/>
  <c r="F162" i="41"/>
  <c r="E162" i="41"/>
  <c r="H161" i="41"/>
  <c r="G161" i="41"/>
  <c r="F161" i="41"/>
  <c r="E161" i="41"/>
  <c r="H160" i="41"/>
  <c r="G160" i="41"/>
  <c r="F160" i="41"/>
  <c r="E160" i="41"/>
  <c r="AO87" i="41"/>
  <c r="AN87" i="41"/>
  <c r="AM87" i="41"/>
  <c r="AH87" i="41"/>
  <c r="AG87" i="41"/>
  <c r="AF87" i="41"/>
  <c r="Z87" i="41"/>
  <c r="Y87" i="41"/>
  <c r="AA87" i="41" s="1"/>
  <c r="S87" i="41"/>
  <c r="R87" i="41"/>
  <c r="T87" i="41" s="1"/>
  <c r="M87" i="41"/>
  <c r="L87" i="41"/>
  <c r="K87" i="41"/>
  <c r="J87" i="41"/>
  <c r="F87" i="41"/>
  <c r="E87" i="41"/>
  <c r="D87" i="41"/>
  <c r="AN86" i="41"/>
  <c r="AM86" i="41"/>
  <c r="AO86" i="41" s="1"/>
  <c r="AG86" i="41"/>
  <c r="AF86" i="41"/>
  <c r="AH86" i="41" s="1"/>
  <c r="AA86" i="41"/>
  <c r="Z86" i="41"/>
  <c r="Y86" i="41"/>
  <c r="T86" i="41"/>
  <c r="S86" i="41"/>
  <c r="R86" i="41"/>
  <c r="L86" i="41"/>
  <c r="K86" i="41"/>
  <c r="M86" i="41" s="1"/>
  <c r="E86" i="41"/>
  <c r="D86" i="41"/>
  <c r="F86" i="41" s="1"/>
  <c r="AO85" i="41"/>
  <c r="AN85" i="41"/>
  <c r="AM85" i="41"/>
  <c r="AH85" i="41"/>
  <c r="AG85" i="41"/>
  <c r="AF85" i="41"/>
  <c r="Z85" i="41"/>
  <c r="Y85" i="41"/>
  <c r="AA85" i="41" s="1"/>
  <c r="S85" i="41"/>
  <c r="R85" i="41"/>
  <c r="T85" i="41" s="1"/>
  <c r="M85" i="41"/>
  <c r="L85" i="41"/>
  <c r="K85" i="41"/>
  <c r="J85" i="41"/>
  <c r="F85" i="41"/>
  <c r="E85" i="41"/>
  <c r="D85" i="41"/>
  <c r="AN84" i="41"/>
  <c r="AM84" i="41"/>
  <c r="AG84" i="41"/>
  <c r="AF84" i="41"/>
  <c r="AH84" i="41" s="1"/>
  <c r="AA84" i="41"/>
  <c r="Z84" i="41"/>
  <c r="Y84" i="41"/>
  <c r="X84" i="41"/>
  <c r="T84" i="41"/>
  <c r="S84" i="41"/>
  <c r="R84" i="41"/>
  <c r="L84" i="41"/>
  <c r="K84" i="41"/>
  <c r="M84" i="41" s="1"/>
  <c r="M90" i="41" s="1" a="1"/>
  <c r="E84" i="41"/>
  <c r="D84" i="41"/>
  <c r="F84" i="41" s="1"/>
  <c r="F90" i="41" s="1" a="1"/>
  <c r="AL81" i="41"/>
  <c r="AK81" i="41"/>
  <c r="AE81" i="41"/>
  <c r="AD81" i="41"/>
  <c r="X81" i="41"/>
  <c r="X86" i="41" s="1"/>
  <c r="W81" i="41"/>
  <c r="Q81" i="41"/>
  <c r="P81" i="41"/>
  <c r="J81" i="41"/>
  <c r="I81" i="41"/>
  <c r="C81" i="41"/>
  <c r="B81" i="41"/>
  <c r="AK80" i="41"/>
  <c r="AD80" i="41"/>
  <c r="W80" i="41"/>
  <c r="P80" i="41"/>
  <c r="I80" i="41"/>
  <c r="B80" i="41"/>
  <c r="AL76" i="41"/>
  <c r="AK76" i="41"/>
  <c r="AL87" i="41" s="1"/>
  <c r="AE76" i="41"/>
  <c r="AD76" i="41"/>
  <c r="X76" i="41"/>
  <c r="W76" i="41"/>
  <c r="Q76" i="41"/>
  <c r="P76" i="41"/>
  <c r="J76" i="41"/>
  <c r="I76" i="41"/>
  <c r="C76" i="41"/>
  <c r="B76" i="41"/>
  <c r="AK75" i="41"/>
  <c r="AD75" i="41"/>
  <c r="W75" i="41"/>
  <c r="P75" i="41"/>
  <c r="I75" i="41"/>
  <c r="B75" i="41"/>
  <c r="AL70" i="41"/>
  <c r="AL85" i="41" s="1"/>
  <c r="AK70" i="41"/>
  <c r="AE70" i="41"/>
  <c r="AD70" i="41"/>
  <c r="X70" i="41"/>
  <c r="W70" i="41"/>
  <c r="Q70" i="41"/>
  <c r="P70" i="41"/>
  <c r="J70" i="41"/>
  <c r="I70" i="41"/>
  <c r="C70" i="41"/>
  <c r="B70" i="41"/>
  <c r="AK69" i="41"/>
  <c r="AD69" i="41"/>
  <c r="W69" i="41"/>
  <c r="P69" i="41"/>
  <c r="I69" i="41"/>
  <c r="B69" i="41"/>
  <c r="AL65" i="41"/>
  <c r="AK65" i="41"/>
  <c r="AE65" i="41"/>
  <c r="AD65" i="41"/>
  <c r="X65" i="41"/>
  <c r="W65" i="41"/>
  <c r="Q65" i="41"/>
  <c r="P65" i="41"/>
  <c r="J65" i="41"/>
  <c r="I65" i="41"/>
  <c r="C65" i="41"/>
  <c r="B65" i="41"/>
  <c r="AK64" i="41"/>
  <c r="AD64" i="41"/>
  <c r="W64" i="41"/>
  <c r="P64" i="41"/>
  <c r="I64" i="41"/>
  <c r="B64" i="41"/>
  <c r="AL59" i="41"/>
  <c r="AK59" i="41"/>
  <c r="AL86" i="41" s="1"/>
  <c r="AE59" i="41"/>
  <c r="AE87" i="41" s="1"/>
  <c r="AD59" i="41"/>
  <c r="AE86" i="41" s="1"/>
  <c r="X59" i="41"/>
  <c r="X87" i="41" s="1"/>
  <c r="W59" i="41"/>
  <c r="Q59" i="41"/>
  <c r="Q87" i="41" s="1"/>
  <c r="P59" i="41"/>
  <c r="Q86" i="41" s="1"/>
  <c r="J59" i="41"/>
  <c r="I59" i="41"/>
  <c r="J86" i="41" s="1"/>
  <c r="C59" i="41"/>
  <c r="C87" i="41" s="1"/>
  <c r="B59" i="41"/>
  <c r="C86" i="41" s="1"/>
  <c r="AK58" i="41"/>
  <c r="AD58" i="41"/>
  <c r="W58" i="41"/>
  <c r="P58" i="41"/>
  <c r="I58" i="41"/>
  <c r="B58" i="41"/>
  <c r="AL54" i="41"/>
  <c r="AK54" i="41"/>
  <c r="AL84" i="41" s="1"/>
  <c r="AE54" i="41"/>
  <c r="AE85" i="41" s="1"/>
  <c r="AD54" i="41"/>
  <c r="AE84" i="41" s="1"/>
  <c r="X54" i="41"/>
  <c r="X85" i="41" s="1"/>
  <c r="W90" i="41" s="1" a="1"/>
  <c r="W54" i="41"/>
  <c r="Q54" i="41"/>
  <c r="Q85" i="41" s="1"/>
  <c r="P54" i="41"/>
  <c r="Q84" i="41" s="1"/>
  <c r="J54" i="41"/>
  <c r="I54" i="41"/>
  <c r="J84" i="41" s="1"/>
  <c r="C54" i="41"/>
  <c r="C85" i="41" s="1"/>
  <c r="B54" i="41"/>
  <c r="C84" i="41" s="1"/>
  <c r="AK53" i="41"/>
  <c r="AD53" i="41"/>
  <c r="W53" i="41"/>
  <c r="P53" i="41"/>
  <c r="I53" i="41"/>
  <c r="B53" i="41"/>
  <c r="AN40" i="41"/>
  <c r="AM40" i="41"/>
  <c r="AO40" i="41" s="1"/>
  <c r="AH40" i="41"/>
  <c r="AG40" i="41"/>
  <c r="AF40" i="41"/>
  <c r="Z40" i="41"/>
  <c r="Y40" i="41"/>
  <c r="AA40" i="41" s="1"/>
  <c r="S40" i="41"/>
  <c r="R40" i="41"/>
  <c r="T40" i="41" s="1"/>
  <c r="L40" i="41"/>
  <c r="K40" i="41"/>
  <c r="M40" i="41" s="1"/>
  <c r="F40" i="41"/>
  <c r="E40" i="41"/>
  <c r="D40" i="41"/>
  <c r="AN39" i="41"/>
  <c r="AM39" i="41"/>
  <c r="AO39" i="41" s="1"/>
  <c r="AG39" i="41"/>
  <c r="AF39" i="41"/>
  <c r="AH39" i="41" s="1"/>
  <c r="Z39" i="41"/>
  <c r="Y39" i="41"/>
  <c r="AA39" i="41" s="1"/>
  <c r="X39" i="41"/>
  <c r="T39" i="41"/>
  <c r="S39" i="41"/>
  <c r="R39" i="41"/>
  <c r="L39" i="41"/>
  <c r="K39" i="41"/>
  <c r="M39" i="41" s="1"/>
  <c r="E39" i="41"/>
  <c r="D39" i="41"/>
  <c r="F39" i="41" s="1"/>
  <c r="AN38" i="41"/>
  <c r="AM38" i="41"/>
  <c r="AO38" i="41" s="1"/>
  <c r="AH38" i="41"/>
  <c r="AG38" i="41"/>
  <c r="AF38" i="41"/>
  <c r="Z38" i="41"/>
  <c r="Y38" i="41"/>
  <c r="AA38" i="41" s="1"/>
  <c r="S38" i="41"/>
  <c r="R38" i="41"/>
  <c r="T38" i="41" s="1"/>
  <c r="L38" i="41"/>
  <c r="K38" i="41"/>
  <c r="M38" i="41" s="1"/>
  <c r="F38" i="41"/>
  <c r="E38" i="41"/>
  <c r="D38" i="41"/>
  <c r="AN37" i="41"/>
  <c r="AM37" i="41"/>
  <c r="AG37" i="41"/>
  <c r="AF37" i="41"/>
  <c r="AH37" i="41" s="1"/>
  <c r="Z37" i="41"/>
  <c r="Y37" i="41"/>
  <c r="X37" i="41"/>
  <c r="T37" i="41"/>
  <c r="T43" i="41" s="1" a="1"/>
  <c r="S37" i="41"/>
  <c r="R37" i="41"/>
  <c r="L37" i="41"/>
  <c r="K37" i="41"/>
  <c r="M37" i="41" s="1"/>
  <c r="E37" i="41"/>
  <c r="D37" i="41"/>
  <c r="AL34" i="41"/>
  <c r="AK34" i="41"/>
  <c r="AL40" i="41" s="1"/>
  <c r="AE34" i="41"/>
  <c r="AE37" i="41" s="1"/>
  <c r="AD34" i="41"/>
  <c r="X34" i="41"/>
  <c r="W34" i="41"/>
  <c r="Q34" i="41"/>
  <c r="P34" i="41"/>
  <c r="J34" i="41"/>
  <c r="I34" i="41"/>
  <c r="C34" i="41"/>
  <c r="B34" i="41"/>
  <c r="AK33" i="41"/>
  <c r="AD33" i="41"/>
  <c r="W33" i="41"/>
  <c r="P33" i="41"/>
  <c r="I33" i="41"/>
  <c r="B33" i="41"/>
  <c r="AL29" i="41"/>
  <c r="AL39" i="41" s="1"/>
  <c r="AK29" i="41"/>
  <c r="AL38" i="41" s="1"/>
  <c r="AE29" i="41"/>
  <c r="AD29" i="41"/>
  <c r="X29" i="41"/>
  <c r="W29" i="41"/>
  <c r="Q29" i="41"/>
  <c r="P29" i="41"/>
  <c r="J29" i="41"/>
  <c r="I29" i="41"/>
  <c r="C29" i="41"/>
  <c r="B29" i="41"/>
  <c r="AK28" i="41"/>
  <c r="AD28" i="41"/>
  <c r="W28" i="41"/>
  <c r="P28" i="41"/>
  <c r="I28" i="41"/>
  <c r="B28" i="41"/>
  <c r="AL23" i="41"/>
  <c r="AK23" i="41"/>
  <c r="AE23" i="41"/>
  <c r="AD23" i="41"/>
  <c r="X23" i="41"/>
  <c r="W23" i="41"/>
  <c r="Q23" i="41"/>
  <c r="P23" i="41"/>
  <c r="J23" i="41"/>
  <c r="I23" i="41"/>
  <c r="C23" i="41"/>
  <c r="B23" i="41"/>
  <c r="C37" i="41" s="1"/>
  <c r="AK22" i="41"/>
  <c r="AD22" i="41"/>
  <c r="W22" i="41"/>
  <c r="P22" i="41"/>
  <c r="I22" i="41"/>
  <c r="B22" i="41"/>
  <c r="AL18" i="41"/>
  <c r="AK18" i="41"/>
  <c r="AE18" i="41"/>
  <c r="AD18" i="41"/>
  <c r="X18" i="41"/>
  <c r="W18" i="41"/>
  <c r="X40" i="41" s="1"/>
  <c r="Q18" i="41"/>
  <c r="P18" i="41"/>
  <c r="J18" i="41"/>
  <c r="I18" i="41"/>
  <c r="C18" i="41"/>
  <c r="B18" i="41"/>
  <c r="AK17" i="41"/>
  <c r="AD17" i="41"/>
  <c r="W17" i="41"/>
  <c r="P17" i="41"/>
  <c r="I17" i="41"/>
  <c r="B17" i="41"/>
  <c r="AL12" i="41"/>
  <c r="AK12" i="41"/>
  <c r="AE12" i="41"/>
  <c r="AE40" i="41" s="1"/>
  <c r="AD12" i="41"/>
  <c r="AE39" i="41" s="1"/>
  <c r="X12" i="41"/>
  <c r="W12" i="41"/>
  <c r="Q12" i="41"/>
  <c r="Q40" i="41" s="1"/>
  <c r="P12" i="41"/>
  <c r="Q39" i="41" s="1"/>
  <c r="J12" i="41"/>
  <c r="J40" i="41" s="1"/>
  <c r="I12" i="41"/>
  <c r="J39" i="41" s="1"/>
  <c r="C12" i="41"/>
  <c r="C40" i="41" s="1"/>
  <c r="B12" i="41"/>
  <c r="C39" i="41" s="1"/>
  <c r="AK11" i="41"/>
  <c r="AD11" i="41"/>
  <c r="W11" i="41"/>
  <c r="P11" i="41"/>
  <c r="I11" i="41"/>
  <c r="B11" i="41"/>
  <c r="AL7" i="41"/>
  <c r="AK7" i="41"/>
  <c r="AL37" i="41" s="1"/>
  <c r="AE7" i="41"/>
  <c r="AE38" i="41" s="1"/>
  <c r="AD7" i="41"/>
  <c r="X7" i="41"/>
  <c r="X38" i="41" s="1"/>
  <c r="W7" i="41"/>
  <c r="Q7" i="41"/>
  <c r="Q38" i="41" s="1"/>
  <c r="P7" i="41"/>
  <c r="Q37" i="41" s="1"/>
  <c r="J7" i="41"/>
  <c r="J38" i="41" s="1"/>
  <c r="I7" i="41"/>
  <c r="J37" i="41" s="1"/>
  <c r="C7" i="41"/>
  <c r="C38" i="41" s="1"/>
  <c r="B7" i="41"/>
  <c r="AK6" i="41"/>
  <c r="AD6" i="41"/>
  <c r="W6" i="41"/>
  <c r="P6" i="41"/>
  <c r="I6" i="41"/>
  <c r="B6" i="41"/>
  <c r="D265" i="40"/>
  <c r="D264" i="40"/>
  <c r="D263" i="40"/>
  <c r="D262" i="40"/>
  <c r="D261" i="40"/>
  <c r="D260" i="40"/>
  <c r="D259" i="40"/>
  <c r="D258" i="40"/>
  <c r="D257" i="40"/>
  <c r="D256" i="40"/>
  <c r="D255" i="40"/>
  <c r="D254" i="40"/>
  <c r="D253" i="40"/>
  <c r="D252" i="40"/>
  <c r="D251" i="40"/>
  <c r="D250" i="40"/>
  <c r="D249" i="40"/>
  <c r="D248" i="40"/>
  <c r="D247" i="40"/>
  <c r="D246" i="40"/>
  <c r="D245" i="40"/>
  <c r="D244" i="40"/>
  <c r="D243" i="40"/>
  <c r="D242" i="40"/>
  <c r="D241" i="40"/>
  <c r="D240" i="40"/>
  <c r="D239" i="40"/>
  <c r="D238" i="40"/>
  <c r="D237" i="40"/>
  <c r="D236" i="40"/>
  <c r="D235" i="40"/>
  <c r="D234" i="40"/>
  <c r="H231" i="40"/>
  <c r="G231" i="40"/>
  <c r="F231" i="40"/>
  <c r="E231" i="40"/>
  <c r="H230" i="40"/>
  <c r="G230" i="40"/>
  <c r="F230" i="40"/>
  <c r="E230" i="40"/>
  <c r="H229" i="40"/>
  <c r="G229" i="40"/>
  <c r="F229" i="40"/>
  <c r="E229" i="40"/>
  <c r="H228" i="40"/>
  <c r="G228" i="40"/>
  <c r="F228" i="40"/>
  <c r="E228" i="40"/>
  <c r="H227" i="40"/>
  <c r="G227" i="40"/>
  <c r="F227" i="40"/>
  <c r="E227" i="40"/>
  <c r="H226" i="40"/>
  <c r="G226" i="40"/>
  <c r="F226" i="40"/>
  <c r="E226" i="40"/>
  <c r="H225" i="40"/>
  <c r="G225" i="40"/>
  <c r="F225" i="40"/>
  <c r="E225" i="40"/>
  <c r="H224" i="40"/>
  <c r="G224" i="40"/>
  <c r="F224" i="40"/>
  <c r="E224" i="40"/>
  <c r="H223" i="40"/>
  <c r="G223" i="40"/>
  <c r="F223" i="40"/>
  <c r="E223" i="40"/>
  <c r="H222" i="40"/>
  <c r="G222" i="40"/>
  <c r="F222" i="40"/>
  <c r="E222" i="40"/>
  <c r="H221" i="40"/>
  <c r="G221" i="40"/>
  <c r="F221" i="40"/>
  <c r="E221" i="40"/>
  <c r="H220" i="40"/>
  <c r="G220" i="40"/>
  <c r="F220" i="40"/>
  <c r="E220" i="40"/>
  <c r="H219" i="40"/>
  <c r="G219" i="40"/>
  <c r="F219" i="40"/>
  <c r="E219" i="40"/>
  <c r="H218" i="40"/>
  <c r="G218" i="40"/>
  <c r="F218" i="40"/>
  <c r="E218" i="40"/>
  <c r="H217" i="40"/>
  <c r="G217" i="40"/>
  <c r="F217" i="40"/>
  <c r="E217" i="40"/>
  <c r="H216" i="40"/>
  <c r="G216" i="40"/>
  <c r="F216" i="40"/>
  <c r="E216" i="40"/>
  <c r="H215" i="40"/>
  <c r="G215" i="40"/>
  <c r="F215" i="40"/>
  <c r="E215" i="40"/>
  <c r="H214" i="40"/>
  <c r="G214" i="40"/>
  <c r="F214" i="40"/>
  <c r="E214" i="40"/>
  <c r="H213" i="40"/>
  <c r="G213" i="40"/>
  <c r="F213" i="40"/>
  <c r="E213" i="40"/>
  <c r="H212" i="40"/>
  <c r="G212" i="40"/>
  <c r="F212" i="40"/>
  <c r="E212" i="40"/>
  <c r="H211" i="40"/>
  <c r="G211" i="40"/>
  <c r="F211" i="40"/>
  <c r="E211" i="40"/>
  <c r="H210" i="40"/>
  <c r="G210" i="40"/>
  <c r="F210" i="40"/>
  <c r="E210" i="40"/>
  <c r="H209" i="40"/>
  <c r="G209" i="40"/>
  <c r="F209" i="40"/>
  <c r="E209" i="40"/>
  <c r="H208" i="40"/>
  <c r="G208" i="40"/>
  <c r="F208" i="40"/>
  <c r="E208" i="40"/>
  <c r="H207" i="40"/>
  <c r="G207" i="40"/>
  <c r="F207" i="40"/>
  <c r="E207" i="40"/>
  <c r="H206" i="40"/>
  <c r="G206" i="40"/>
  <c r="F206" i="40"/>
  <c r="E206" i="40"/>
  <c r="H205" i="40"/>
  <c r="G205" i="40"/>
  <c r="F205" i="40"/>
  <c r="E205" i="40"/>
  <c r="H204" i="40"/>
  <c r="G204" i="40"/>
  <c r="F204" i="40"/>
  <c r="E204" i="40"/>
  <c r="H203" i="40"/>
  <c r="G203" i="40"/>
  <c r="F203" i="40"/>
  <c r="E203" i="40"/>
  <c r="H202" i="40"/>
  <c r="G202" i="40"/>
  <c r="F202" i="40"/>
  <c r="E202" i="40"/>
  <c r="H201" i="40"/>
  <c r="G201" i="40"/>
  <c r="F201" i="40"/>
  <c r="E201" i="40"/>
  <c r="H200" i="40"/>
  <c r="G200" i="40"/>
  <c r="F200" i="40"/>
  <c r="E200" i="40"/>
  <c r="H199" i="40"/>
  <c r="G199" i="40"/>
  <c r="F199" i="40"/>
  <c r="E199" i="40"/>
  <c r="H198" i="40"/>
  <c r="G198" i="40"/>
  <c r="F198" i="40"/>
  <c r="E198" i="40"/>
  <c r="H197" i="40"/>
  <c r="G197" i="40"/>
  <c r="F197" i="40"/>
  <c r="E197" i="40"/>
  <c r="H196" i="40"/>
  <c r="G196" i="40"/>
  <c r="F196" i="40"/>
  <c r="E196" i="40"/>
  <c r="H195" i="40"/>
  <c r="G195" i="40"/>
  <c r="F195" i="40"/>
  <c r="E195" i="40"/>
  <c r="H194" i="40"/>
  <c r="G194" i="40"/>
  <c r="F194" i="40"/>
  <c r="E194" i="40"/>
  <c r="H193" i="40"/>
  <c r="G193" i="40"/>
  <c r="F193" i="40"/>
  <c r="E193" i="40"/>
  <c r="H192" i="40"/>
  <c r="G192" i="40"/>
  <c r="F192" i="40"/>
  <c r="E192" i="40"/>
  <c r="H191" i="40"/>
  <c r="G191" i="40"/>
  <c r="F191" i="40"/>
  <c r="E191" i="40"/>
  <c r="H190" i="40"/>
  <c r="G190" i="40"/>
  <c r="F190" i="40"/>
  <c r="E190" i="40"/>
  <c r="H189" i="40"/>
  <c r="G189" i="40"/>
  <c r="F189" i="40"/>
  <c r="E189" i="40"/>
  <c r="H188" i="40"/>
  <c r="G188" i="40"/>
  <c r="F188" i="40"/>
  <c r="E188" i="40"/>
  <c r="H187" i="40"/>
  <c r="G187" i="40"/>
  <c r="F187" i="40"/>
  <c r="E187" i="40"/>
  <c r="H186" i="40"/>
  <c r="G186" i="40"/>
  <c r="F186" i="40"/>
  <c r="E186" i="40"/>
  <c r="H185" i="40"/>
  <c r="G185" i="40"/>
  <c r="F185" i="40"/>
  <c r="E185" i="40"/>
  <c r="H184" i="40"/>
  <c r="G184" i="40"/>
  <c r="F184" i="40"/>
  <c r="E184" i="40"/>
  <c r="H183" i="40"/>
  <c r="G183" i="40"/>
  <c r="F183" i="40"/>
  <c r="E183" i="40"/>
  <c r="H182" i="40"/>
  <c r="G182" i="40"/>
  <c r="F182" i="40"/>
  <c r="E182" i="40"/>
  <c r="H181" i="40"/>
  <c r="G181" i="40"/>
  <c r="F181" i="40"/>
  <c r="E181" i="40"/>
  <c r="H180" i="40"/>
  <c r="G180" i="40"/>
  <c r="F180" i="40"/>
  <c r="E180" i="40"/>
  <c r="H179" i="40"/>
  <c r="G179" i="40"/>
  <c r="F179" i="40"/>
  <c r="E179" i="40"/>
  <c r="H178" i="40"/>
  <c r="G178" i="40"/>
  <c r="F178" i="40"/>
  <c r="E178" i="40"/>
  <c r="H177" i="40"/>
  <c r="G177" i="40"/>
  <c r="F177" i="40"/>
  <c r="E177" i="40"/>
  <c r="H176" i="40"/>
  <c r="G176" i="40"/>
  <c r="F176" i="40"/>
  <c r="E176" i="40"/>
  <c r="H175" i="40"/>
  <c r="G175" i="40"/>
  <c r="F175" i="40"/>
  <c r="E175" i="40"/>
  <c r="H174" i="40"/>
  <c r="G174" i="40"/>
  <c r="F174" i="40"/>
  <c r="E174" i="40"/>
  <c r="H173" i="40"/>
  <c r="G173" i="40"/>
  <c r="F173" i="40"/>
  <c r="E173" i="40"/>
  <c r="H172" i="40"/>
  <c r="G172" i="40"/>
  <c r="F172" i="40"/>
  <c r="E172" i="40"/>
  <c r="H171" i="40"/>
  <c r="G171" i="40"/>
  <c r="F171" i="40"/>
  <c r="E171" i="40"/>
  <c r="H170" i="40"/>
  <c r="G170" i="40"/>
  <c r="F170" i="40"/>
  <c r="E170" i="40"/>
  <c r="H169" i="40"/>
  <c r="G169" i="40"/>
  <c r="F169" i="40"/>
  <c r="E169" i="40"/>
  <c r="H168" i="40"/>
  <c r="G168" i="40"/>
  <c r="F168" i="40"/>
  <c r="E168" i="40"/>
  <c r="H167" i="40"/>
  <c r="G167" i="40"/>
  <c r="F167" i="40"/>
  <c r="E167" i="40"/>
  <c r="H166" i="40"/>
  <c r="G166" i="40"/>
  <c r="F166" i="40"/>
  <c r="E166" i="40"/>
  <c r="H165" i="40"/>
  <c r="G165" i="40"/>
  <c r="F165" i="40"/>
  <c r="E165" i="40"/>
  <c r="H164" i="40"/>
  <c r="G164" i="40"/>
  <c r="F164" i="40"/>
  <c r="E164" i="40"/>
  <c r="H163" i="40"/>
  <c r="G163" i="40"/>
  <c r="F163" i="40"/>
  <c r="E163" i="40"/>
  <c r="H162" i="40"/>
  <c r="G162" i="40"/>
  <c r="F162" i="40"/>
  <c r="E162" i="40"/>
  <c r="H161" i="40"/>
  <c r="G161" i="40"/>
  <c r="F161" i="40"/>
  <c r="E161" i="40"/>
  <c r="H160" i="40"/>
  <c r="G160" i="40"/>
  <c r="F160" i="40"/>
  <c r="E160" i="40"/>
  <c r="AN87" i="40"/>
  <c r="AM87" i="40"/>
  <c r="AO87" i="40" s="1"/>
  <c r="AG87" i="40"/>
  <c r="AF87" i="40"/>
  <c r="AH87" i="40" s="1"/>
  <c r="Z87" i="40"/>
  <c r="Y87" i="40"/>
  <c r="AA87" i="40" s="1"/>
  <c r="S87" i="40"/>
  <c r="T87" i="40" s="1"/>
  <c r="R87" i="40"/>
  <c r="L87" i="40"/>
  <c r="K87" i="40"/>
  <c r="M87" i="40" s="1"/>
  <c r="E87" i="40"/>
  <c r="D87" i="40"/>
  <c r="F87" i="40" s="1"/>
  <c r="AN86" i="40"/>
  <c r="AM86" i="40"/>
  <c r="AO86" i="40" s="1"/>
  <c r="AG86" i="40"/>
  <c r="AH86" i="40" s="1"/>
  <c r="AF86" i="40"/>
  <c r="Z86" i="40"/>
  <c r="Y86" i="40"/>
  <c r="AA86" i="40" s="1"/>
  <c r="S86" i="40"/>
  <c r="R86" i="40"/>
  <c r="T86" i="40" s="1"/>
  <c r="L86" i="40"/>
  <c r="K86" i="40"/>
  <c r="M86" i="40" s="1"/>
  <c r="J86" i="40"/>
  <c r="E86" i="40"/>
  <c r="F86" i="40" s="1"/>
  <c r="D86" i="40"/>
  <c r="AN85" i="40"/>
  <c r="AM85" i="40"/>
  <c r="AO85" i="40" s="1"/>
  <c r="AG85" i="40"/>
  <c r="AF85" i="40"/>
  <c r="AH85" i="40" s="1"/>
  <c r="Z85" i="40"/>
  <c r="Y85" i="40"/>
  <c r="AA85" i="40" s="1"/>
  <c r="X85" i="40"/>
  <c r="S85" i="40"/>
  <c r="T85" i="40" s="1"/>
  <c r="R85" i="40"/>
  <c r="L85" i="40"/>
  <c r="K85" i="40"/>
  <c r="M85" i="40" s="1"/>
  <c r="E85" i="40"/>
  <c r="D85" i="40"/>
  <c r="F85" i="40" s="1"/>
  <c r="AN84" i="40"/>
  <c r="AM84" i="40"/>
  <c r="AO84" i="40" s="1"/>
  <c r="AG84" i="40"/>
  <c r="AH84" i="40" s="1"/>
  <c r="AF84" i="40"/>
  <c r="Z84" i="40"/>
  <c r="Y84" i="40"/>
  <c r="AA84" i="40" s="1"/>
  <c r="S84" i="40"/>
  <c r="R84" i="40"/>
  <c r="T84" i="40" s="1"/>
  <c r="L84" i="40"/>
  <c r="L90" i="40" s="1" a="1"/>
  <c r="K84" i="40"/>
  <c r="M84" i="40" s="1"/>
  <c r="M90" i="40" s="1" a="1"/>
  <c r="J84" i="40"/>
  <c r="E84" i="40"/>
  <c r="F84" i="40" s="1"/>
  <c r="D84" i="40"/>
  <c r="AL81" i="40"/>
  <c r="AK81" i="40"/>
  <c r="AE81" i="40"/>
  <c r="AD81" i="40"/>
  <c r="X81" i="40"/>
  <c r="W81" i="40"/>
  <c r="Q81" i="40"/>
  <c r="P81" i="40"/>
  <c r="J81" i="40"/>
  <c r="I81" i="40"/>
  <c r="C81" i="40"/>
  <c r="B81" i="40"/>
  <c r="C85" i="40" s="1"/>
  <c r="AK80" i="40"/>
  <c r="AD80" i="40"/>
  <c r="W80" i="40"/>
  <c r="P80" i="40"/>
  <c r="I80" i="40"/>
  <c r="B80" i="40"/>
  <c r="AL76" i="40"/>
  <c r="AK76" i="40"/>
  <c r="AE76" i="40"/>
  <c r="AD76" i="40"/>
  <c r="X76" i="40"/>
  <c r="W76" i="40"/>
  <c r="Q76" i="40"/>
  <c r="P76" i="40"/>
  <c r="J76" i="40"/>
  <c r="I76" i="40"/>
  <c r="C76" i="40"/>
  <c r="B76" i="40"/>
  <c r="C87" i="40" s="1"/>
  <c r="AK75" i="40"/>
  <c r="AD75" i="40"/>
  <c r="W75" i="40"/>
  <c r="P75" i="40"/>
  <c r="I75" i="40"/>
  <c r="B75" i="40"/>
  <c r="AL70" i="40"/>
  <c r="AK70" i="40"/>
  <c r="AE70" i="40"/>
  <c r="AD70" i="40"/>
  <c r="X70" i="40"/>
  <c r="W70" i="40"/>
  <c r="Q70" i="40"/>
  <c r="P70" i="40"/>
  <c r="J70" i="40"/>
  <c r="I70" i="40"/>
  <c r="J87" i="40" s="1"/>
  <c r="C70" i="40"/>
  <c r="B70" i="40"/>
  <c r="AK69" i="40"/>
  <c r="AD69" i="40"/>
  <c r="W69" i="40"/>
  <c r="P69" i="40"/>
  <c r="I69" i="40"/>
  <c r="B69" i="40"/>
  <c r="AL65" i="40"/>
  <c r="AK65" i="40"/>
  <c r="AE65" i="40"/>
  <c r="AD65" i="40"/>
  <c r="X65" i="40"/>
  <c r="W65" i="40"/>
  <c r="X84" i="40" s="1"/>
  <c r="Q65" i="40"/>
  <c r="Q86" i="40" s="1"/>
  <c r="P65" i="40"/>
  <c r="Q84" i="40" s="1"/>
  <c r="J65" i="40"/>
  <c r="I65" i="40"/>
  <c r="C65" i="40"/>
  <c r="B65" i="40"/>
  <c r="AK64" i="40"/>
  <c r="AD64" i="40"/>
  <c r="W64" i="40"/>
  <c r="P64" i="40"/>
  <c r="I64" i="40"/>
  <c r="B64" i="40"/>
  <c r="AL59" i="40"/>
  <c r="AL87" i="40" s="1"/>
  <c r="AK59" i="40"/>
  <c r="AL86" i="40" s="1"/>
  <c r="AE59" i="40"/>
  <c r="AE87" i="40" s="1"/>
  <c r="AD59" i="40"/>
  <c r="AE86" i="40" s="1"/>
  <c r="X59" i="40"/>
  <c r="X87" i="40" s="1"/>
  <c r="W59" i="40"/>
  <c r="X86" i="40" s="1"/>
  <c r="Q59" i="40"/>
  <c r="Q87" i="40" s="1"/>
  <c r="P59" i="40"/>
  <c r="J59" i="40"/>
  <c r="I59" i="40"/>
  <c r="C59" i="40"/>
  <c r="B59" i="40"/>
  <c r="C86" i="40" s="1"/>
  <c r="AK58" i="40"/>
  <c r="AD58" i="40"/>
  <c r="W58" i="40"/>
  <c r="P58" i="40"/>
  <c r="I58" i="40"/>
  <c r="B58" i="40"/>
  <c r="AL54" i="40"/>
  <c r="AL85" i="40" s="1"/>
  <c r="AK54" i="40"/>
  <c r="AL84" i="40" s="1"/>
  <c r="AE54" i="40"/>
  <c r="AE85" i="40" s="1"/>
  <c r="AD54" i="40"/>
  <c r="AE84" i="40" s="1"/>
  <c r="X54" i="40"/>
  <c r="W54" i="40"/>
  <c r="Q54" i="40"/>
  <c r="Q85" i="40" s="1"/>
  <c r="P54" i="40"/>
  <c r="J54" i="40"/>
  <c r="J85" i="40" s="1"/>
  <c r="I54" i="40"/>
  <c r="C54" i="40"/>
  <c r="B54" i="40"/>
  <c r="C84" i="40" s="1"/>
  <c r="AK53" i="40"/>
  <c r="AD53" i="40"/>
  <c r="W53" i="40"/>
  <c r="P53" i="40"/>
  <c r="I53" i="40"/>
  <c r="B53" i="40"/>
  <c r="AN40" i="40"/>
  <c r="AM40" i="40"/>
  <c r="AO40" i="40" s="1"/>
  <c r="AG40" i="40"/>
  <c r="AH40" i="40" s="1"/>
  <c r="AF40" i="40"/>
  <c r="Z40" i="40"/>
  <c r="Y40" i="40"/>
  <c r="AA40" i="40" s="1"/>
  <c r="S40" i="40"/>
  <c r="R40" i="40"/>
  <c r="T40" i="40" s="1"/>
  <c r="L40" i="40"/>
  <c r="K40" i="40"/>
  <c r="M40" i="40" s="1"/>
  <c r="J40" i="40"/>
  <c r="E40" i="40"/>
  <c r="F40" i="40" s="1"/>
  <c r="D40" i="40"/>
  <c r="AN39" i="40"/>
  <c r="AM39" i="40"/>
  <c r="AO39" i="40" s="1"/>
  <c r="AG39" i="40"/>
  <c r="AF39" i="40"/>
  <c r="AH39" i="40" s="1"/>
  <c r="Z39" i="40"/>
  <c r="Y39" i="40"/>
  <c r="AA39" i="40" s="1"/>
  <c r="X39" i="40"/>
  <c r="S39" i="40"/>
  <c r="T39" i="40" s="1"/>
  <c r="R39" i="40"/>
  <c r="L39" i="40"/>
  <c r="K39" i="40"/>
  <c r="M39" i="40" s="1"/>
  <c r="E39" i="40"/>
  <c r="D39" i="40"/>
  <c r="F39" i="40" s="1"/>
  <c r="AN38" i="40"/>
  <c r="AM38" i="40"/>
  <c r="AO38" i="40" s="1"/>
  <c r="AG38" i="40"/>
  <c r="AH38" i="40" s="1"/>
  <c r="AF38" i="40"/>
  <c r="Z38" i="40"/>
  <c r="Y38" i="40"/>
  <c r="AA38" i="40" s="1"/>
  <c r="S38" i="40"/>
  <c r="R38" i="40"/>
  <c r="T38" i="40" s="1"/>
  <c r="L38" i="40"/>
  <c r="K38" i="40"/>
  <c r="M38" i="40" s="1"/>
  <c r="E38" i="40"/>
  <c r="F38" i="40" s="1"/>
  <c r="D38" i="40"/>
  <c r="AN37" i="40"/>
  <c r="AM37" i="40"/>
  <c r="AO37" i="40" s="1"/>
  <c r="AG37" i="40"/>
  <c r="AF37" i="40"/>
  <c r="AH37" i="40" s="1"/>
  <c r="Z37" i="40"/>
  <c r="Y37" i="40"/>
  <c r="AA37" i="40" s="1"/>
  <c r="S37" i="40"/>
  <c r="T37" i="40" s="1"/>
  <c r="R37" i="40"/>
  <c r="L37" i="40"/>
  <c r="K37" i="40"/>
  <c r="M37" i="40" s="1"/>
  <c r="E37" i="40"/>
  <c r="E43" i="40" s="1" a="1"/>
  <c r="D37" i="40"/>
  <c r="F37" i="40" s="1"/>
  <c r="AL34" i="40"/>
  <c r="AK34" i="40"/>
  <c r="AL40" i="40" s="1"/>
  <c r="AE34" i="40"/>
  <c r="AE37" i="40" s="1"/>
  <c r="AD34" i="40"/>
  <c r="X34" i="40"/>
  <c r="X37" i="40" s="1"/>
  <c r="W34" i="40"/>
  <c r="Q34" i="40"/>
  <c r="P34" i="40"/>
  <c r="J34" i="40"/>
  <c r="I34" i="40"/>
  <c r="C34" i="40"/>
  <c r="B34" i="40"/>
  <c r="AK33" i="40"/>
  <c r="AD33" i="40"/>
  <c r="W33" i="40"/>
  <c r="P33" i="40"/>
  <c r="I33" i="40"/>
  <c r="B33" i="40"/>
  <c r="AL29" i="40"/>
  <c r="AK29" i="40"/>
  <c r="AL38" i="40" s="1"/>
  <c r="AE29" i="40"/>
  <c r="AE39" i="40" s="1"/>
  <c r="AD29" i="40"/>
  <c r="X29" i="40"/>
  <c r="W29" i="40"/>
  <c r="Q29" i="40"/>
  <c r="P29" i="40"/>
  <c r="J29" i="40"/>
  <c r="I29" i="40"/>
  <c r="C29" i="40"/>
  <c r="B29" i="40"/>
  <c r="AK28" i="40"/>
  <c r="AD28" i="40"/>
  <c r="W28" i="40"/>
  <c r="P28" i="40"/>
  <c r="I28" i="40"/>
  <c r="B28" i="40"/>
  <c r="AL23" i="40"/>
  <c r="AK23" i="40"/>
  <c r="AE23" i="40"/>
  <c r="AD23" i="40"/>
  <c r="X23" i="40"/>
  <c r="W23" i="40"/>
  <c r="Q23" i="40"/>
  <c r="P23" i="40"/>
  <c r="J23" i="40"/>
  <c r="I23" i="40"/>
  <c r="C23" i="40"/>
  <c r="B23" i="40"/>
  <c r="AK22" i="40"/>
  <c r="AD22" i="40"/>
  <c r="W22" i="40"/>
  <c r="P22" i="40"/>
  <c r="I22" i="40"/>
  <c r="B22" i="40"/>
  <c r="AL18" i="40"/>
  <c r="AK18" i="40"/>
  <c r="AE18" i="40"/>
  <c r="AD18" i="40"/>
  <c r="X18" i="40"/>
  <c r="W18" i="40"/>
  <c r="Q18" i="40"/>
  <c r="P18" i="40"/>
  <c r="J18" i="40"/>
  <c r="I18" i="40"/>
  <c r="C18" i="40"/>
  <c r="B18" i="40"/>
  <c r="AK17" i="40"/>
  <c r="AD17" i="40"/>
  <c r="W17" i="40"/>
  <c r="P17" i="40"/>
  <c r="I17" i="40"/>
  <c r="B17" i="40"/>
  <c r="AL12" i="40"/>
  <c r="AK12" i="40"/>
  <c r="AL39" i="40" s="1"/>
  <c r="AE12" i="40"/>
  <c r="AE40" i="40" s="1"/>
  <c r="AD12" i="40"/>
  <c r="X12" i="40"/>
  <c r="X40" i="40" s="1"/>
  <c r="W12" i="40"/>
  <c r="Q12" i="40"/>
  <c r="Q40" i="40" s="1"/>
  <c r="P12" i="40"/>
  <c r="Q39" i="40" s="1"/>
  <c r="J12" i="40"/>
  <c r="I12" i="40"/>
  <c r="J39" i="40" s="1"/>
  <c r="C12" i="40"/>
  <c r="C40" i="40" s="1"/>
  <c r="B12" i="40"/>
  <c r="C39" i="40" s="1"/>
  <c r="AK11" i="40"/>
  <c r="AD11" i="40"/>
  <c r="W11" i="40"/>
  <c r="P11" i="40"/>
  <c r="I11" i="40"/>
  <c r="B11" i="40"/>
  <c r="AL7" i="40"/>
  <c r="AK7" i="40"/>
  <c r="AL37" i="40" s="1"/>
  <c r="AE7" i="40"/>
  <c r="AE38" i="40" s="1"/>
  <c r="AD7" i="40"/>
  <c r="X7" i="40"/>
  <c r="X38" i="40" s="1"/>
  <c r="W7" i="40"/>
  <c r="Q7" i="40"/>
  <c r="Q38" i="40" s="1"/>
  <c r="P7" i="40"/>
  <c r="Q37" i="40" s="1"/>
  <c r="J7" i="40"/>
  <c r="J38" i="40" s="1"/>
  <c r="I7" i="40"/>
  <c r="J37" i="40" s="1"/>
  <c r="C7" i="40"/>
  <c r="C38" i="40" s="1"/>
  <c r="B7" i="40"/>
  <c r="C37" i="40" s="1"/>
  <c r="AK6" i="40"/>
  <c r="AD6" i="40"/>
  <c r="W6" i="40"/>
  <c r="P6" i="40"/>
  <c r="I6" i="40"/>
  <c r="B6" i="40"/>
  <c r="H232" i="39" l="1"/>
  <c r="B154" i="39"/>
  <c r="G232" i="39"/>
  <c r="B155" i="39"/>
  <c r="G232" i="40"/>
  <c r="H232" i="40"/>
  <c r="G232" i="41"/>
  <c r="H232" i="41"/>
  <c r="B154" i="41"/>
  <c r="B155" i="41"/>
  <c r="M93" i="41"/>
  <c r="M92" i="41"/>
  <c r="X99" i="41" s="1"/>
  <c r="M91" i="41"/>
  <c r="M90" i="41"/>
  <c r="L90" i="41" a="1"/>
  <c r="AE90" i="41" a="1"/>
  <c r="AD90" i="41" a="1"/>
  <c r="AF90" i="41" a="1"/>
  <c r="Y43" i="41" a="1"/>
  <c r="AN90" i="41" a="1"/>
  <c r="AL90" i="41" a="1"/>
  <c r="AK90" i="41" a="1"/>
  <c r="S90" i="41" a="1"/>
  <c r="T90" i="41" a="1"/>
  <c r="F93" i="41"/>
  <c r="F92" i="41"/>
  <c r="X98" i="41" s="1"/>
  <c r="F91" i="41"/>
  <c r="F90" i="41"/>
  <c r="W43" i="41" a="1"/>
  <c r="X90" i="41" a="1"/>
  <c r="AK43" i="41" a="1"/>
  <c r="AL43" i="41" a="1"/>
  <c r="AN43" i="41" a="1"/>
  <c r="Y90" i="41" a="1"/>
  <c r="AM43" i="41" a="1"/>
  <c r="AE43" i="41" a="1"/>
  <c r="AF43" i="41" a="1"/>
  <c r="AD43" i="41" a="1"/>
  <c r="AG43" i="41" a="1"/>
  <c r="W90" i="41"/>
  <c r="W93" i="41"/>
  <c r="W92" i="41"/>
  <c r="R101" i="41" s="1"/>
  <c r="W91" i="41"/>
  <c r="AA90" i="41" a="1"/>
  <c r="Z43" i="41" a="1"/>
  <c r="S43" i="41" a="1"/>
  <c r="Q43" i="41" a="1"/>
  <c r="P43" i="41" a="1"/>
  <c r="R43" i="41" a="1"/>
  <c r="AH90" i="41" a="1"/>
  <c r="T46" i="41"/>
  <c r="T45" i="41"/>
  <c r="X106" i="41" s="1"/>
  <c r="T44" i="41"/>
  <c r="T43" i="41"/>
  <c r="I43" i="41" a="1"/>
  <c r="L43" i="41" a="1"/>
  <c r="J43" i="41" a="1"/>
  <c r="K43" i="41" a="1"/>
  <c r="C90" i="41" a="1"/>
  <c r="E90" i="41" a="1"/>
  <c r="B90" i="41" a="1"/>
  <c r="D90" i="41" a="1"/>
  <c r="C43" i="41" a="1"/>
  <c r="B43" i="41" a="1"/>
  <c r="E43" i="41" a="1"/>
  <c r="D43" i="41" a="1"/>
  <c r="I90" i="41" a="1"/>
  <c r="J90" i="41" a="1"/>
  <c r="AG90" i="41" a="1"/>
  <c r="AH43" i="41" a="1"/>
  <c r="AM90" i="41" a="1"/>
  <c r="M43" i="41" a="1"/>
  <c r="Q90" i="41" a="1"/>
  <c r="P90" i="41" a="1"/>
  <c r="R90" i="41" a="1"/>
  <c r="Z90" i="41" a="1"/>
  <c r="AA37" i="41"/>
  <c r="AA43" i="41" s="1" a="1"/>
  <c r="X43" i="41" a="1"/>
  <c r="F37" i="41"/>
  <c r="F43" i="41" s="1" a="1"/>
  <c r="K90" i="41" a="1"/>
  <c r="AO37" i="41"/>
  <c r="AO43" i="41" s="1" a="1"/>
  <c r="AO84" i="41"/>
  <c r="AO90" i="41" s="1" a="1"/>
  <c r="B154" i="40"/>
  <c r="B155" i="40"/>
  <c r="L90" i="40"/>
  <c r="W99" i="40"/>
  <c r="X99" i="40"/>
  <c r="M90" i="40"/>
  <c r="AK90" i="40" a="1"/>
  <c r="AN90" i="40" a="1"/>
  <c r="AM90" i="40" a="1"/>
  <c r="AL90" i="40" a="1"/>
  <c r="E43" i="40"/>
  <c r="W104" i="40"/>
  <c r="I43" i="40" a="1"/>
  <c r="M43" i="40" a="1"/>
  <c r="X90" i="40" a="1"/>
  <c r="W90" i="40" a="1"/>
  <c r="Z90" i="40" a="1"/>
  <c r="AA90" i="40" a="1"/>
  <c r="Y90" i="40" a="1"/>
  <c r="AA43" i="40" a="1"/>
  <c r="R43" i="40" a="1"/>
  <c r="AH90" i="40" a="1"/>
  <c r="T43" i="40" a="1"/>
  <c r="AO90" i="40" a="1"/>
  <c r="AO43" i="40" a="1"/>
  <c r="AN43" i="40" a="1"/>
  <c r="Z43" i="40" a="1"/>
  <c r="L43" i="40" a="1"/>
  <c r="K43" i="40" a="1"/>
  <c r="J43" i="40" a="1"/>
  <c r="T90" i="40" a="1"/>
  <c r="AM43" i="40" a="1"/>
  <c r="AK43" i="40" a="1"/>
  <c r="AL43" i="40" a="1"/>
  <c r="AD43" i="40" a="1"/>
  <c r="AE43" i="40" a="1"/>
  <c r="AG43" i="40" a="1"/>
  <c r="AF43" i="40" a="1"/>
  <c r="AH43" i="40" a="1"/>
  <c r="Y43" i="40" a="1"/>
  <c r="X43" i="40" a="1"/>
  <c r="W43" i="40" a="1"/>
  <c r="Q43" i="40" a="1"/>
  <c r="S43" i="40" a="1"/>
  <c r="P43" i="40" a="1"/>
  <c r="B90" i="40" a="1"/>
  <c r="C90" i="40" a="1"/>
  <c r="D90" i="40" a="1"/>
  <c r="C43" i="40" a="1"/>
  <c r="D43" i="40" a="1"/>
  <c r="B43" i="40" a="1"/>
  <c r="F90" i="40" a="1"/>
  <c r="F43" i="40" a="1"/>
  <c r="AF90" i="40" a="1"/>
  <c r="AE90" i="40" a="1"/>
  <c r="AD90" i="40" a="1"/>
  <c r="S90" i="40" a="1"/>
  <c r="R90" i="40" a="1"/>
  <c r="Q90" i="40" a="1"/>
  <c r="P90" i="40" a="1"/>
  <c r="I90" i="40" a="1"/>
  <c r="E90" i="40" a="1"/>
  <c r="J90" i="40" a="1"/>
  <c r="K90" i="40" a="1"/>
  <c r="AG90" i="40" a="1"/>
  <c r="F46" i="41" l="1"/>
  <c r="F45" i="41"/>
  <c r="X104" i="41" s="1"/>
  <c r="F44" i="41"/>
  <c r="F43" i="41"/>
  <c r="AK43" i="41"/>
  <c r="AK46" i="41"/>
  <c r="AK45" i="41"/>
  <c r="R109" i="41" s="1"/>
  <c r="AK44" i="41"/>
  <c r="AN93" i="41"/>
  <c r="AN92" i="41"/>
  <c r="W103" i="41" s="1"/>
  <c r="AN91" i="41"/>
  <c r="AN90" i="41"/>
  <c r="AA46" i="41"/>
  <c r="AA45" i="41"/>
  <c r="X107" i="41" s="1"/>
  <c r="AA44" i="41"/>
  <c r="AA43" i="41"/>
  <c r="J93" i="41"/>
  <c r="J92" i="41"/>
  <c r="U99" i="41" s="1"/>
  <c r="J91" i="41"/>
  <c r="J90" i="41"/>
  <c r="AD93" i="41"/>
  <c r="AD92" i="41"/>
  <c r="R102" i="41" s="1"/>
  <c r="AD91" i="41"/>
  <c r="AD90" i="41"/>
  <c r="W45" i="41"/>
  <c r="R107" i="41" s="1"/>
  <c r="W44" i="41"/>
  <c r="W46" i="41"/>
  <c r="W43" i="41"/>
  <c r="I92" i="41"/>
  <c r="R99" i="41" s="1"/>
  <c r="I91" i="41"/>
  <c r="I93" i="41"/>
  <c r="I90" i="41"/>
  <c r="AE92" i="41"/>
  <c r="U102" i="41" s="1"/>
  <c r="AE91" i="41"/>
  <c r="AE93" i="41"/>
  <c r="AE90" i="41"/>
  <c r="AF93" i="41"/>
  <c r="AF92" i="41"/>
  <c r="V102" i="41" s="1"/>
  <c r="AF91" i="41"/>
  <c r="AF90" i="41"/>
  <c r="Z91" i="41"/>
  <c r="Z90" i="41"/>
  <c r="Z93" i="41"/>
  <c r="Z92" i="41"/>
  <c r="W101" i="41" s="1"/>
  <c r="D43" i="41"/>
  <c r="D45" i="41"/>
  <c r="V104" i="41" s="1"/>
  <c r="D44" i="41"/>
  <c r="D46" i="41"/>
  <c r="I44" i="41"/>
  <c r="I43" i="41"/>
  <c r="I46" i="41"/>
  <c r="I45" i="41"/>
  <c r="R105" i="41" s="1"/>
  <c r="E46" i="41"/>
  <c r="E45" i="41"/>
  <c r="W104" i="41" s="1"/>
  <c r="E44" i="41"/>
  <c r="E43" i="41"/>
  <c r="AG46" i="41"/>
  <c r="AG45" i="41"/>
  <c r="W108" i="41" s="1"/>
  <c r="AG44" i="41"/>
  <c r="AG43" i="41"/>
  <c r="B46" i="41"/>
  <c r="B45" i="41"/>
  <c r="R104" i="41" s="1"/>
  <c r="B44" i="41"/>
  <c r="B43" i="41"/>
  <c r="AD46" i="41"/>
  <c r="AD45" i="41"/>
  <c r="R108" i="41" s="1"/>
  <c r="AD44" i="41"/>
  <c r="AD43" i="41"/>
  <c r="L90" i="41"/>
  <c r="L92" i="41"/>
  <c r="W99" i="41" s="1"/>
  <c r="L91" i="41"/>
  <c r="L93" i="41"/>
  <c r="P93" i="41"/>
  <c r="P92" i="41"/>
  <c r="R100" i="41" s="1"/>
  <c r="P91" i="41"/>
  <c r="P90" i="41"/>
  <c r="AH90" i="41"/>
  <c r="AH93" i="41"/>
  <c r="AH92" i="41"/>
  <c r="X102" i="41" s="1"/>
  <c r="AH91" i="41"/>
  <c r="AF46" i="41"/>
  <c r="AF45" i="41"/>
  <c r="V108" i="41" s="1"/>
  <c r="AF44" i="41"/>
  <c r="AF43" i="41"/>
  <c r="AE44" i="41"/>
  <c r="AE43" i="41"/>
  <c r="AE46" i="41"/>
  <c r="AE45" i="41"/>
  <c r="U108" i="41" s="1"/>
  <c r="T92" i="41"/>
  <c r="X100" i="41" s="1"/>
  <c r="T91" i="41"/>
  <c r="T90" i="41"/>
  <c r="T93" i="41"/>
  <c r="AG93" i="41"/>
  <c r="AG92" i="41"/>
  <c r="W102" i="41" s="1"/>
  <c r="AG91" i="41"/>
  <c r="AG90" i="41"/>
  <c r="R46" i="41"/>
  <c r="R44" i="41"/>
  <c r="R45" i="41"/>
  <c r="V106" i="41" s="1"/>
  <c r="R43" i="41"/>
  <c r="P46" i="41"/>
  <c r="P45" i="41"/>
  <c r="R106" i="41" s="1"/>
  <c r="P44" i="41"/>
  <c r="P43" i="41"/>
  <c r="AM46" i="41"/>
  <c r="AM45" i="41"/>
  <c r="V109" i="41" s="1"/>
  <c r="AM44" i="41"/>
  <c r="AM43" i="41"/>
  <c r="K93" i="41"/>
  <c r="K92" i="41"/>
  <c r="V99" i="41" s="1"/>
  <c r="K91" i="41"/>
  <c r="K90" i="41"/>
  <c r="C46" i="41"/>
  <c r="C45" i="41"/>
  <c r="U104" i="41" s="1"/>
  <c r="C44" i="41"/>
  <c r="C43" i="41"/>
  <c r="D91" i="41"/>
  <c r="D90" i="41"/>
  <c r="D93" i="41"/>
  <c r="D92" i="41"/>
  <c r="V98" i="41" s="1"/>
  <c r="B93" i="41"/>
  <c r="B92" i="41"/>
  <c r="R98" i="41" s="1"/>
  <c r="B91" i="41"/>
  <c r="B90" i="41"/>
  <c r="Q46" i="41"/>
  <c r="Q45" i="41"/>
  <c r="U106" i="41" s="1"/>
  <c r="Q44" i="41"/>
  <c r="Q43" i="41"/>
  <c r="Y46" i="41"/>
  <c r="Y45" i="41"/>
  <c r="V107" i="41" s="1"/>
  <c r="Y44" i="41"/>
  <c r="Y43" i="41"/>
  <c r="Q91" i="41"/>
  <c r="Q90" i="41"/>
  <c r="Q93" i="41"/>
  <c r="Q92" i="41"/>
  <c r="U100" i="41" s="1"/>
  <c r="M46" i="41"/>
  <c r="M43" i="41"/>
  <c r="M45" i="41"/>
  <c r="X105" i="41" s="1"/>
  <c r="M44" i="41"/>
  <c r="E93" i="41"/>
  <c r="E92" i="41"/>
  <c r="W98" i="41" s="1"/>
  <c r="E91" i="41"/>
  <c r="E90" i="41"/>
  <c r="S46" i="41"/>
  <c r="S45" i="41"/>
  <c r="W106" i="41" s="1"/>
  <c r="S44" i="41"/>
  <c r="S43" i="41"/>
  <c r="L45" i="41"/>
  <c r="W105" i="41" s="1"/>
  <c r="L44" i="41"/>
  <c r="L43" i="41"/>
  <c r="L46" i="41"/>
  <c r="R93" i="41"/>
  <c r="R92" i="41"/>
  <c r="V100" i="41" s="1"/>
  <c r="R91" i="41"/>
  <c r="R90" i="41"/>
  <c r="AO93" i="41"/>
  <c r="AO92" i="41"/>
  <c r="X103" i="41" s="1"/>
  <c r="AO91" i="41"/>
  <c r="AO90" i="41"/>
  <c r="AM91" i="41"/>
  <c r="AM90" i="41"/>
  <c r="AM93" i="41"/>
  <c r="AM92" i="41"/>
  <c r="V103" i="41" s="1"/>
  <c r="C93" i="41"/>
  <c r="C92" i="41"/>
  <c r="U98" i="41" s="1"/>
  <c r="C91" i="41"/>
  <c r="C90" i="41"/>
  <c r="Z43" i="41"/>
  <c r="Z46" i="41"/>
  <c r="Z45" i="41"/>
  <c r="W107" i="41" s="1"/>
  <c r="Z44" i="41"/>
  <c r="Y93" i="41"/>
  <c r="Y92" i="41"/>
  <c r="V101" i="41" s="1"/>
  <c r="Y91" i="41"/>
  <c r="Y90" i="41"/>
  <c r="S93" i="41"/>
  <c r="S92" i="41"/>
  <c r="W100" i="41" s="1"/>
  <c r="S91" i="41"/>
  <c r="S90" i="41"/>
  <c r="X93" i="41"/>
  <c r="X92" i="41"/>
  <c r="U101" i="41" s="1"/>
  <c r="X91" i="41"/>
  <c r="X90" i="41"/>
  <c r="AO46" i="41"/>
  <c r="AO45" i="41"/>
  <c r="X109" i="41" s="1"/>
  <c r="AO44" i="41"/>
  <c r="AO43" i="41"/>
  <c r="AH45" i="41"/>
  <c r="X108" i="41" s="1"/>
  <c r="AH44" i="41"/>
  <c r="AH43" i="41"/>
  <c r="AH46" i="41"/>
  <c r="K46" i="41"/>
  <c r="K45" i="41"/>
  <c r="V105" i="41" s="1"/>
  <c r="K44" i="41"/>
  <c r="K43" i="41"/>
  <c r="AN43" i="41"/>
  <c r="AN46" i="41"/>
  <c r="AN45" i="41"/>
  <c r="W109" i="41" s="1"/>
  <c r="AN44" i="41"/>
  <c r="AK93" i="41"/>
  <c r="AK92" i="41"/>
  <c r="R103" i="41" s="1"/>
  <c r="AK91" i="41"/>
  <c r="AK90" i="41"/>
  <c r="X46" i="41"/>
  <c r="X43" i="41"/>
  <c r="X45" i="41"/>
  <c r="U107" i="41" s="1"/>
  <c r="X44" i="41"/>
  <c r="J45" i="41"/>
  <c r="U105" i="41" s="1"/>
  <c r="J46" i="41"/>
  <c r="J44" i="41"/>
  <c r="J43" i="41"/>
  <c r="AA93" i="41"/>
  <c r="AA92" i="41"/>
  <c r="X101" i="41" s="1"/>
  <c r="AA91" i="41"/>
  <c r="AA90" i="41"/>
  <c r="AL46" i="41"/>
  <c r="AL45" i="41"/>
  <c r="U109" i="41" s="1"/>
  <c r="AL44" i="41"/>
  <c r="AL43" i="41"/>
  <c r="AL93" i="41"/>
  <c r="AL92" i="41"/>
  <c r="U103" i="41" s="1"/>
  <c r="AL91" i="41"/>
  <c r="AL90" i="41"/>
  <c r="D43" i="40"/>
  <c r="V104" i="40"/>
  <c r="C90" i="40"/>
  <c r="U98" i="40"/>
  <c r="X100" i="40"/>
  <c r="T90" i="40"/>
  <c r="X90" i="40"/>
  <c r="U101" i="40"/>
  <c r="B90" i="40"/>
  <c r="R98" i="40"/>
  <c r="U105" i="40"/>
  <c r="J43" i="40"/>
  <c r="X105" i="40"/>
  <c r="M43" i="40"/>
  <c r="U104" i="40"/>
  <c r="C43" i="40"/>
  <c r="P43" i="40"/>
  <c r="R106" i="40"/>
  <c r="V105" i="40"/>
  <c r="K43" i="40"/>
  <c r="R105" i="40"/>
  <c r="I43" i="40"/>
  <c r="AM43" i="40"/>
  <c r="V109" i="40"/>
  <c r="S43" i="40"/>
  <c r="W106" i="40"/>
  <c r="L43" i="40"/>
  <c r="W105" i="40"/>
  <c r="R109" i="40"/>
  <c r="AK43" i="40"/>
  <c r="R100" i="40"/>
  <c r="P90" i="40"/>
  <c r="U100" i="40"/>
  <c r="Q90" i="40"/>
  <c r="Q43" i="40"/>
  <c r="U106" i="40"/>
  <c r="Z43" i="40"/>
  <c r="W107" i="40"/>
  <c r="X101" i="40"/>
  <c r="AA90" i="40"/>
  <c r="W98" i="40"/>
  <c r="E90" i="40"/>
  <c r="R107" i="40"/>
  <c r="W43" i="40"/>
  <c r="AN43" i="40"/>
  <c r="W109" i="40"/>
  <c r="U103" i="40"/>
  <c r="AL90" i="40"/>
  <c r="U99" i="40"/>
  <c r="J90" i="40"/>
  <c r="S90" i="40"/>
  <c r="W100" i="40"/>
  <c r="X43" i="40"/>
  <c r="U107" i="40"/>
  <c r="AO43" i="40"/>
  <c r="X109" i="40"/>
  <c r="V103" i="40"/>
  <c r="AM90" i="40"/>
  <c r="AG90" i="40"/>
  <c r="W102" i="40"/>
  <c r="R102" i="40"/>
  <c r="AD90" i="40"/>
  <c r="V107" i="40"/>
  <c r="Y43" i="40"/>
  <c r="AO90" i="40"/>
  <c r="X103" i="40"/>
  <c r="AN90" i="40"/>
  <c r="W103" i="40"/>
  <c r="W90" i="40"/>
  <c r="R101" i="40"/>
  <c r="AH43" i="40"/>
  <c r="X108" i="40"/>
  <c r="X106" i="40"/>
  <c r="T43" i="40"/>
  <c r="R103" i="40"/>
  <c r="AK90" i="40"/>
  <c r="V98" i="40"/>
  <c r="D90" i="40"/>
  <c r="AF90" i="40"/>
  <c r="V102" i="40"/>
  <c r="V108" i="40"/>
  <c r="AF43" i="40"/>
  <c r="AH90" i="40"/>
  <c r="X102" i="40"/>
  <c r="K90" i="40"/>
  <c r="V99" i="40"/>
  <c r="U102" i="40"/>
  <c r="AE90" i="40"/>
  <c r="F43" i="40"/>
  <c r="X104" i="40"/>
  <c r="W108" i="40"/>
  <c r="AG43" i="40"/>
  <c r="R43" i="40"/>
  <c r="V106" i="40"/>
  <c r="W101" i="40"/>
  <c r="Z90" i="40"/>
  <c r="R90" i="40"/>
  <c r="V100" i="40"/>
  <c r="X98" i="40"/>
  <c r="F90" i="40"/>
  <c r="U108" i="40"/>
  <c r="AE43" i="40"/>
  <c r="AA43" i="40"/>
  <c r="X107" i="40"/>
  <c r="AL43" i="40"/>
  <c r="U109" i="40"/>
  <c r="R99" i="40"/>
  <c r="I90" i="40"/>
  <c r="R104" i="40"/>
  <c r="B43" i="40"/>
  <c r="AD43" i="40"/>
  <c r="R108" i="40"/>
  <c r="Y90" i="40"/>
  <c r="V101" i="40"/>
  <c r="W112" i="41" l="1" a="1"/>
  <c r="R112" i="41" a="1"/>
  <c r="U112" i="41" a="1"/>
  <c r="V112" i="41" a="1"/>
  <c r="X112" i="41" a="1"/>
  <c r="W112" i="40" a="1"/>
  <c r="W112" i="40" s="1"/>
  <c r="U112" i="40" a="1"/>
  <c r="U112" i="40" s="1"/>
  <c r="X112" i="40" a="1"/>
  <c r="X112" i="40" s="1"/>
  <c r="V112" i="40" a="1"/>
  <c r="V112" i="40" s="1"/>
  <c r="R112" i="40" a="1"/>
  <c r="R112" i="40" s="1"/>
  <c r="X114" i="41" l="1"/>
  <c r="X116" i="41"/>
  <c r="X113" i="41"/>
  <c r="X112" i="41"/>
  <c r="X123" i="41"/>
  <c r="X117" i="41"/>
  <c r="X122" i="41"/>
  <c r="X121" i="41"/>
  <c r="X120" i="41"/>
  <c r="X119" i="41"/>
  <c r="X118" i="41"/>
  <c r="X115" i="41"/>
  <c r="V123" i="41"/>
  <c r="V122" i="41"/>
  <c r="V121" i="41"/>
  <c r="V120" i="41"/>
  <c r="V119" i="41"/>
  <c r="V118" i="41"/>
  <c r="V117" i="41"/>
  <c r="V116" i="41"/>
  <c r="V115" i="41"/>
  <c r="V114" i="41"/>
  <c r="V113" i="41"/>
  <c r="V112" i="41"/>
  <c r="U121" i="41"/>
  <c r="U120" i="41"/>
  <c r="U119" i="41"/>
  <c r="U118" i="41"/>
  <c r="U117" i="41"/>
  <c r="U123" i="41"/>
  <c r="U116" i="41"/>
  <c r="U115" i="41"/>
  <c r="U114" i="41"/>
  <c r="U113" i="41"/>
  <c r="U112" i="41"/>
  <c r="U122" i="41"/>
  <c r="R118" i="41"/>
  <c r="R117" i="41"/>
  <c r="R116" i="41"/>
  <c r="R115" i="41"/>
  <c r="R121" i="41"/>
  <c r="R114" i="41"/>
  <c r="R113" i="41"/>
  <c r="R112" i="41"/>
  <c r="R123" i="41"/>
  <c r="R122" i="41"/>
  <c r="R120" i="41"/>
  <c r="R119" i="41"/>
  <c r="W113" i="41"/>
  <c r="W123" i="41"/>
  <c r="W122" i="41"/>
  <c r="W121" i="41"/>
  <c r="W120" i="41"/>
  <c r="W119" i="41"/>
  <c r="W118" i="41"/>
  <c r="W114" i="41"/>
  <c r="W117" i="41"/>
  <c r="W116" i="41"/>
  <c r="W115" i="41"/>
  <c r="W112" i="41"/>
  <c r="D265" i="38"/>
  <c r="D264" i="38"/>
  <c r="D263" i="38"/>
  <c r="D262" i="38"/>
  <c r="D261" i="38"/>
  <c r="D260" i="38"/>
  <c r="D259" i="38"/>
  <c r="D258" i="38"/>
  <c r="D257" i="38"/>
  <c r="D256" i="38"/>
  <c r="D255" i="38"/>
  <c r="D254" i="38"/>
  <c r="D253" i="38"/>
  <c r="D252" i="38"/>
  <c r="D251" i="38"/>
  <c r="D250" i="38"/>
  <c r="D249" i="38"/>
  <c r="D248" i="38"/>
  <c r="D247" i="38"/>
  <c r="D246" i="38"/>
  <c r="D245" i="38"/>
  <c r="D244" i="38"/>
  <c r="D243" i="38"/>
  <c r="D242" i="38"/>
  <c r="D241" i="38"/>
  <c r="D240" i="38"/>
  <c r="D239" i="38"/>
  <c r="D238" i="38"/>
  <c r="D237" i="38"/>
  <c r="D236" i="38"/>
  <c r="D235" i="38"/>
  <c r="D234" i="38"/>
  <c r="H231" i="38"/>
  <c r="G231" i="38"/>
  <c r="F231" i="38"/>
  <c r="E231" i="38"/>
  <c r="H230" i="38"/>
  <c r="G230" i="38"/>
  <c r="F230" i="38"/>
  <c r="E230" i="38"/>
  <c r="H229" i="38"/>
  <c r="G229" i="38"/>
  <c r="F229" i="38"/>
  <c r="E229" i="38"/>
  <c r="H228" i="38"/>
  <c r="G228" i="38"/>
  <c r="F228" i="38"/>
  <c r="E228" i="38"/>
  <c r="H227" i="38"/>
  <c r="G227" i="38"/>
  <c r="F227" i="38"/>
  <c r="E227" i="38"/>
  <c r="H226" i="38"/>
  <c r="G226" i="38"/>
  <c r="F226" i="38"/>
  <c r="E226" i="38"/>
  <c r="H225" i="38"/>
  <c r="G225" i="38"/>
  <c r="F225" i="38"/>
  <c r="E225" i="38"/>
  <c r="H224" i="38"/>
  <c r="G224" i="38"/>
  <c r="F224" i="38"/>
  <c r="E224" i="38"/>
  <c r="H223" i="38"/>
  <c r="G223" i="38"/>
  <c r="F223" i="38"/>
  <c r="E223" i="38"/>
  <c r="H222" i="38"/>
  <c r="G222" i="38"/>
  <c r="F222" i="38"/>
  <c r="E222" i="38"/>
  <c r="H221" i="38"/>
  <c r="G221" i="38"/>
  <c r="F221" i="38"/>
  <c r="E221" i="38"/>
  <c r="H220" i="38"/>
  <c r="G220" i="38"/>
  <c r="F220" i="38"/>
  <c r="E220" i="38"/>
  <c r="H219" i="38"/>
  <c r="G219" i="38"/>
  <c r="F219" i="38"/>
  <c r="E219" i="38"/>
  <c r="H218" i="38"/>
  <c r="G218" i="38"/>
  <c r="F218" i="38"/>
  <c r="E218" i="38"/>
  <c r="H217" i="38"/>
  <c r="G217" i="38"/>
  <c r="F217" i="38"/>
  <c r="E217" i="38"/>
  <c r="H216" i="38"/>
  <c r="G216" i="38"/>
  <c r="F216" i="38"/>
  <c r="E216" i="38"/>
  <c r="H215" i="38"/>
  <c r="G215" i="38"/>
  <c r="F215" i="38"/>
  <c r="E215" i="38"/>
  <c r="H214" i="38"/>
  <c r="G214" i="38"/>
  <c r="F214" i="38"/>
  <c r="E214" i="38"/>
  <c r="H213" i="38"/>
  <c r="G213" i="38"/>
  <c r="F213" i="38"/>
  <c r="E213" i="38"/>
  <c r="H212" i="38"/>
  <c r="G212" i="38"/>
  <c r="F212" i="38"/>
  <c r="E212" i="38"/>
  <c r="H211" i="38"/>
  <c r="G211" i="38"/>
  <c r="F211" i="38"/>
  <c r="E211" i="38"/>
  <c r="H210" i="38"/>
  <c r="G210" i="38"/>
  <c r="F210" i="38"/>
  <c r="E210" i="38"/>
  <c r="H209" i="38"/>
  <c r="G209" i="38"/>
  <c r="F209" i="38"/>
  <c r="E209" i="38"/>
  <c r="H208" i="38"/>
  <c r="G208" i="38"/>
  <c r="F208" i="38"/>
  <c r="E208" i="38"/>
  <c r="H207" i="38"/>
  <c r="G207" i="38"/>
  <c r="F207" i="38"/>
  <c r="E207" i="38"/>
  <c r="H206" i="38"/>
  <c r="G206" i="38"/>
  <c r="F206" i="38"/>
  <c r="E206" i="38"/>
  <c r="H205" i="38"/>
  <c r="G205" i="38"/>
  <c r="F205" i="38"/>
  <c r="E205" i="38"/>
  <c r="H204" i="38"/>
  <c r="G204" i="38"/>
  <c r="F204" i="38"/>
  <c r="E204" i="38"/>
  <c r="H203" i="38"/>
  <c r="G203" i="38"/>
  <c r="F203" i="38"/>
  <c r="E203" i="38"/>
  <c r="H202" i="38"/>
  <c r="G202" i="38"/>
  <c r="F202" i="38"/>
  <c r="E202" i="38"/>
  <c r="H201" i="38"/>
  <c r="G201" i="38"/>
  <c r="F201" i="38"/>
  <c r="E201" i="38"/>
  <c r="H200" i="38"/>
  <c r="G200" i="38"/>
  <c r="F200" i="38"/>
  <c r="E200" i="38"/>
  <c r="H199" i="38"/>
  <c r="G199" i="38"/>
  <c r="F199" i="38"/>
  <c r="E199" i="38"/>
  <c r="H198" i="38"/>
  <c r="G198" i="38"/>
  <c r="F198" i="38"/>
  <c r="E198" i="38"/>
  <c r="H197" i="38"/>
  <c r="G197" i="38"/>
  <c r="F197" i="38"/>
  <c r="E197" i="38"/>
  <c r="H196" i="38"/>
  <c r="G196" i="38"/>
  <c r="F196" i="38"/>
  <c r="E196" i="38"/>
  <c r="H195" i="38"/>
  <c r="G195" i="38"/>
  <c r="F195" i="38"/>
  <c r="E195" i="38"/>
  <c r="H194" i="38"/>
  <c r="G194" i="38"/>
  <c r="F194" i="38"/>
  <c r="E194" i="38"/>
  <c r="H193" i="38"/>
  <c r="G193" i="38"/>
  <c r="F193" i="38"/>
  <c r="E193" i="38"/>
  <c r="H192" i="38"/>
  <c r="G192" i="38"/>
  <c r="F192" i="38"/>
  <c r="E192" i="38"/>
  <c r="H191" i="38"/>
  <c r="G191" i="38"/>
  <c r="F191" i="38"/>
  <c r="E191" i="38"/>
  <c r="H190" i="38"/>
  <c r="G190" i="38"/>
  <c r="F190" i="38"/>
  <c r="E190" i="38"/>
  <c r="H189" i="38"/>
  <c r="G189" i="38"/>
  <c r="F189" i="38"/>
  <c r="E189" i="38"/>
  <c r="H188" i="38"/>
  <c r="G188" i="38"/>
  <c r="F188" i="38"/>
  <c r="E188" i="38"/>
  <c r="H187" i="38"/>
  <c r="G187" i="38"/>
  <c r="F187" i="38"/>
  <c r="E187" i="38"/>
  <c r="H186" i="38"/>
  <c r="G186" i="38"/>
  <c r="F186" i="38"/>
  <c r="E186" i="38"/>
  <c r="H185" i="38"/>
  <c r="G185" i="38"/>
  <c r="F185" i="38"/>
  <c r="E185" i="38"/>
  <c r="H184" i="38"/>
  <c r="G184" i="38"/>
  <c r="F184" i="38"/>
  <c r="E184" i="38"/>
  <c r="H183" i="38"/>
  <c r="G183" i="38"/>
  <c r="F183" i="38"/>
  <c r="E183" i="38"/>
  <c r="H182" i="38"/>
  <c r="G182" i="38"/>
  <c r="F182" i="38"/>
  <c r="E182" i="38"/>
  <c r="H181" i="38"/>
  <c r="G181" i="38"/>
  <c r="F181" i="38"/>
  <c r="E181" i="38"/>
  <c r="H180" i="38"/>
  <c r="G180" i="38"/>
  <c r="F180" i="38"/>
  <c r="E180" i="38"/>
  <c r="H179" i="38"/>
  <c r="G179" i="38"/>
  <c r="F179" i="38"/>
  <c r="E179" i="38"/>
  <c r="H178" i="38"/>
  <c r="G178" i="38"/>
  <c r="F178" i="38"/>
  <c r="E178" i="38"/>
  <c r="H177" i="38"/>
  <c r="G177" i="38"/>
  <c r="F177" i="38"/>
  <c r="E177" i="38"/>
  <c r="H176" i="38"/>
  <c r="G176" i="38"/>
  <c r="F176" i="38"/>
  <c r="E176" i="38"/>
  <c r="H175" i="38"/>
  <c r="G175" i="38"/>
  <c r="F175" i="38"/>
  <c r="E175" i="38"/>
  <c r="H174" i="38"/>
  <c r="G174" i="38"/>
  <c r="F174" i="38"/>
  <c r="E174" i="38"/>
  <c r="H173" i="38"/>
  <c r="G173" i="38"/>
  <c r="F173" i="38"/>
  <c r="E173" i="38"/>
  <c r="H172" i="38"/>
  <c r="G172" i="38"/>
  <c r="F172" i="38"/>
  <c r="E172" i="38"/>
  <c r="H171" i="38"/>
  <c r="G171" i="38"/>
  <c r="F171" i="38"/>
  <c r="E171" i="38"/>
  <c r="H170" i="38"/>
  <c r="G170" i="38"/>
  <c r="F170" i="38"/>
  <c r="E170" i="38"/>
  <c r="H169" i="38"/>
  <c r="G169" i="38"/>
  <c r="F169" i="38"/>
  <c r="E169" i="38"/>
  <c r="H168" i="38"/>
  <c r="G168" i="38"/>
  <c r="F168" i="38"/>
  <c r="E168" i="38"/>
  <c r="H167" i="38"/>
  <c r="G167" i="38"/>
  <c r="F167" i="38"/>
  <c r="E167" i="38"/>
  <c r="H166" i="38"/>
  <c r="G166" i="38"/>
  <c r="F166" i="38"/>
  <c r="E166" i="38"/>
  <c r="H165" i="38"/>
  <c r="G165" i="38"/>
  <c r="F165" i="38"/>
  <c r="E165" i="38"/>
  <c r="H164" i="38"/>
  <c r="G164" i="38"/>
  <c r="F164" i="38"/>
  <c r="E164" i="38"/>
  <c r="H163" i="38"/>
  <c r="G163" i="38"/>
  <c r="F163" i="38"/>
  <c r="E163" i="38"/>
  <c r="H162" i="38"/>
  <c r="G162" i="38"/>
  <c r="F162" i="38"/>
  <c r="E162" i="38"/>
  <c r="H161" i="38"/>
  <c r="G161" i="38"/>
  <c r="F161" i="38"/>
  <c r="E161" i="38"/>
  <c r="H160" i="38"/>
  <c r="G160" i="38"/>
  <c r="F160" i="38"/>
  <c r="E160" i="38"/>
  <c r="D265" i="37"/>
  <c r="D264" i="37"/>
  <c r="D263" i="37"/>
  <c r="D262" i="37"/>
  <c r="D261" i="37"/>
  <c r="D260" i="37"/>
  <c r="D259" i="37"/>
  <c r="D258" i="37"/>
  <c r="D257" i="37"/>
  <c r="D256" i="37"/>
  <c r="D255" i="37"/>
  <c r="D254" i="37"/>
  <c r="D253" i="37"/>
  <c r="D252" i="37"/>
  <c r="D251" i="37"/>
  <c r="D250" i="37"/>
  <c r="D249" i="37"/>
  <c r="D248" i="37"/>
  <c r="D247" i="37"/>
  <c r="D246" i="37"/>
  <c r="D245" i="37"/>
  <c r="D244" i="37"/>
  <c r="D243" i="37"/>
  <c r="D242" i="37"/>
  <c r="D241" i="37"/>
  <c r="D240" i="37"/>
  <c r="D239" i="37"/>
  <c r="D238" i="37"/>
  <c r="D237" i="37"/>
  <c r="D236" i="37"/>
  <c r="D235" i="37"/>
  <c r="D234" i="37"/>
  <c r="H231" i="37"/>
  <c r="G231" i="37"/>
  <c r="F231" i="37"/>
  <c r="E231" i="37"/>
  <c r="H230" i="37"/>
  <c r="G230" i="37"/>
  <c r="F230" i="37"/>
  <c r="E230" i="37"/>
  <c r="H229" i="37"/>
  <c r="G229" i="37"/>
  <c r="F229" i="37"/>
  <c r="E229" i="37"/>
  <c r="H228" i="37"/>
  <c r="G228" i="37"/>
  <c r="F228" i="37"/>
  <c r="E228" i="37"/>
  <c r="H227" i="37"/>
  <c r="G227" i="37"/>
  <c r="F227" i="37"/>
  <c r="E227" i="37"/>
  <c r="H226" i="37"/>
  <c r="G226" i="37"/>
  <c r="F226" i="37"/>
  <c r="E226" i="37"/>
  <c r="H225" i="37"/>
  <c r="G225" i="37"/>
  <c r="F225" i="37"/>
  <c r="E225" i="37"/>
  <c r="H224" i="37"/>
  <c r="G224" i="37"/>
  <c r="F224" i="37"/>
  <c r="E224" i="37"/>
  <c r="H223" i="37"/>
  <c r="G223" i="37"/>
  <c r="F223" i="37"/>
  <c r="E223" i="37"/>
  <c r="H222" i="37"/>
  <c r="G222" i="37"/>
  <c r="F222" i="37"/>
  <c r="E222" i="37"/>
  <c r="H221" i="37"/>
  <c r="G221" i="37"/>
  <c r="F221" i="37"/>
  <c r="E221" i="37"/>
  <c r="H220" i="37"/>
  <c r="G220" i="37"/>
  <c r="F220" i="37"/>
  <c r="E220" i="37"/>
  <c r="H219" i="37"/>
  <c r="G219" i="37"/>
  <c r="F219" i="37"/>
  <c r="E219" i="37"/>
  <c r="H218" i="37"/>
  <c r="G218" i="37"/>
  <c r="F218" i="37"/>
  <c r="E218" i="37"/>
  <c r="H217" i="37"/>
  <c r="G217" i="37"/>
  <c r="F217" i="37"/>
  <c r="E217" i="37"/>
  <c r="H216" i="37"/>
  <c r="G216" i="37"/>
  <c r="F216" i="37"/>
  <c r="E216" i="37"/>
  <c r="H215" i="37"/>
  <c r="G215" i="37"/>
  <c r="F215" i="37"/>
  <c r="E215" i="37"/>
  <c r="H214" i="37"/>
  <c r="G214" i="37"/>
  <c r="F214" i="37"/>
  <c r="E214" i="37"/>
  <c r="H213" i="37"/>
  <c r="G213" i="37"/>
  <c r="F213" i="37"/>
  <c r="E213" i="37"/>
  <c r="H212" i="37"/>
  <c r="G212" i="37"/>
  <c r="F212" i="37"/>
  <c r="E212" i="37"/>
  <c r="H211" i="37"/>
  <c r="G211" i="37"/>
  <c r="F211" i="37"/>
  <c r="E211" i="37"/>
  <c r="H210" i="37"/>
  <c r="G210" i="37"/>
  <c r="F210" i="37"/>
  <c r="E210" i="37"/>
  <c r="H209" i="37"/>
  <c r="G209" i="37"/>
  <c r="F209" i="37"/>
  <c r="E209" i="37"/>
  <c r="H208" i="37"/>
  <c r="G208" i="37"/>
  <c r="F208" i="37"/>
  <c r="E208" i="37"/>
  <c r="H207" i="37"/>
  <c r="G207" i="37"/>
  <c r="F207" i="37"/>
  <c r="E207" i="37"/>
  <c r="H206" i="37"/>
  <c r="G206" i="37"/>
  <c r="F206" i="37"/>
  <c r="E206" i="37"/>
  <c r="H205" i="37"/>
  <c r="G205" i="37"/>
  <c r="F205" i="37"/>
  <c r="E205" i="37"/>
  <c r="H204" i="37"/>
  <c r="G204" i="37"/>
  <c r="F204" i="37"/>
  <c r="E204" i="37"/>
  <c r="H203" i="37"/>
  <c r="G203" i="37"/>
  <c r="F203" i="37"/>
  <c r="E203" i="37"/>
  <c r="H202" i="37"/>
  <c r="G202" i="37"/>
  <c r="F202" i="37"/>
  <c r="E202" i="37"/>
  <c r="H201" i="37"/>
  <c r="G201" i="37"/>
  <c r="F201" i="37"/>
  <c r="E201" i="37"/>
  <c r="H200" i="37"/>
  <c r="G200" i="37"/>
  <c r="F200" i="37"/>
  <c r="E200" i="37"/>
  <c r="H199" i="37"/>
  <c r="G199" i="37"/>
  <c r="F199" i="37"/>
  <c r="E199" i="37"/>
  <c r="H198" i="37"/>
  <c r="G198" i="37"/>
  <c r="F198" i="37"/>
  <c r="E198" i="37"/>
  <c r="H197" i="37"/>
  <c r="G197" i="37"/>
  <c r="F197" i="37"/>
  <c r="E197" i="37"/>
  <c r="H196" i="37"/>
  <c r="G196" i="37"/>
  <c r="F196" i="37"/>
  <c r="E196" i="37"/>
  <c r="H195" i="37"/>
  <c r="G195" i="37"/>
  <c r="F195" i="37"/>
  <c r="E195" i="37"/>
  <c r="H194" i="37"/>
  <c r="G194" i="37"/>
  <c r="F194" i="37"/>
  <c r="E194" i="37"/>
  <c r="H193" i="37"/>
  <c r="G193" i="37"/>
  <c r="F193" i="37"/>
  <c r="E193" i="37"/>
  <c r="H192" i="37"/>
  <c r="G192" i="37"/>
  <c r="F192" i="37"/>
  <c r="E192" i="37"/>
  <c r="H191" i="37"/>
  <c r="G191" i="37"/>
  <c r="F191" i="37"/>
  <c r="E191" i="37"/>
  <c r="H190" i="37"/>
  <c r="G190" i="37"/>
  <c r="F190" i="37"/>
  <c r="E190" i="37"/>
  <c r="H189" i="37"/>
  <c r="G189" i="37"/>
  <c r="F189" i="37"/>
  <c r="E189" i="37"/>
  <c r="H188" i="37"/>
  <c r="G188" i="37"/>
  <c r="F188" i="37"/>
  <c r="E188" i="37"/>
  <c r="H187" i="37"/>
  <c r="G187" i="37"/>
  <c r="F187" i="37"/>
  <c r="E187" i="37"/>
  <c r="H186" i="37"/>
  <c r="G186" i="37"/>
  <c r="F186" i="37"/>
  <c r="E186" i="37"/>
  <c r="H185" i="37"/>
  <c r="G185" i="37"/>
  <c r="F185" i="37"/>
  <c r="E185" i="37"/>
  <c r="H184" i="37"/>
  <c r="G184" i="37"/>
  <c r="F184" i="37"/>
  <c r="E184" i="37"/>
  <c r="H183" i="37"/>
  <c r="G183" i="37"/>
  <c r="F183" i="37"/>
  <c r="E183" i="37"/>
  <c r="H182" i="37"/>
  <c r="G182" i="37"/>
  <c r="F182" i="37"/>
  <c r="E182" i="37"/>
  <c r="H181" i="37"/>
  <c r="G181" i="37"/>
  <c r="F181" i="37"/>
  <c r="E181" i="37"/>
  <c r="H180" i="37"/>
  <c r="G180" i="37"/>
  <c r="F180" i="37"/>
  <c r="E180" i="37"/>
  <c r="H179" i="37"/>
  <c r="G179" i="37"/>
  <c r="F179" i="37"/>
  <c r="E179" i="37"/>
  <c r="H178" i="37"/>
  <c r="G178" i="37"/>
  <c r="F178" i="37"/>
  <c r="E178" i="37"/>
  <c r="H177" i="37"/>
  <c r="G177" i="37"/>
  <c r="F177" i="37"/>
  <c r="E177" i="37"/>
  <c r="H176" i="37"/>
  <c r="G176" i="37"/>
  <c r="F176" i="37"/>
  <c r="E176" i="37"/>
  <c r="H175" i="37"/>
  <c r="G175" i="37"/>
  <c r="F175" i="37"/>
  <c r="E175" i="37"/>
  <c r="H174" i="37"/>
  <c r="G174" i="37"/>
  <c r="F174" i="37"/>
  <c r="E174" i="37"/>
  <c r="H173" i="37"/>
  <c r="G173" i="37"/>
  <c r="F173" i="37"/>
  <c r="E173" i="37"/>
  <c r="H172" i="37"/>
  <c r="G172" i="37"/>
  <c r="F172" i="37"/>
  <c r="E172" i="37"/>
  <c r="H171" i="37"/>
  <c r="G171" i="37"/>
  <c r="F171" i="37"/>
  <c r="E171" i="37"/>
  <c r="H170" i="37"/>
  <c r="G170" i="37"/>
  <c r="F170" i="37"/>
  <c r="E170" i="37"/>
  <c r="H169" i="37"/>
  <c r="G169" i="37"/>
  <c r="F169" i="37"/>
  <c r="E169" i="37"/>
  <c r="H168" i="37"/>
  <c r="G168" i="37"/>
  <c r="F168" i="37"/>
  <c r="E168" i="37"/>
  <c r="H167" i="37"/>
  <c r="G167" i="37"/>
  <c r="F167" i="37"/>
  <c r="E167" i="37"/>
  <c r="H166" i="37"/>
  <c r="G166" i="37"/>
  <c r="F166" i="37"/>
  <c r="E166" i="37"/>
  <c r="H165" i="37"/>
  <c r="G165" i="37"/>
  <c r="F165" i="37"/>
  <c r="E165" i="37"/>
  <c r="H164" i="37"/>
  <c r="G164" i="37"/>
  <c r="F164" i="37"/>
  <c r="E164" i="37"/>
  <c r="H163" i="37"/>
  <c r="G163" i="37"/>
  <c r="F163" i="37"/>
  <c r="E163" i="37"/>
  <c r="H162" i="37"/>
  <c r="G162" i="37"/>
  <c r="F162" i="37"/>
  <c r="E162" i="37"/>
  <c r="H161" i="37"/>
  <c r="G161" i="37"/>
  <c r="F161" i="37"/>
  <c r="E161" i="37"/>
  <c r="H160" i="37"/>
  <c r="G160" i="37"/>
  <c r="F160" i="37"/>
  <c r="E160" i="37"/>
  <c r="D265" i="36"/>
  <c r="D264" i="36"/>
  <c r="D263" i="36"/>
  <c r="D262" i="36"/>
  <c r="D261" i="36"/>
  <c r="D260" i="36"/>
  <c r="D259" i="36"/>
  <c r="D258" i="36"/>
  <c r="D257" i="36"/>
  <c r="D256" i="36"/>
  <c r="D255" i="36"/>
  <c r="D254" i="36"/>
  <c r="D253" i="36"/>
  <c r="D252" i="36"/>
  <c r="D251" i="36"/>
  <c r="D250" i="36"/>
  <c r="D249" i="36"/>
  <c r="D248" i="36"/>
  <c r="D247" i="36"/>
  <c r="D246" i="36"/>
  <c r="D245" i="36"/>
  <c r="D244" i="36"/>
  <c r="D243" i="36"/>
  <c r="D242" i="36"/>
  <c r="D241" i="36"/>
  <c r="D240" i="36"/>
  <c r="D239" i="36"/>
  <c r="D238" i="36"/>
  <c r="D237" i="36"/>
  <c r="D236" i="36"/>
  <c r="D235" i="36"/>
  <c r="D234" i="36"/>
  <c r="H231" i="36"/>
  <c r="G231" i="36"/>
  <c r="F231" i="36"/>
  <c r="E231" i="36"/>
  <c r="H230" i="36"/>
  <c r="G230" i="36"/>
  <c r="F230" i="36"/>
  <c r="E230" i="36"/>
  <c r="H229" i="36"/>
  <c r="G229" i="36"/>
  <c r="F229" i="36"/>
  <c r="E229" i="36"/>
  <c r="H228" i="36"/>
  <c r="G228" i="36"/>
  <c r="F228" i="36"/>
  <c r="E228" i="36"/>
  <c r="H227" i="36"/>
  <c r="G227" i="36"/>
  <c r="F227" i="36"/>
  <c r="E227" i="36"/>
  <c r="H226" i="36"/>
  <c r="G226" i="36"/>
  <c r="F226" i="36"/>
  <c r="E226" i="36"/>
  <c r="H225" i="36"/>
  <c r="G225" i="36"/>
  <c r="F225" i="36"/>
  <c r="E225" i="36"/>
  <c r="H224" i="36"/>
  <c r="G224" i="36"/>
  <c r="F224" i="36"/>
  <c r="E224" i="36"/>
  <c r="H223" i="36"/>
  <c r="G223" i="36"/>
  <c r="F223" i="36"/>
  <c r="E223" i="36"/>
  <c r="H222" i="36"/>
  <c r="G222" i="36"/>
  <c r="F222" i="36"/>
  <c r="E222" i="36"/>
  <c r="H221" i="36"/>
  <c r="G221" i="36"/>
  <c r="F221" i="36"/>
  <c r="E221" i="36"/>
  <c r="H220" i="36"/>
  <c r="G220" i="36"/>
  <c r="F220" i="36"/>
  <c r="E220" i="36"/>
  <c r="H219" i="36"/>
  <c r="G219" i="36"/>
  <c r="F219" i="36"/>
  <c r="E219" i="36"/>
  <c r="H218" i="36"/>
  <c r="G218" i="36"/>
  <c r="F218" i="36"/>
  <c r="E218" i="36"/>
  <c r="H217" i="36"/>
  <c r="G217" i="36"/>
  <c r="F217" i="36"/>
  <c r="E217" i="36"/>
  <c r="H216" i="36"/>
  <c r="G216" i="36"/>
  <c r="F216" i="36"/>
  <c r="E216" i="36"/>
  <c r="H215" i="36"/>
  <c r="G215" i="36"/>
  <c r="F215" i="36"/>
  <c r="E215" i="36"/>
  <c r="H214" i="36"/>
  <c r="G214" i="36"/>
  <c r="F214" i="36"/>
  <c r="E214" i="36"/>
  <c r="H213" i="36"/>
  <c r="G213" i="36"/>
  <c r="F213" i="36"/>
  <c r="E213" i="36"/>
  <c r="H212" i="36"/>
  <c r="G212" i="36"/>
  <c r="F212" i="36"/>
  <c r="E212" i="36"/>
  <c r="H211" i="36"/>
  <c r="G211" i="36"/>
  <c r="F211" i="36"/>
  <c r="E211" i="36"/>
  <c r="H210" i="36"/>
  <c r="G210" i="36"/>
  <c r="F210" i="36"/>
  <c r="E210" i="36"/>
  <c r="H209" i="36"/>
  <c r="G209" i="36"/>
  <c r="F209" i="36"/>
  <c r="E209" i="36"/>
  <c r="H208" i="36"/>
  <c r="G208" i="36"/>
  <c r="F208" i="36"/>
  <c r="E208" i="36"/>
  <c r="H207" i="36"/>
  <c r="G207" i="36"/>
  <c r="F207" i="36"/>
  <c r="E207" i="36"/>
  <c r="H206" i="36"/>
  <c r="G206" i="36"/>
  <c r="F206" i="36"/>
  <c r="E206" i="36"/>
  <c r="H205" i="36"/>
  <c r="G205" i="36"/>
  <c r="F205" i="36"/>
  <c r="E205" i="36"/>
  <c r="H204" i="36"/>
  <c r="G204" i="36"/>
  <c r="F204" i="36"/>
  <c r="E204" i="36"/>
  <c r="H203" i="36"/>
  <c r="G203" i="36"/>
  <c r="F203" i="36"/>
  <c r="E203" i="36"/>
  <c r="H202" i="36"/>
  <c r="G202" i="36"/>
  <c r="F202" i="36"/>
  <c r="E202" i="36"/>
  <c r="H201" i="36"/>
  <c r="G201" i="36"/>
  <c r="F201" i="36"/>
  <c r="E201" i="36"/>
  <c r="H200" i="36"/>
  <c r="G200" i="36"/>
  <c r="F200" i="36"/>
  <c r="E200" i="36"/>
  <c r="H199" i="36"/>
  <c r="G199" i="36"/>
  <c r="F199" i="36"/>
  <c r="E199" i="36"/>
  <c r="H198" i="36"/>
  <c r="G198" i="36"/>
  <c r="F198" i="36"/>
  <c r="E198" i="36"/>
  <c r="H197" i="36"/>
  <c r="G197" i="36"/>
  <c r="F197" i="36"/>
  <c r="E197" i="36"/>
  <c r="H196" i="36"/>
  <c r="G196" i="36"/>
  <c r="F196" i="36"/>
  <c r="E196" i="36"/>
  <c r="H195" i="36"/>
  <c r="G195" i="36"/>
  <c r="F195" i="36"/>
  <c r="E195" i="36"/>
  <c r="H194" i="36"/>
  <c r="G194" i="36"/>
  <c r="F194" i="36"/>
  <c r="E194" i="36"/>
  <c r="H193" i="36"/>
  <c r="G193" i="36"/>
  <c r="F193" i="36"/>
  <c r="E193" i="36"/>
  <c r="H192" i="36"/>
  <c r="G192" i="36"/>
  <c r="F192" i="36"/>
  <c r="E192" i="36"/>
  <c r="H191" i="36"/>
  <c r="G191" i="36"/>
  <c r="F191" i="36"/>
  <c r="E191" i="36"/>
  <c r="H190" i="36"/>
  <c r="G190" i="36"/>
  <c r="F190" i="36"/>
  <c r="E190" i="36"/>
  <c r="H189" i="36"/>
  <c r="G189" i="36"/>
  <c r="F189" i="36"/>
  <c r="E189" i="36"/>
  <c r="H188" i="36"/>
  <c r="G188" i="36"/>
  <c r="F188" i="36"/>
  <c r="E188" i="36"/>
  <c r="H187" i="36"/>
  <c r="G187" i="36"/>
  <c r="F187" i="36"/>
  <c r="E187" i="36"/>
  <c r="H186" i="36"/>
  <c r="G186" i="36"/>
  <c r="F186" i="36"/>
  <c r="E186" i="36"/>
  <c r="H185" i="36"/>
  <c r="G185" i="36"/>
  <c r="F185" i="36"/>
  <c r="E185" i="36"/>
  <c r="H184" i="36"/>
  <c r="G184" i="36"/>
  <c r="F184" i="36"/>
  <c r="E184" i="36"/>
  <c r="H183" i="36"/>
  <c r="G183" i="36"/>
  <c r="F183" i="36"/>
  <c r="E183" i="36"/>
  <c r="H182" i="36"/>
  <c r="G182" i="36"/>
  <c r="F182" i="36"/>
  <c r="E182" i="36"/>
  <c r="H181" i="36"/>
  <c r="G181" i="36"/>
  <c r="F181" i="36"/>
  <c r="E181" i="36"/>
  <c r="H180" i="36"/>
  <c r="G180" i="36"/>
  <c r="F180" i="36"/>
  <c r="E180" i="36"/>
  <c r="H179" i="36"/>
  <c r="G179" i="36"/>
  <c r="F179" i="36"/>
  <c r="E179" i="36"/>
  <c r="H178" i="36"/>
  <c r="G178" i="36"/>
  <c r="F178" i="36"/>
  <c r="E178" i="36"/>
  <c r="H177" i="36"/>
  <c r="G177" i="36"/>
  <c r="F177" i="36"/>
  <c r="E177" i="36"/>
  <c r="H176" i="36"/>
  <c r="G176" i="36"/>
  <c r="F176" i="36"/>
  <c r="E176" i="36"/>
  <c r="H175" i="36"/>
  <c r="G175" i="36"/>
  <c r="F175" i="36"/>
  <c r="E175" i="36"/>
  <c r="H174" i="36"/>
  <c r="G174" i="36"/>
  <c r="F174" i="36"/>
  <c r="E174" i="36"/>
  <c r="H173" i="36"/>
  <c r="G173" i="36"/>
  <c r="F173" i="36"/>
  <c r="E173" i="36"/>
  <c r="H172" i="36"/>
  <c r="G172" i="36"/>
  <c r="F172" i="36"/>
  <c r="E172" i="36"/>
  <c r="H171" i="36"/>
  <c r="G171" i="36"/>
  <c r="F171" i="36"/>
  <c r="E171" i="36"/>
  <c r="H170" i="36"/>
  <c r="G170" i="36"/>
  <c r="F170" i="36"/>
  <c r="E170" i="36"/>
  <c r="H169" i="36"/>
  <c r="G169" i="36"/>
  <c r="F169" i="36"/>
  <c r="E169" i="36"/>
  <c r="H168" i="36"/>
  <c r="G168" i="36"/>
  <c r="F168" i="36"/>
  <c r="E168" i="36"/>
  <c r="H167" i="36"/>
  <c r="G167" i="36"/>
  <c r="F167" i="36"/>
  <c r="E167" i="36"/>
  <c r="H166" i="36"/>
  <c r="G166" i="36"/>
  <c r="F166" i="36"/>
  <c r="E166" i="36"/>
  <c r="H165" i="36"/>
  <c r="G165" i="36"/>
  <c r="F165" i="36"/>
  <c r="E165" i="36"/>
  <c r="H164" i="36"/>
  <c r="G164" i="36"/>
  <c r="F164" i="36"/>
  <c r="E164" i="36"/>
  <c r="H163" i="36"/>
  <c r="G163" i="36"/>
  <c r="F163" i="36"/>
  <c r="E163" i="36"/>
  <c r="H162" i="36"/>
  <c r="G162" i="36"/>
  <c r="F162" i="36"/>
  <c r="E162" i="36"/>
  <c r="H161" i="36"/>
  <c r="G161" i="36"/>
  <c r="F161" i="36"/>
  <c r="E161" i="36"/>
  <c r="H160" i="36"/>
  <c r="G160" i="36"/>
  <c r="F160" i="36"/>
  <c r="E160" i="36"/>
  <c r="AN87" i="39"/>
  <c r="AM87" i="39"/>
  <c r="AO87" i="39" s="1"/>
  <c r="AG87" i="39"/>
  <c r="AF87" i="39"/>
  <c r="AH87" i="39" s="1"/>
  <c r="Z87" i="39"/>
  <c r="Y87" i="39"/>
  <c r="AA87" i="39" s="1"/>
  <c r="S87" i="39"/>
  <c r="T87" i="39" s="1"/>
  <c r="R87" i="39"/>
  <c r="L87" i="39"/>
  <c r="K87" i="39"/>
  <c r="M87" i="39" s="1"/>
  <c r="E87" i="39"/>
  <c r="D87" i="39"/>
  <c r="F87" i="39" s="1"/>
  <c r="AN86" i="39"/>
  <c r="AM86" i="39"/>
  <c r="AO86" i="39" s="1"/>
  <c r="AL86" i="39"/>
  <c r="AG86" i="39"/>
  <c r="AH86" i="39" s="1"/>
  <c r="AF86" i="39"/>
  <c r="Z86" i="39"/>
  <c r="Y86" i="39"/>
  <c r="AA86" i="39" s="1"/>
  <c r="S86" i="39"/>
  <c r="R86" i="39"/>
  <c r="T86" i="39" s="1"/>
  <c r="L86" i="39"/>
  <c r="K86" i="39"/>
  <c r="M86" i="39" s="1"/>
  <c r="J86" i="39"/>
  <c r="E86" i="39"/>
  <c r="F86" i="39" s="1"/>
  <c r="D86" i="39"/>
  <c r="AN85" i="39"/>
  <c r="AM85" i="39"/>
  <c r="AO85" i="39" s="1"/>
  <c r="AG85" i="39"/>
  <c r="AF85" i="39"/>
  <c r="AH85" i="39" s="1"/>
  <c r="Z85" i="39"/>
  <c r="Y85" i="39"/>
  <c r="AA85" i="39" s="1"/>
  <c r="X85" i="39"/>
  <c r="S85" i="39"/>
  <c r="T85" i="39" s="1"/>
  <c r="R85" i="39"/>
  <c r="L85" i="39"/>
  <c r="K85" i="39"/>
  <c r="M85" i="39" s="1"/>
  <c r="E85" i="39"/>
  <c r="D85" i="39"/>
  <c r="F85" i="39" s="1"/>
  <c r="AN84" i="39"/>
  <c r="AM84" i="39"/>
  <c r="AO84" i="39" s="1"/>
  <c r="AG84" i="39"/>
  <c r="AH84" i="39" s="1"/>
  <c r="AF84" i="39"/>
  <c r="Z84" i="39"/>
  <c r="Y84" i="39"/>
  <c r="AA84" i="39" s="1"/>
  <c r="S84" i="39"/>
  <c r="S90" i="39" s="1" a="1"/>
  <c r="R84" i="39"/>
  <c r="T84" i="39" s="1"/>
  <c r="T90" i="39" s="1" a="1"/>
  <c r="L84" i="39"/>
  <c r="L90" i="39" s="1" a="1"/>
  <c r="K84" i="39"/>
  <c r="J84" i="39"/>
  <c r="E84" i="39"/>
  <c r="F84" i="39" s="1"/>
  <c r="D84" i="39"/>
  <c r="AL81" i="39"/>
  <c r="AK81" i="39"/>
  <c r="AE81" i="39"/>
  <c r="AD81" i="39"/>
  <c r="X81" i="39"/>
  <c r="W81" i="39"/>
  <c r="Q81" i="39"/>
  <c r="P81" i="39"/>
  <c r="J81" i="39"/>
  <c r="I81" i="39"/>
  <c r="C81" i="39"/>
  <c r="B81" i="39"/>
  <c r="C85" i="39" s="1"/>
  <c r="AK80" i="39"/>
  <c r="AD80" i="39"/>
  <c r="W80" i="39"/>
  <c r="P80" i="39"/>
  <c r="I80" i="39"/>
  <c r="B80" i="39"/>
  <c r="AL76" i="39"/>
  <c r="AK76" i="39"/>
  <c r="AE76" i="39"/>
  <c r="AD76" i="39"/>
  <c r="X76" i="39"/>
  <c r="W76" i="39"/>
  <c r="Q76" i="39"/>
  <c r="P76" i="39"/>
  <c r="J76" i="39"/>
  <c r="I76" i="39"/>
  <c r="C76" i="39"/>
  <c r="B76" i="39"/>
  <c r="C87" i="39" s="1"/>
  <c r="AK75" i="39"/>
  <c r="AD75" i="39"/>
  <c r="W75" i="39"/>
  <c r="P75" i="39"/>
  <c r="I75" i="39"/>
  <c r="B75" i="39"/>
  <c r="AL70" i="39"/>
  <c r="AK70" i="39"/>
  <c r="AE70" i="39"/>
  <c r="AD70" i="39"/>
  <c r="X70" i="39"/>
  <c r="W70" i="39"/>
  <c r="Q70" i="39"/>
  <c r="P70" i="39"/>
  <c r="J70" i="39"/>
  <c r="I70" i="39"/>
  <c r="C70" i="39"/>
  <c r="B70" i="39"/>
  <c r="AK69" i="39"/>
  <c r="AD69" i="39"/>
  <c r="W69" i="39"/>
  <c r="P69" i="39"/>
  <c r="I69" i="39"/>
  <c r="B69" i="39"/>
  <c r="AL65" i="39"/>
  <c r="AK65" i="39"/>
  <c r="AE65" i="39"/>
  <c r="AD65" i="39"/>
  <c r="X65" i="39"/>
  <c r="W65" i="39"/>
  <c r="Q65" i="39"/>
  <c r="Q86" i="39" s="1"/>
  <c r="P65" i="39"/>
  <c r="Q84" i="39" s="1"/>
  <c r="J65" i="39"/>
  <c r="I65" i="39"/>
  <c r="C65" i="39"/>
  <c r="B65" i="39"/>
  <c r="AK64" i="39"/>
  <c r="AD64" i="39"/>
  <c r="W64" i="39"/>
  <c r="P64" i="39"/>
  <c r="I64" i="39"/>
  <c r="B64" i="39"/>
  <c r="AL59" i="39"/>
  <c r="AL87" i="39" s="1"/>
  <c r="AK59" i="39"/>
  <c r="AE59" i="39"/>
  <c r="AE87" i="39" s="1"/>
  <c r="AD59" i="39"/>
  <c r="AE86" i="39" s="1"/>
  <c r="X59" i="39"/>
  <c r="X87" i="39" s="1"/>
  <c r="W59" i="39"/>
  <c r="X86" i="39" s="1"/>
  <c r="Q59" i="39"/>
  <c r="Q87" i="39" s="1"/>
  <c r="P59" i="39"/>
  <c r="J59" i="39"/>
  <c r="J87" i="39" s="1"/>
  <c r="I59" i="39"/>
  <c r="C59" i="39"/>
  <c r="B59" i="39"/>
  <c r="C86" i="39" s="1"/>
  <c r="AK58" i="39"/>
  <c r="AD58" i="39"/>
  <c r="W58" i="39"/>
  <c r="P58" i="39"/>
  <c r="I58" i="39"/>
  <c r="B58" i="39"/>
  <c r="AL54" i="39"/>
  <c r="AL85" i="39" s="1"/>
  <c r="AK54" i="39"/>
  <c r="AL84" i="39" s="1"/>
  <c r="AE54" i="39"/>
  <c r="AE85" i="39" s="1"/>
  <c r="AD54" i="39"/>
  <c r="AE84" i="39" s="1"/>
  <c r="X54" i="39"/>
  <c r="W54" i="39"/>
  <c r="X84" i="39" s="1"/>
  <c r="Q54" i="39"/>
  <c r="Q85" i="39" s="1"/>
  <c r="P54" i="39"/>
  <c r="J54" i="39"/>
  <c r="J85" i="39" s="1"/>
  <c r="I54" i="39"/>
  <c r="C54" i="39"/>
  <c r="B54" i="39"/>
  <c r="C84" i="39" s="1"/>
  <c r="AK53" i="39"/>
  <c r="AD53" i="39"/>
  <c r="W53" i="39"/>
  <c r="P53" i="39"/>
  <c r="I53" i="39"/>
  <c r="B53" i="39"/>
  <c r="AN40" i="39"/>
  <c r="AM40" i="39"/>
  <c r="AO40" i="39" s="1"/>
  <c r="AL40" i="39"/>
  <c r="AG40" i="39"/>
  <c r="AH40" i="39" s="1"/>
  <c r="AF40" i="39"/>
  <c r="Z40" i="39"/>
  <c r="Y40" i="39"/>
  <c r="AA40" i="39" s="1"/>
  <c r="S40" i="39"/>
  <c r="R40" i="39"/>
  <c r="T40" i="39" s="1"/>
  <c r="L40" i="39"/>
  <c r="K40" i="39"/>
  <c r="M40" i="39" s="1"/>
  <c r="J40" i="39"/>
  <c r="E40" i="39"/>
  <c r="F40" i="39" s="1"/>
  <c r="D40" i="39"/>
  <c r="AN39" i="39"/>
  <c r="AM39" i="39"/>
  <c r="AO39" i="39" s="1"/>
  <c r="AG39" i="39"/>
  <c r="AF39" i="39"/>
  <c r="AH39" i="39" s="1"/>
  <c r="Z39" i="39"/>
  <c r="Y39" i="39"/>
  <c r="AA39" i="39" s="1"/>
  <c r="X39" i="39"/>
  <c r="S39" i="39"/>
  <c r="T39" i="39" s="1"/>
  <c r="R39" i="39"/>
  <c r="L39" i="39"/>
  <c r="K39" i="39"/>
  <c r="M39" i="39" s="1"/>
  <c r="E39" i="39"/>
  <c r="D39" i="39"/>
  <c r="F39" i="39" s="1"/>
  <c r="AN38" i="39"/>
  <c r="AM38" i="39"/>
  <c r="AO38" i="39" s="1"/>
  <c r="AG38" i="39"/>
  <c r="AH38" i="39" s="1"/>
  <c r="AF38" i="39"/>
  <c r="Z38" i="39"/>
  <c r="Y38" i="39"/>
  <c r="AA38" i="39" s="1"/>
  <c r="S38" i="39"/>
  <c r="R38" i="39"/>
  <c r="T38" i="39" s="1"/>
  <c r="L38" i="39"/>
  <c r="K38" i="39"/>
  <c r="M38" i="39" s="1"/>
  <c r="J38" i="39"/>
  <c r="E38" i="39"/>
  <c r="F38" i="39" s="1"/>
  <c r="D38" i="39"/>
  <c r="AN37" i="39"/>
  <c r="AM37" i="39"/>
  <c r="AO37" i="39" s="1"/>
  <c r="AG37" i="39"/>
  <c r="AF37" i="39"/>
  <c r="AH37" i="39" s="1"/>
  <c r="Z37" i="39"/>
  <c r="Z43" i="39" s="1" a="1"/>
  <c r="Y37" i="39"/>
  <c r="AA37" i="39" s="1"/>
  <c r="AA43" i="39" s="1" a="1"/>
  <c r="S37" i="39"/>
  <c r="T37" i="39" s="1"/>
  <c r="T43" i="39" s="1" a="1"/>
  <c r="R37" i="39"/>
  <c r="L37" i="39"/>
  <c r="K37" i="39"/>
  <c r="M37" i="39" s="1"/>
  <c r="E37" i="39"/>
  <c r="D37" i="39"/>
  <c r="F37" i="39" s="1"/>
  <c r="AL34" i="39"/>
  <c r="AK34" i="39"/>
  <c r="AE34" i="39"/>
  <c r="AE37" i="39" s="1"/>
  <c r="AD34" i="39"/>
  <c r="X34" i="39"/>
  <c r="X37" i="39" s="1"/>
  <c r="W34" i="39"/>
  <c r="Q34" i="39"/>
  <c r="P34" i="39"/>
  <c r="J34" i="39"/>
  <c r="I34" i="39"/>
  <c r="C34" i="39"/>
  <c r="B34" i="39"/>
  <c r="AK33" i="39"/>
  <c r="AD33" i="39"/>
  <c r="W33" i="39"/>
  <c r="P33" i="39"/>
  <c r="I33" i="39"/>
  <c r="B33" i="39"/>
  <c r="AL29" i="39"/>
  <c r="AK29" i="39"/>
  <c r="AL38" i="39" s="1"/>
  <c r="AE29" i="39"/>
  <c r="AE39" i="39" s="1"/>
  <c r="AD29" i="39"/>
  <c r="X29" i="39"/>
  <c r="W29" i="39"/>
  <c r="Q29" i="39"/>
  <c r="P29" i="39"/>
  <c r="J29" i="39"/>
  <c r="I29" i="39"/>
  <c r="C29" i="39"/>
  <c r="B29" i="39"/>
  <c r="AK28" i="39"/>
  <c r="AD28" i="39"/>
  <c r="W28" i="39"/>
  <c r="P28" i="39"/>
  <c r="I28" i="39"/>
  <c r="B28" i="39"/>
  <c r="AL23" i="39"/>
  <c r="AK23" i="39"/>
  <c r="AE23" i="39"/>
  <c r="AD23" i="39"/>
  <c r="X23" i="39"/>
  <c r="W23" i="39"/>
  <c r="Q23" i="39"/>
  <c r="P23" i="39"/>
  <c r="J23" i="39"/>
  <c r="I23" i="39"/>
  <c r="C23" i="39"/>
  <c r="B23" i="39"/>
  <c r="AK22" i="39"/>
  <c r="AD22" i="39"/>
  <c r="W22" i="39"/>
  <c r="P22" i="39"/>
  <c r="I22" i="39"/>
  <c r="B22" i="39"/>
  <c r="AL18" i="39"/>
  <c r="AK18" i="39"/>
  <c r="AE18" i="39"/>
  <c r="AD18" i="39"/>
  <c r="X18" i="39"/>
  <c r="W18" i="39"/>
  <c r="Q18" i="39"/>
  <c r="P18" i="39"/>
  <c r="J18" i="39"/>
  <c r="I18" i="39"/>
  <c r="C18" i="39"/>
  <c r="B18" i="39"/>
  <c r="AK17" i="39"/>
  <c r="AD17" i="39"/>
  <c r="W17" i="39"/>
  <c r="P17" i="39"/>
  <c r="I17" i="39"/>
  <c r="B17" i="39"/>
  <c r="AL12" i="39"/>
  <c r="AK12" i="39"/>
  <c r="AL39" i="39" s="1"/>
  <c r="AE12" i="39"/>
  <c r="AE40" i="39" s="1"/>
  <c r="AD12" i="39"/>
  <c r="X12" i="39"/>
  <c r="X40" i="39" s="1"/>
  <c r="W12" i="39"/>
  <c r="Q12" i="39"/>
  <c r="Q40" i="39" s="1"/>
  <c r="P12" i="39"/>
  <c r="Q39" i="39" s="1"/>
  <c r="J12" i="39"/>
  <c r="I12" i="39"/>
  <c r="J39" i="39" s="1"/>
  <c r="C12" i="39"/>
  <c r="C40" i="39" s="1"/>
  <c r="B12" i="39"/>
  <c r="C39" i="39" s="1"/>
  <c r="AK11" i="39"/>
  <c r="AD11" i="39"/>
  <c r="W11" i="39"/>
  <c r="P11" i="39"/>
  <c r="I11" i="39"/>
  <c r="B11" i="39"/>
  <c r="AL7" i="39"/>
  <c r="AK7" i="39"/>
  <c r="AL37" i="39" s="1"/>
  <c r="AE7" i="39"/>
  <c r="AE38" i="39" s="1"/>
  <c r="AD7" i="39"/>
  <c r="X7" i="39"/>
  <c r="X38" i="39" s="1"/>
  <c r="W7" i="39"/>
  <c r="Q7" i="39"/>
  <c r="Q38" i="39" s="1"/>
  <c r="P7" i="39"/>
  <c r="Q37" i="39" s="1"/>
  <c r="J7" i="39"/>
  <c r="I7" i="39"/>
  <c r="J37" i="39" s="1"/>
  <c r="C7" i="39"/>
  <c r="C38" i="39" s="1"/>
  <c r="B7" i="39"/>
  <c r="C37" i="39" s="1"/>
  <c r="AK6" i="39"/>
  <c r="AD6" i="39"/>
  <c r="W6" i="39"/>
  <c r="P6" i="39"/>
  <c r="I6" i="39"/>
  <c r="B6" i="39"/>
  <c r="G232" i="37" l="1"/>
  <c r="H232" i="37"/>
  <c r="H232" i="36"/>
  <c r="G232" i="38"/>
  <c r="H232" i="38"/>
  <c r="G232" i="36"/>
  <c r="B154" i="36"/>
  <c r="B155" i="36"/>
  <c r="B154" i="38"/>
  <c r="B155" i="38"/>
  <c r="B154" i="37"/>
  <c r="B155" i="37"/>
  <c r="T90" i="39"/>
  <c r="X100" i="39"/>
  <c r="Y90" i="39" a="1"/>
  <c r="AA90" i="39" a="1"/>
  <c r="AL43" i="39" a="1"/>
  <c r="AK43" i="39" a="1"/>
  <c r="D245" i="39" s="1"/>
  <c r="AN90" i="39" a="1"/>
  <c r="AM90" i="39" a="1"/>
  <c r="AL90" i="39" a="1"/>
  <c r="AH90" i="39" a="1"/>
  <c r="AH43" i="39" a="1"/>
  <c r="AO90" i="39" a="1"/>
  <c r="AK90" i="39" a="1"/>
  <c r="AO43" i="39" a="1"/>
  <c r="J43" i="39" a="1"/>
  <c r="L43" i="39" a="1"/>
  <c r="K43" i="39" a="1"/>
  <c r="Z43" i="39"/>
  <c r="W107" i="39"/>
  <c r="AD43" i="39" a="1"/>
  <c r="AG43" i="39" a="1"/>
  <c r="AF43" i="39" a="1"/>
  <c r="AE43" i="39" a="1"/>
  <c r="L90" i="39"/>
  <c r="W99" i="39"/>
  <c r="D43" i="39" a="1"/>
  <c r="C43" i="39" a="1"/>
  <c r="B43" i="39" a="1"/>
  <c r="R43" i="39" a="1"/>
  <c r="S43" i="39" a="1"/>
  <c r="Q43" i="39" a="1"/>
  <c r="P43" i="39" a="1"/>
  <c r="AA43" i="39"/>
  <c r="X107" i="39"/>
  <c r="X106" i="39"/>
  <c r="T43" i="39"/>
  <c r="F43" i="39" a="1"/>
  <c r="X90" i="39" a="1"/>
  <c r="W90" i="39" a="1"/>
  <c r="Z90" i="39" a="1"/>
  <c r="F90" i="39" a="1"/>
  <c r="W100" i="39"/>
  <c r="S90" i="39"/>
  <c r="B90" i="39" a="1"/>
  <c r="C90" i="39" a="1"/>
  <c r="E90" i="39" a="1"/>
  <c r="D90" i="39" a="1"/>
  <c r="Y43" i="39" a="1"/>
  <c r="X43" i="39" a="1"/>
  <c r="W43" i="39" a="1"/>
  <c r="E43" i="39" a="1"/>
  <c r="M43" i="39" a="1"/>
  <c r="I43" i="39" a="1"/>
  <c r="AF90" i="39" a="1"/>
  <c r="AE90" i="39" a="1"/>
  <c r="AD90" i="39" a="1"/>
  <c r="R90" i="39" a="1"/>
  <c r="Q90" i="39" a="1"/>
  <c r="P90" i="39" a="1"/>
  <c r="J90" i="39" a="1"/>
  <c r="AN43" i="39" a="1"/>
  <c r="K90" i="39" a="1"/>
  <c r="M84" i="39"/>
  <c r="M90" i="39" s="1" a="1"/>
  <c r="I90" i="39" a="1"/>
  <c r="AM43" i="39" a="1"/>
  <c r="AG90" i="39" a="1"/>
  <c r="V98" i="39" l="1"/>
  <c r="D90" i="39"/>
  <c r="W106" i="39"/>
  <c r="S43" i="39"/>
  <c r="AO43" i="39"/>
  <c r="X109" i="39"/>
  <c r="R99" i="39"/>
  <c r="I90" i="39"/>
  <c r="R43" i="39"/>
  <c r="V106" i="39"/>
  <c r="R103" i="39"/>
  <c r="AK90" i="39"/>
  <c r="B90" i="39"/>
  <c r="R98" i="39"/>
  <c r="B43" i="39"/>
  <c r="R104" i="39"/>
  <c r="X103" i="39"/>
  <c r="AO90" i="39"/>
  <c r="L43" i="39"/>
  <c r="W105" i="39"/>
  <c r="R100" i="39"/>
  <c r="P90" i="39"/>
  <c r="U104" i="39"/>
  <c r="C43" i="39"/>
  <c r="X108" i="39"/>
  <c r="AH43" i="39"/>
  <c r="U105" i="39"/>
  <c r="J43" i="39"/>
  <c r="U100" i="39"/>
  <c r="Q90" i="39"/>
  <c r="D43" i="39"/>
  <c r="V104" i="39"/>
  <c r="AH90" i="39"/>
  <c r="X102" i="39"/>
  <c r="J90" i="39"/>
  <c r="U99" i="39"/>
  <c r="R90" i="39"/>
  <c r="V100" i="39"/>
  <c r="X98" i="39"/>
  <c r="F90" i="39"/>
  <c r="U103" i="39"/>
  <c r="AL90" i="39"/>
  <c r="M90" i="39"/>
  <c r="X99" i="39"/>
  <c r="R102" i="39"/>
  <c r="AD90" i="39"/>
  <c r="W101" i="39"/>
  <c r="Z90" i="39"/>
  <c r="V103" i="39"/>
  <c r="AM90" i="39"/>
  <c r="AN43" i="39"/>
  <c r="W109" i="39"/>
  <c r="W90" i="39"/>
  <c r="R101" i="39"/>
  <c r="U108" i="39"/>
  <c r="AE43" i="39"/>
  <c r="AN90" i="39"/>
  <c r="W103" i="39"/>
  <c r="V99" i="39"/>
  <c r="K90" i="39"/>
  <c r="X90" i="39"/>
  <c r="U101" i="39"/>
  <c r="V108" i="39"/>
  <c r="AF43" i="39"/>
  <c r="AK43" i="39"/>
  <c r="D244" i="39" s="1"/>
  <c r="R109" i="39"/>
  <c r="W98" i="39"/>
  <c r="E90" i="39"/>
  <c r="F43" i="39"/>
  <c r="X104" i="39"/>
  <c r="W108" i="39"/>
  <c r="AG43" i="39"/>
  <c r="AL43" i="39"/>
  <c r="U109" i="39"/>
  <c r="P43" i="39"/>
  <c r="R106" i="39"/>
  <c r="U102" i="39"/>
  <c r="AE90" i="39"/>
  <c r="AD43" i="39"/>
  <c r="R108" i="39"/>
  <c r="X101" i="39"/>
  <c r="AA90" i="39"/>
  <c r="Q43" i="39"/>
  <c r="U106" i="39"/>
  <c r="V102" i="39"/>
  <c r="AF90" i="39"/>
  <c r="E43" i="39"/>
  <c r="W104" i="39"/>
  <c r="V101" i="39"/>
  <c r="Y90" i="39"/>
  <c r="U98" i="39"/>
  <c r="C90" i="39"/>
  <c r="X105" i="39"/>
  <c r="M43" i="39"/>
  <c r="AG90" i="39"/>
  <c r="W102" i="39"/>
  <c r="R107" i="39"/>
  <c r="W43" i="39"/>
  <c r="V107" i="39"/>
  <c r="Y43" i="39"/>
  <c r="I43" i="39"/>
  <c r="R105" i="39"/>
  <c r="AM43" i="39"/>
  <c r="V109" i="39"/>
  <c r="X43" i="39"/>
  <c r="U107" i="39"/>
  <c r="V105" i="39"/>
  <c r="K43" i="39"/>
  <c r="R112" i="39" l="1" a="1"/>
  <c r="X112" i="39" a="1"/>
  <c r="X112" i="39" s="1"/>
  <c r="W112" i="39" a="1"/>
  <c r="W112" i="39" s="1"/>
  <c r="U112" i="39" a="1"/>
  <c r="U112" i="39" s="1"/>
  <c r="V112" i="39" a="1"/>
  <c r="V112" i="39" s="1"/>
  <c r="R112" i="39" l="1"/>
  <c r="D258" i="39" s="1"/>
  <c r="D265" i="39"/>
  <c r="D264" i="39"/>
  <c r="D263" i="39"/>
  <c r="D262" i="39"/>
  <c r="D261" i="39"/>
  <c r="D260" i="39"/>
  <c r="D259" i="39"/>
  <c r="AN87" i="38"/>
  <c r="AM87" i="38"/>
  <c r="AO87" i="38" s="1"/>
  <c r="AG87" i="38"/>
  <c r="AF87" i="38"/>
  <c r="AH87" i="38" s="1"/>
  <c r="AA87" i="38"/>
  <c r="Z87" i="38"/>
  <c r="Y87" i="38"/>
  <c r="T87" i="38"/>
  <c r="S87" i="38"/>
  <c r="R87" i="38"/>
  <c r="L87" i="38"/>
  <c r="K87" i="38"/>
  <c r="M87" i="38" s="1"/>
  <c r="E87" i="38"/>
  <c r="D87" i="38"/>
  <c r="F87" i="38" s="1"/>
  <c r="AO86" i="38"/>
  <c r="AN86" i="38"/>
  <c r="AM86" i="38"/>
  <c r="AL86" i="38"/>
  <c r="AH86" i="38"/>
  <c r="AG86" i="38"/>
  <c r="AF86" i="38"/>
  <c r="Z86" i="38"/>
  <c r="Y86" i="38"/>
  <c r="AA86" i="38" s="1"/>
  <c r="S86" i="38"/>
  <c r="R86" i="38"/>
  <c r="T86" i="38" s="1"/>
  <c r="M86" i="38"/>
  <c r="L86" i="38"/>
  <c r="K86" i="38"/>
  <c r="F86" i="38"/>
  <c r="E86" i="38"/>
  <c r="D86" i="38"/>
  <c r="AN85" i="38"/>
  <c r="AM85" i="38"/>
  <c r="AO85" i="38" s="1"/>
  <c r="AG85" i="38"/>
  <c r="AF85" i="38"/>
  <c r="AH85" i="38" s="1"/>
  <c r="AA85" i="38"/>
  <c r="Z85" i="38"/>
  <c r="Y85" i="38"/>
  <c r="T85" i="38"/>
  <c r="S85" i="38"/>
  <c r="R85" i="38"/>
  <c r="L85" i="38"/>
  <c r="K85" i="38"/>
  <c r="M85" i="38" s="1"/>
  <c r="E85" i="38"/>
  <c r="D85" i="38"/>
  <c r="F85" i="38" s="1"/>
  <c r="AO84" i="38"/>
  <c r="AO90" i="38" s="1" a="1"/>
  <c r="AN84" i="38"/>
  <c r="AM84" i="38"/>
  <c r="AH84" i="38"/>
  <c r="AG84" i="38"/>
  <c r="AF84" i="38"/>
  <c r="Z84" i="38"/>
  <c r="Y84" i="38"/>
  <c r="AA84" i="38" s="1"/>
  <c r="S84" i="38"/>
  <c r="R84" i="38"/>
  <c r="T84" i="38" s="1"/>
  <c r="M84" i="38"/>
  <c r="L84" i="38"/>
  <c r="K84" i="38"/>
  <c r="J84" i="38"/>
  <c r="F84" i="38"/>
  <c r="E84" i="38"/>
  <c r="D84" i="38"/>
  <c r="AL81" i="38"/>
  <c r="AK81" i="38"/>
  <c r="AE81" i="38"/>
  <c r="AD81" i="38"/>
  <c r="X81" i="38"/>
  <c r="W81" i="38"/>
  <c r="Q81" i="38"/>
  <c r="P81" i="38"/>
  <c r="J81" i="38"/>
  <c r="J86" i="38" s="1"/>
  <c r="I81" i="38"/>
  <c r="C81" i="38"/>
  <c r="B81" i="38"/>
  <c r="C85" i="38" s="1"/>
  <c r="AK80" i="38"/>
  <c r="AD80" i="38"/>
  <c r="W80" i="38"/>
  <c r="P80" i="38"/>
  <c r="I80" i="38"/>
  <c r="B80" i="38"/>
  <c r="AL76" i="38"/>
  <c r="AK76" i="38"/>
  <c r="AE76" i="38"/>
  <c r="AD76" i="38"/>
  <c r="X76" i="38"/>
  <c r="W76" i="38"/>
  <c r="Q76" i="38"/>
  <c r="P76" i="38"/>
  <c r="J76" i="38"/>
  <c r="I76" i="38"/>
  <c r="C76" i="38"/>
  <c r="B76" i="38"/>
  <c r="C87" i="38" s="1"/>
  <c r="AK75" i="38"/>
  <c r="AD75" i="38"/>
  <c r="W75" i="38"/>
  <c r="P75" i="38"/>
  <c r="I75" i="38"/>
  <c r="B75" i="38"/>
  <c r="AL70" i="38"/>
  <c r="AK70" i="38"/>
  <c r="AE70" i="38"/>
  <c r="AD70" i="38"/>
  <c r="AE87" i="38" s="1"/>
  <c r="X70" i="38"/>
  <c r="X85" i="38" s="1"/>
  <c r="W70" i="38"/>
  <c r="Q70" i="38"/>
  <c r="P70" i="38"/>
  <c r="J70" i="38"/>
  <c r="I70" i="38"/>
  <c r="J87" i="38" s="1"/>
  <c r="C70" i="38"/>
  <c r="B70" i="38"/>
  <c r="AK69" i="38"/>
  <c r="AD69" i="38"/>
  <c r="W69" i="38"/>
  <c r="P69" i="38"/>
  <c r="I69" i="38"/>
  <c r="B69" i="38"/>
  <c r="AL65" i="38"/>
  <c r="AK65" i="38"/>
  <c r="AE65" i="38"/>
  <c r="AD65" i="38"/>
  <c r="X65" i="38"/>
  <c r="W65" i="38"/>
  <c r="X84" i="38" s="1"/>
  <c r="Q65" i="38"/>
  <c r="Q86" i="38" s="1"/>
  <c r="P65" i="38"/>
  <c r="Q84" i="38" s="1"/>
  <c r="J65" i="38"/>
  <c r="I65" i="38"/>
  <c r="C65" i="38"/>
  <c r="B65" i="38"/>
  <c r="AK64" i="38"/>
  <c r="AD64" i="38"/>
  <c r="W64" i="38"/>
  <c r="P64" i="38"/>
  <c r="I64" i="38"/>
  <c r="B64" i="38"/>
  <c r="AL59" i="38"/>
  <c r="AL87" i="38" s="1"/>
  <c r="AK59" i="38"/>
  <c r="AE59" i="38"/>
  <c r="AD59" i="38"/>
  <c r="AE86" i="38" s="1"/>
  <c r="X59" i="38"/>
  <c r="X87" i="38" s="1"/>
  <c r="W59" i="38"/>
  <c r="X86" i="38" s="1"/>
  <c r="Q59" i="38"/>
  <c r="Q87" i="38" s="1"/>
  <c r="P59" i="38"/>
  <c r="J59" i="38"/>
  <c r="I59" i="38"/>
  <c r="C59" i="38"/>
  <c r="B59" i="38"/>
  <c r="C86" i="38" s="1"/>
  <c r="AK58" i="38"/>
  <c r="AD58" i="38"/>
  <c r="W58" i="38"/>
  <c r="P58" i="38"/>
  <c r="I58" i="38"/>
  <c r="B58" i="38"/>
  <c r="AL54" i="38"/>
  <c r="AL85" i="38" s="1"/>
  <c r="AK54" i="38"/>
  <c r="AL84" i="38" s="1"/>
  <c r="AE54" i="38"/>
  <c r="AE85" i="38" s="1"/>
  <c r="AD54" i="38"/>
  <c r="AE84" i="38" s="1"/>
  <c r="X54" i="38"/>
  <c r="W54" i="38"/>
  <c r="Q54" i="38"/>
  <c r="Q85" i="38" s="1"/>
  <c r="P54" i="38"/>
  <c r="J54" i="38"/>
  <c r="J85" i="38" s="1"/>
  <c r="I54" i="38"/>
  <c r="C54" i="38"/>
  <c r="B54" i="38"/>
  <c r="C84" i="38" s="1"/>
  <c r="AK53" i="38"/>
  <c r="AD53" i="38"/>
  <c r="W53" i="38"/>
  <c r="P53" i="38"/>
  <c r="I53" i="38"/>
  <c r="B53" i="38"/>
  <c r="AO40" i="38"/>
  <c r="AN40" i="38"/>
  <c r="AM40" i="38"/>
  <c r="AL40" i="38"/>
  <c r="AG40" i="38"/>
  <c r="AH40" i="38" s="1"/>
  <c r="AF40" i="38"/>
  <c r="Z40" i="38"/>
  <c r="Y40" i="38"/>
  <c r="AA40" i="38" s="1"/>
  <c r="S40" i="38"/>
  <c r="T40" i="38" s="1"/>
  <c r="R40" i="38"/>
  <c r="Q40" i="38"/>
  <c r="M40" i="38"/>
  <c r="L40" i="38"/>
  <c r="K40" i="38"/>
  <c r="J40" i="38"/>
  <c r="E40" i="38"/>
  <c r="F40" i="38" s="1"/>
  <c r="D40" i="38"/>
  <c r="AN39" i="38"/>
  <c r="AM39" i="38"/>
  <c r="AO39" i="38" s="1"/>
  <c r="AG39" i="38"/>
  <c r="AH39" i="38" s="1"/>
  <c r="AF39" i="38"/>
  <c r="AA39" i="38"/>
  <c r="Z39" i="38"/>
  <c r="Y39" i="38"/>
  <c r="X39" i="38"/>
  <c r="S39" i="38"/>
  <c r="T39" i="38" s="1"/>
  <c r="R39" i="38"/>
  <c r="L39" i="38"/>
  <c r="K39" i="38"/>
  <c r="M39" i="38" s="1"/>
  <c r="E39" i="38"/>
  <c r="F39" i="38" s="1"/>
  <c r="D39" i="38"/>
  <c r="AO38" i="38"/>
  <c r="AN38" i="38"/>
  <c r="AM38" i="38"/>
  <c r="AG38" i="38"/>
  <c r="AH38" i="38" s="1"/>
  <c r="AF38" i="38"/>
  <c r="Z38" i="38"/>
  <c r="Y38" i="38"/>
  <c r="AA38" i="38" s="1"/>
  <c r="X38" i="38"/>
  <c r="S38" i="38"/>
  <c r="T38" i="38" s="1"/>
  <c r="R38" i="38"/>
  <c r="M38" i="38"/>
  <c r="L38" i="38"/>
  <c r="K38" i="38"/>
  <c r="J38" i="38"/>
  <c r="E38" i="38"/>
  <c r="F38" i="38" s="1"/>
  <c r="D38" i="38"/>
  <c r="AN37" i="38"/>
  <c r="AM37" i="38"/>
  <c r="AO37" i="38" s="1"/>
  <c r="AG37" i="38"/>
  <c r="AH37" i="38" s="1"/>
  <c r="AF37" i="38"/>
  <c r="AE37" i="38"/>
  <c r="AA37" i="38"/>
  <c r="AA43" i="38" s="1" a="1"/>
  <c r="Z37" i="38"/>
  <c r="Y37" i="38"/>
  <c r="S37" i="38"/>
  <c r="T37" i="38" s="1"/>
  <c r="R37" i="38"/>
  <c r="L37" i="38"/>
  <c r="K37" i="38"/>
  <c r="M37" i="38" s="1"/>
  <c r="E37" i="38"/>
  <c r="D37" i="38"/>
  <c r="AL34" i="38"/>
  <c r="AK34" i="38"/>
  <c r="AE34" i="38"/>
  <c r="AD34" i="38"/>
  <c r="X34" i="38"/>
  <c r="X37" i="38" s="1"/>
  <c r="W34" i="38"/>
  <c r="Q34" i="38"/>
  <c r="P34" i="38"/>
  <c r="J34" i="38"/>
  <c r="I34" i="38"/>
  <c r="C34" i="38"/>
  <c r="B34" i="38"/>
  <c r="AK33" i="38"/>
  <c r="AD33" i="38"/>
  <c r="W33" i="38"/>
  <c r="P33" i="38"/>
  <c r="I33" i="38"/>
  <c r="B33" i="38"/>
  <c r="AL29" i="38"/>
  <c r="AK29" i="38"/>
  <c r="AL38" i="38" s="1"/>
  <c r="AE29" i="38"/>
  <c r="AE39" i="38" s="1"/>
  <c r="AD29" i="38"/>
  <c r="X29" i="38"/>
  <c r="W29" i="38"/>
  <c r="Q29" i="38"/>
  <c r="P29" i="38"/>
  <c r="J29" i="38"/>
  <c r="I29" i="38"/>
  <c r="C29" i="38"/>
  <c r="B29" i="38"/>
  <c r="AK28" i="38"/>
  <c r="AD28" i="38"/>
  <c r="W28" i="38"/>
  <c r="P28" i="38"/>
  <c r="I28" i="38"/>
  <c r="B28" i="38"/>
  <c r="AL23" i="38"/>
  <c r="AL39" i="38" s="1"/>
  <c r="AK23" i="38"/>
  <c r="AE23" i="38"/>
  <c r="AD23" i="38"/>
  <c r="X23" i="38"/>
  <c r="W23" i="38"/>
  <c r="Q23" i="38"/>
  <c r="P23" i="38"/>
  <c r="J23" i="38"/>
  <c r="I23" i="38"/>
  <c r="C23" i="38"/>
  <c r="B23" i="38"/>
  <c r="AK22" i="38"/>
  <c r="AD22" i="38"/>
  <c r="W22" i="38"/>
  <c r="P22" i="38"/>
  <c r="I22" i="38"/>
  <c r="B22" i="38"/>
  <c r="AL18" i="38"/>
  <c r="AK18" i="38"/>
  <c r="AE18" i="38"/>
  <c r="AD18" i="38"/>
  <c r="X18" i="38"/>
  <c r="W18" i="38"/>
  <c r="X40" i="38" s="1"/>
  <c r="Q18" i="38"/>
  <c r="P18" i="38"/>
  <c r="J18" i="38"/>
  <c r="I18" i="38"/>
  <c r="C18" i="38"/>
  <c r="B18" i="38"/>
  <c r="AK17" i="38"/>
  <c r="AD17" i="38"/>
  <c r="W17" i="38"/>
  <c r="P17" i="38"/>
  <c r="I17" i="38"/>
  <c r="B17" i="38"/>
  <c r="AL12" i="38"/>
  <c r="AK12" i="38"/>
  <c r="AE12" i="38"/>
  <c r="AE40" i="38" s="1"/>
  <c r="AD12" i="38"/>
  <c r="X12" i="38"/>
  <c r="W12" i="38"/>
  <c r="Q12" i="38"/>
  <c r="P12" i="38"/>
  <c r="Q39" i="38" s="1"/>
  <c r="J12" i="38"/>
  <c r="I12" i="38"/>
  <c r="J39" i="38" s="1"/>
  <c r="C12" i="38"/>
  <c r="C40" i="38" s="1"/>
  <c r="B12" i="38"/>
  <c r="C39" i="38" s="1"/>
  <c r="AK11" i="38"/>
  <c r="AD11" i="38"/>
  <c r="W11" i="38"/>
  <c r="P11" i="38"/>
  <c r="I11" i="38"/>
  <c r="B11" i="38"/>
  <c r="AL7" i="38"/>
  <c r="AK7" i="38"/>
  <c r="AL37" i="38" s="1"/>
  <c r="AE7" i="38"/>
  <c r="AE38" i="38" s="1"/>
  <c r="AD7" i="38"/>
  <c r="X7" i="38"/>
  <c r="W7" i="38"/>
  <c r="Q7" i="38"/>
  <c r="Q38" i="38" s="1"/>
  <c r="P7" i="38"/>
  <c r="Q37" i="38" s="1"/>
  <c r="J7" i="38"/>
  <c r="I7" i="38"/>
  <c r="J37" i="38" s="1"/>
  <c r="C7" i="38"/>
  <c r="C38" i="38" s="1"/>
  <c r="B7" i="38"/>
  <c r="C37" i="38" s="1"/>
  <c r="AK6" i="38"/>
  <c r="AD6" i="38"/>
  <c r="W6" i="38"/>
  <c r="P6" i="38"/>
  <c r="I6" i="38"/>
  <c r="B6" i="38"/>
  <c r="AO90" i="38" l="1"/>
  <c r="X103" i="38"/>
  <c r="AD43" i="38" a="1"/>
  <c r="F90" i="38" a="1"/>
  <c r="AF90" i="38" a="1"/>
  <c r="AE90" i="38" a="1"/>
  <c r="AD90" i="38" a="1"/>
  <c r="AA43" i="38"/>
  <c r="X107" i="38"/>
  <c r="M90" i="38" a="1"/>
  <c r="L90" i="38" a="1"/>
  <c r="T90" i="38" a="1"/>
  <c r="J90" i="38" a="1"/>
  <c r="AM90" i="38" a="1"/>
  <c r="AL90" i="38" a="1"/>
  <c r="AK90" i="38" a="1"/>
  <c r="S90" i="38" a="1"/>
  <c r="AH43" i="38" a="1"/>
  <c r="AF43" i="38" a="1"/>
  <c r="AE43" i="38" a="1"/>
  <c r="L43" i="38" a="1"/>
  <c r="K43" i="38" a="1"/>
  <c r="J43" i="38" a="1"/>
  <c r="I43" i="38" a="1"/>
  <c r="M43" i="38" a="1"/>
  <c r="AA90" i="38" a="1"/>
  <c r="AN43" i="38" a="1"/>
  <c r="P43" i="38" a="1"/>
  <c r="R43" i="38" a="1"/>
  <c r="Q43" i="38" a="1"/>
  <c r="B90" i="38" a="1"/>
  <c r="E90" i="38" a="1"/>
  <c r="D90" i="38" a="1"/>
  <c r="C90" i="38" a="1"/>
  <c r="Z43" i="38" a="1"/>
  <c r="Y43" i="38" a="1"/>
  <c r="R90" i="38" a="1"/>
  <c r="Q90" i="38" a="1"/>
  <c r="P90" i="38" a="1"/>
  <c r="X90" i="38" a="1"/>
  <c r="W90" i="38" a="1"/>
  <c r="Z90" i="38" a="1"/>
  <c r="Y90" i="38" a="1"/>
  <c r="K90" i="38" a="1"/>
  <c r="T43" i="38" a="1"/>
  <c r="S43" i="38" a="1"/>
  <c r="AG90" i="38" a="1"/>
  <c r="AO43" i="38" a="1"/>
  <c r="AL43" i="38" a="1"/>
  <c r="AK43" i="38" a="1"/>
  <c r="AH90" i="38" a="1"/>
  <c r="W43" i="38" a="1"/>
  <c r="AG43" i="38" a="1"/>
  <c r="AN90" i="38" a="1"/>
  <c r="I90" i="38" a="1"/>
  <c r="X43" i="38" a="1"/>
  <c r="F37" i="38"/>
  <c r="F43" i="38" s="1" a="1"/>
  <c r="AM43" i="38" a="1"/>
  <c r="K90" i="38" l="1"/>
  <c r="V99" i="38"/>
  <c r="P43" i="38"/>
  <c r="R106" i="38"/>
  <c r="J90" i="38"/>
  <c r="U99" i="38"/>
  <c r="AM43" i="38"/>
  <c r="V109" i="38"/>
  <c r="W101" i="38"/>
  <c r="Z90" i="38"/>
  <c r="X101" i="38"/>
  <c r="AA90" i="38"/>
  <c r="L90" i="38"/>
  <c r="W99" i="38"/>
  <c r="M43" i="38"/>
  <c r="X105" i="38"/>
  <c r="X99" i="38"/>
  <c r="M90" i="38"/>
  <c r="X90" i="38"/>
  <c r="U101" i="38"/>
  <c r="R105" i="38"/>
  <c r="I43" i="38"/>
  <c r="R100" i="38"/>
  <c r="P90" i="38"/>
  <c r="U105" i="38"/>
  <c r="J43" i="38"/>
  <c r="AN90" i="38"/>
  <c r="W103" i="38"/>
  <c r="U100" i="38"/>
  <c r="Q90" i="38"/>
  <c r="V105" i="38"/>
  <c r="K43" i="38"/>
  <c r="R102" i="38"/>
  <c r="AD90" i="38"/>
  <c r="T90" i="38"/>
  <c r="X100" i="38"/>
  <c r="R90" i="38"/>
  <c r="V100" i="38"/>
  <c r="L43" i="38"/>
  <c r="W105" i="38"/>
  <c r="U102" i="38"/>
  <c r="AE90" i="38"/>
  <c r="W43" i="38"/>
  <c r="R107" i="38"/>
  <c r="V107" i="38"/>
  <c r="Y43" i="38"/>
  <c r="U108" i="38"/>
  <c r="AE43" i="38"/>
  <c r="AF90" i="38"/>
  <c r="V102" i="38"/>
  <c r="W108" i="38"/>
  <c r="AG43" i="38"/>
  <c r="AH90" i="38"/>
  <c r="X102" i="38"/>
  <c r="Z43" i="38"/>
  <c r="W107" i="38"/>
  <c r="V108" i="38"/>
  <c r="AF43" i="38"/>
  <c r="X98" i="38"/>
  <c r="F90" i="38"/>
  <c r="F43" i="38"/>
  <c r="X104" i="38"/>
  <c r="R109" i="38"/>
  <c r="AK43" i="38"/>
  <c r="C90" i="38"/>
  <c r="U98" i="38"/>
  <c r="AH43" i="38"/>
  <c r="X108" i="38"/>
  <c r="C43" i="38" a="1"/>
  <c r="V101" i="38"/>
  <c r="Y90" i="38"/>
  <c r="AL43" i="38"/>
  <c r="U109" i="38"/>
  <c r="V98" i="38"/>
  <c r="D90" i="38"/>
  <c r="S90" i="38"/>
  <c r="W100" i="38"/>
  <c r="D43" i="38" a="1"/>
  <c r="U107" i="38"/>
  <c r="X43" i="38"/>
  <c r="X109" i="38"/>
  <c r="AO43" i="38"/>
  <c r="W98" i="38"/>
  <c r="E90" i="38"/>
  <c r="E43" i="38" a="1"/>
  <c r="B43" i="38" a="1"/>
  <c r="AN43" i="38"/>
  <c r="W109" i="38"/>
  <c r="R103" i="38"/>
  <c r="AK90" i="38"/>
  <c r="AD43" i="38"/>
  <c r="R108" i="38"/>
  <c r="W90" i="38"/>
  <c r="R101" i="38"/>
  <c r="B90" i="38"/>
  <c r="R98" i="38"/>
  <c r="W106" i="38"/>
  <c r="S43" i="38"/>
  <c r="Q43" i="38"/>
  <c r="U106" i="38"/>
  <c r="U103" i="38"/>
  <c r="AL90" i="38"/>
  <c r="R99" i="38"/>
  <c r="I90" i="38"/>
  <c r="AG90" i="38"/>
  <c r="W102" i="38"/>
  <c r="X106" i="38"/>
  <c r="T43" i="38"/>
  <c r="R43" i="38"/>
  <c r="V106" i="38"/>
  <c r="AM90" i="38"/>
  <c r="V103" i="38"/>
  <c r="D43" i="38" l="1"/>
  <c r="V104" i="38"/>
  <c r="R104" i="38"/>
  <c r="B43" i="38"/>
  <c r="E43" i="38"/>
  <c r="W104" i="38"/>
  <c r="U104" i="38"/>
  <c r="R112" i="38" s="1" a="1"/>
  <c r="R112" i="38" s="1"/>
  <c r="C43" i="38"/>
  <c r="U112" i="38" a="1"/>
  <c r="U112" i="38" s="1"/>
  <c r="W112" i="38" a="1"/>
  <c r="W112" i="38" s="1"/>
  <c r="X112" i="38" l="1" a="1"/>
  <c r="X112" i="38" s="1"/>
  <c r="V112" i="38" a="1"/>
  <c r="V112" i="38" s="1"/>
  <c r="AN87" i="37" l="1"/>
  <c r="AM87" i="37"/>
  <c r="AO87" i="37" s="1"/>
  <c r="AG87" i="37"/>
  <c r="AF87" i="37"/>
  <c r="AH87" i="37" s="1"/>
  <c r="Z87" i="37"/>
  <c r="Y87" i="37"/>
  <c r="AA87" i="37" s="1"/>
  <c r="T87" i="37"/>
  <c r="S87" i="37"/>
  <c r="R87" i="37"/>
  <c r="L87" i="37"/>
  <c r="K87" i="37"/>
  <c r="M87" i="37" s="1"/>
  <c r="E87" i="37"/>
  <c r="D87" i="37"/>
  <c r="F87" i="37" s="1"/>
  <c r="AN86" i="37"/>
  <c r="AM86" i="37"/>
  <c r="AO86" i="37" s="1"/>
  <c r="AL86" i="37"/>
  <c r="AH86" i="37"/>
  <c r="AG86" i="37"/>
  <c r="AF86" i="37"/>
  <c r="Z86" i="37"/>
  <c r="Y86" i="37"/>
  <c r="AA86" i="37" s="1"/>
  <c r="S86" i="37"/>
  <c r="R86" i="37"/>
  <c r="T86" i="37" s="1"/>
  <c r="L86" i="37"/>
  <c r="K86" i="37"/>
  <c r="M86" i="37" s="1"/>
  <c r="J86" i="37"/>
  <c r="F86" i="37"/>
  <c r="E86" i="37"/>
  <c r="D86" i="37"/>
  <c r="AN85" i="37"/>
  <c r="AM85" i="37"/>
  <c r="AO85" i="37" s="1"/>
  <c r="AG85" i="37"/>
  <c r="AF85" i="37"/>
  <c r="AH85" i="37" s="1"/>
  <c r="Z85" i="37"/>
  <c r="Y85" i="37"/>
  <c r="AA85" i="37" s="1"/>
  <c r="X85" i="37"/>
  <c r="T85" i="37"/>
  <c r="S85" i="37"/>
  <c r="R85" i="37"/>
  <c r="L85" i="37"/>
  <c r="K85" i="37"/>
  <c r="M85" i="37" s="1"/>
  <c r="E85" i="37"/>
  <c r="D85" i="37"/>
  <c r="F85" i="37" s="1"/>
  <c r="AN84" i="37"/>
  <c r="AM84" i="37"/>
  <c r="AO84" i="37" s="1"/>
  <c r="AH84" i="37"/>
  <c r="AH90" i="37" s="1" a="1"/>
  <c r="AG84" i="37"/>
  <c r="AF84" i="37"/>
  <c r="AF90" i="37" s="1" a="1"/>
  <c r="Z84" i="37"/>
  <c r="Y84" i="37"/>
  <c r="AA84" i="37" s="1"/>
  <c r="S84" i="37"/>
  <c r="R84" i="37"/>
  <c r="T84" i="37" s="1"/>
  <c r="L84" i="37"/>
  <c r="K84" i="37"/>
  <c r="M84" i="37" s="1"/>
  <c r="J84" i="37"/>
  <c r="F84" i="37"/>
  <c r="E84" i="37"/>
  <c r="D84" i="37"/>
  <c r="AL81" i="37"/>
  <c r="AK81" i="37"/>
  <c r="AE81" i="37"/>
  <c r="AD81" i="37"/>
  <c r="X81" i="37"/>
  <c r="W81" i="37"/>
  <c r="Q81" i="37"/>
  <c r="P81" i="37"/>
  <c r="J81" i="37"/>
  <c r="I81" i="37"/>
  <c r="C81" i="37"/>
  <c r="B81" i="37"/>
  <c r="AK80" i="37"/>
  <c r="AD80" i="37"/>
  <c r="W80" i="37"/>
  <c r="P80" i="37"/>
  <c r="I80" i="37"/>
  <c r="B80" i="37"/>
  <c r="AL76" i="37"/>
  <c r="AK76" i="37"/>
  <c r="AL87" i="37" s="1"/>
  <c r="AE76" i="37"/>
  <c r="AD76" i="37"/>
  <c r="X76" i="37"/>
  <c r="W76" i="37"/>
  <c r="Q76" i="37"/>
  <c r="Q84" i="37" s="1"/>
  <c r="P76" i="37"/>
  <c r="J76" i="37"/>
  <c r="I76" i="37"/>
  <c r="J87" i="37" s="1"/>
  <c r="C76" i="37"/>
  <c r="B76" i="37"/>
  <c r="AK75" i="37"/>
  <c r="AD75" i="37"/>
  <c r="W75" i="37"/>
  <c r="P75" i="37"/>
  <c r="I75" i="37"/>
  <c r="B75" i="37"/>
  <c r="AL70" i="37"/>
  <c r="AK70" i="37"/>
  <c r="AE70" i="37"/>
  <c r="AD70" i="37"/>
  <c r="X70" i="37"/>
  <c r="W70" i="37"/>
  <c r="Q70" i="37"/>
  <c r="P70" i="37"/>
  <c r="J70" i="37"/>
  <c r="J85" i="37" s="1"/>
  <c r="I70" i="37"/>
  <c r="C70" i="37"/>
  <c r="B70" i="37"/>
  <c r="AK69" i="37"/>
  <c r="AD69" i="37"/>
  <c r="W69" i="37"/>
  <c r="P69" i="37"/>
  <c r="I69" i="37"/>
  <c r="B69" i="37"/>
  <c r="AL65" i="37"/>
  <c r="AK65" i="37"/>
  <c r="AE65" i="37"/>
  <c r="AD65" i="37"/>
  <c r="X65" i="37"/>
  <c r="X86" i="37" s="1"/>
  <c r="W65" i="37"/>
  <c r="X84" i="37" s="1"/>
  <c r="Q65" i="37"/>
  <c r="Q86" i="37" s="1"/>
  <c r="P65" i="37"/>
  <c r="J65" i="37"/>
  <c r="I65" i="37"/>
  <c r="C65" i="37"/>
  <c r="B65" i="37"/>
  <c r="AK64" i="37"/>
  <c r="AD64" i="37"/>
  <c r="W64" i="37"/>
  <c r="P64" i="37"/>
  <c r="I64" i="37"/>
  <c r="B64" i="37"/>
  <c r="AL59" i="37"/>
  <c r="AK59" i="37"/>
  <c r="AE59" i="37"/>
  <c r="AE87" i="37" s="1"/>
  <c r="AD59" i="37"/>
  <c r="AE86" i="37" s="1"/>
  <c r="X59" i="37"/>
  <c r="X87" i="37" s="1"/>
  <c r="W59" i="37"/>
  <c r="Q59" i="37"/>
  <c r="Q87" i="37" s="1"/>
  <c r="P59" i="37"/>
  <c r="J59" i="37"/>
  <c r="I59" i="37"/>
  <c r="C59" i="37"/>
  <c r="C87" i="37" s="1"/>
  <c r="B59" i="37"/>
  <c r="C86" i="37" s="1"/>
  <c r="AK58" i="37"/>
  <c r="AD58" i="37"/>
  <c r="W58" i="37"/>
  <c r="P58" i="37"/>
  <c r="I58" i="37"/>
  <c r="B58" i="37"/>
  <c r="AL54" i="37"/>
  <c r="AL85" i="37" s="1"/>
  <c r="AK54" i="37"/>
  <c r="AL84" i="37" s="1"/>
  <c r="AE54" i="37"/>
  <c r="AE85" i="37" s="1"/>
  <c r="AD54" i="37"/>
  <c r="AE84" i="37" s="1"/>
  <c r="X54" i="37"/>
  <c r="W54" i="37"/>
  <c r="Q54" i="37"/>
  <c r="Q85" i="37" s="1"/>
  <c r="P54" i="37"/>
  <c r="J54" i="37"/>
  <c r="I54" i="37"/>
  <c r="C54" i="37"/>
  <c r="C85" i="37" s="1"/>
  <c r="B54" i="37"/>
  <c r="C84" i="37" s="1"/>
  <c r="AK53" i="37"/>
  <c r="AD53" i="37"/>
  <c r="W53" i="37"/>
  <c r="P53" i="37"/>
  <c r="I53" i="37"/>
  <c r="B53" i="37"/>
  <c r="AN40" i="37"/>
  <c r="AM40" i="37"/>
  <c r="AO40" i="37" s="1"/>
  <c r="AG40" i="37"/>
  <c r="AF40" i="37"/>
  <c r="AH40" i="37" s="1"/>
  <c r="Z40" i="37"/>
  <c r="Y40" i="37"/>
  <c r="AA40" i="37" s="1"/>
  <c r="S40" i="37"/>
  <c r="R40" i="37"/>
  <c r="T40" i="37" s="1"/>
  <c r="L40" i="37"/>
  <c r="K40" i="37"/>
  <c r="M40" i="37" s="1"/>
  <c r="E40" i="37"/>
  <c r="D40" i="37"/>
  <c r="F40" i="37" s="1"/>
  <c r="AN39" i="37"/>
  <c r="AM39" i="37"/>
  <c r="AO39" i="37" s="1"/>
  <c r="AG39" i="37"/>
  <c r="AF39" i="37"/>
  <c r="AH39" i="37" s="1"/>
  <c r="Z39" i="37"/>
  <c r="Y39" i="37"/>
  <c r="AA39" i="37" s="1"/>
  <c r="S39" i="37"/>
  <c r="R39" i="37"/>
  <c r="T39" i="37" s="1"/>
  <c r="L39" i="37"/>
  <c r="K39" i="37"/>
  <c r="M39" i="37" s="1"/>
  <c r="E39" i="37"/>
  <c r="D39" i="37"/>
  <c r="F39" i="37" s="1"/>
  <c r="AN38" i="37"/>
  <c r="AM38" i="37"/>
  <c r="AO38" i="37" s="1"/>
  <c r="AG38" i="37"/>
  <c r="AF38" i="37"/>
  <c r="AH38" i="37" s="1"/>
  <c r="Z38" i="37"/>
  <c r="Y38" i="37"/>
  <c r="AA38" i="37" s="1"/>
  <c r="S38" i="37"/>
  <c r="R38" i="37"/>
  <c r="T38" i="37" s="1"/>
  <c r="L38" i="37"/>
  <c r="K38" i="37"/>
  <c r="M38" i="37" s="1"/>
  <c r="E38" i="37"/>
  <c r="D38" i="37"/>
  <c r="F38" i="37" s="1"/>
  <c r="C38" i="37"/>
  <c r="AN37" i="37"/>
  <c r="AM37" i="37"/>
  <c r="AO37" i="37" s="1"/>
  <c r="AG37" i="37"/>
  <c r="AF37" i="37"/>
  <c r="AH37" i="37" s="1"/>
  <c r="Z37" i="37"/>
  <c r="Z43" i="37" s="1" a="1"/>
  <c r="Y37" i="37"/>
  <c r="AA37" i="37" s="1"/>
  <c r="S37" i="37"/>
  <c r="R37" i="37"/>
  <c r="T37" i="37" s="1"/>
  <c r="L37" i="37"/>
  <c r="K37" i="37"/>
  <c r="E37" i="37"/>
  <c r="D37" i="37"/>
  <c r="F37" i="37" s="1"/>
  <c r="AL34" i="37"/>
  <c r="AK34" i="37"/>
  <c r="AE34" i="37"/>
  <c r="AD34" i="37"/>
  <c r="X34" i="37"/>
  <c r="W34" i="37"/>
  <c r="Q34" i="37"/>
  <c r="P34" i="37"/>
  <c r="J34" i="37"/>
  <c r="I34" i="37"/>
  <c r="C34" i="37"/>
  <c r="B34" i="37"/>
  <c r="AK33" i="37"/>
  <c r="AD33" i="37"/>
  <c r="W33" i="37"/>
  <c r="P33" i="37"/>
  <c r="I33" i="37"/>
  <c r="B33" i="37"/>
  <c r="AL29" i="37"/>
  <c r="AK29" i="37"/>
  <c r="AE29" i="37"/>
  <c r="AD29" i="37"/>
  <c r="X29" i="37"/>
  <c r="W29" i="37"/>
  <c r="Q29" i="37"/>
  <c r="P29" i="37"/>
  <c r="J29" i="37"/>
  <c r="I29" i="37"/>
  <c r="C29" i="37"/>
  <c r="B29" i="37"/>
  <c r="AK28" i="37"/>
  <c r="AD28" i="37"/>
  <c r="W28" i="37"/>
  <c r="P28" i="37"/>
  <c r="I28" i="37"/>
  <c r="B28" i="37"/>
  <c r="AL23" i="37"/>
  <c r="AK23" i="37"/>
  <c r="AE23" i="37"/>
  <c r="AD23" i="37"/>
  <c r="X23" i="37"/>
  <c r="W23" i="37"/>
  <c r="X37" i="37" s="1"/>
  <c r="Q23" i="37"/>
  <c r="Q39" i="37" s="1"/>
  <c r="P23" i="37"/>
  <c r="J23" i="37"/>
  <c r="I23" i="37"/>
  <c r="C23" i="37"/>
  <c r="B23" i="37"/>
  <c r="AK22" i="37"/>
  <c r="AD22" i="37"/>
  <c r="W22" i="37"/>
  <c r="P22" i="37"/>
  <c r="I22" i="37"/>
  <c r="B22" i="37"/>
  <c r="AL18" i="37"/>
  <c r="AK18" i="37"/>
  <c r="AE18" i="37"/>
  <c r="AE38" i="37" s="1"/>
  <c r="AD18" i="37"/>
  <c r="X18" i="37"/>
  <c r="W18" i="37"/>
  <c r="Q18" i="37"/>
  <c r="P18" i="37"/>
  <c r="J18" i="37"/>
  <c r="I18" i="37"/>
  <c r="C18" i="37"/>
  <c r="B18" i="37"/>
  <c r="AK17" i="37"/>
  <c r="AD17" i="37"/>
  <c r="W17" i="37"/>
  <c r="P17" i="37"/>
  <c r="I17" i="37"/>
  <c r="B17" i="37"/>
  <c r="AL12" i="37"/>
  <c r="AL40" i="37" s="1"/>
  <c r="AK12" i="37"/>
  <c r="AL39" i="37" s="1"/>
  <c r="AE12" i="37"/>
  <c r="AE40" i="37" s="1"/>
  <c r="AD12" i="37"/>
  <c r="AE39" i="37" s="1"/>
  <c r="X12" i="37"/>
  <c r="X40" i="37" s="1"/>
  <c r="W12" i="37"/>
  <c r="X39" i="37" s="1"/>
  <c r="Q12" i="37"/>
  <c r="Q40" i="37" s="1"/>
  <c r="P12" i="37"/>
  <c r="J12" i="37"/>
  <c r="J40" i="37" s="1"/>
  <c r="I12" i="37"/>
  <c r="J39" i="37" s="1"/>
  <c r="C12" i="37"/>
  <c r="C40" i="37" s="1"/>
  <c r="B12" i="37"/>
  <c r="C39" i="37" s="1"/>
  <c r="AK11" i="37"/>
  <c r="AD11" i="37"/>
  <c r="W11" i="37"/>
  <c r="P11" i="37"/>
  <c r="I11" i="37"/>
  <c r="B11" i="37"/>
  <c r="AL7" i="37"/>
  <c r="AL38" i="37" s="1"/>
  <c r="AK7" i="37"/>
  <c r="AL37" i="37" s="1"/>
  <c r="AE7" i="37"/>
  <c r="AD7" i="37"/>
  <c r="AE37" i="37" s="1"/>
  <c r="X7" i="37"/>
  <c r="X38" i="37" s="1"/>
  <c r="W7" i="37"/>
  <c r="Q7" i="37"/>
  <c r="Q38" i="37" s="1"/>
  <c r="P7" i="37"/>
  <c r="Q37" i="37" s="1"/>
  <c r="J7" i="37"/>
  <c r="J38" i="37" s="1"/>
  <c r="I7" i="37"/>
  <c r="J37" i="37" s="1"/>
  <c r="C7" i="37"/>
  <c r="B7" i="37"/>
  <c r="C37" i="37" s="1"/>
  <c r="AK6" i="37"/>
  <c r="AD6" i="37"/>
  <c r="W6" i="37"/>
  <c r="P6" i="37"/>
  <c r="I6" i="37"/>
  <c r="B6" i="37"/>
  <c r="AH93" i="37" l="1"/>
  <c r="AH92" i="37"/>
  <c r="X102" i="37" s="1"/>
  <c r="AH91" i="37"/>
  <c r="AH90" i="37"/>
  <c r="B43" i="37" a="1"/>
  <c r="E43" i="37" a="1"/>
  <c r="D43" i="37" a="1"/>
  <c r="AN43" i="37" a="1"/>
  <c r="AO43" i="37" a="1"/>
  <c r="E90" i="37" a="1"/>
  <c r="AO90" i="37" a="1"/>
  <c r="AD90" i="37" a="1"/>
  <c r="AE90" i="37" a="1"/>
  <c r="AG90" i="37" a="1"/>
  <c r="F90" i="37" a="1"/>
  <c r="AH43" i="37" a="1"/>
  <c r="P43" i="37" a="1"/>
  <c r="R43" i="37" a="1"/>
  <c r="Q43" i="37" a="1"/>
  <c r="F43" i="37" a="1"/>
  <c r="C43" i="37" a="1"/>
  <c r="AL90" i="37" a="1"/>
  <c r="AN90" i="37" a="1"/>
  <c r="AK90" i="37" a="1"/>
  <c r="AM90" i="37" a="1"/>
  <c r="X90" i="37" a="1"/>
  <c r="W90" i="37" a="1"/>
  <c r="Z90" i="37" a="1"/>
  <c r="Y90" i="37" a="1"/>
  <c r="K90" i="37" a="1"/>
  <c r="M90" i="37" a="1"/>
  <c r="Z46" i="37"/>
  <c r="Z45" i="37"/>
  <c r="W107" i="37" s="1"/>
  <c r="Z44" i="37"/>
  <c r="Z43" i="37"/>
  <c r="B90" i="37" a="1"/>
  <c r="C90" i="37" a="1"/>
  <c r="D90" i="37" a="1"/>
  <c r="J90" i="37" a="1"/>
  <c r="AD43" i="37" a="1"/>
  <c r="AF43" i="37" a="1"/>
  <c r="AE43" i="37" a="1"/>
  <c r="K43" i="37" a="1"/>
  <c r="T90" i="37" a="1"/>
  <c r="AF93" i="37"/>
  <c r="AF92" i="37"/>
  <c r="V102" i="37" s="1"/>
  <c r="AF91" i="37"/>
  <c r="AF90" i="37"/>
  <c r="T43" i="37" a="1"/>
  <c r="P90" i="37" a="1"/>
  <c r="R90" i="37" a="1"/>
  <c r="Q90" i="37" a="1"/>
  <c r="S90" i="37" a="1"/>
  <c r="AA90" i="37" a="1"/>
  <c r="AG43" i="37" a="1"/>
  <c r="L43" i="37" a="1"/>
  <c r="AL43" i="37" a="1"/>
  <c r="AM43" i="37" a="1"/>
  <c r="AK43" i="37" a="1"/>
  <c r="S43" i="37" a="1"/>
  <c r="Y43" i="37" a="1"/>
  <c r="X43" i="37" a="1"/>
  <c r="W43" i="37" a="1"/>
  <c r="AA43" i="37" a="1"/>
  <c r="L90" i="37" a="1"/>
  <c r="I90" i="37" a="1"/>
  <c r="M37" i="37"/>
  <c r="M43" i="37" s="1" a="1"/>
  <c r="Y44" i="37" l="1"/>
  <c r="Y46" i="37"/>
  <c r="Y45" i="37"/>
  <c r="V107" i="37" s="1"/>
  <c r="Y43" i="37"/>
  <c r="Y93" i="37"/>
  <c r="Y92" i="37"/>
  <c r="V101" i="37" s="1"/>
  <c r="Y91" i="37"/>
  <c r="Y90" i="37"/>
  <c r="AE92" i="37"/>
  <c r="U102" i="37" s="1"/>
  <c r="AE93" i="37"/>
  <c r="AE91" i="37"/>
  <c r="AE90" i="37"/>
  <c r="T93" i="37"/>
  <c r="T92" i="37"/>
  <c r="X100" i="37" s="1"/>
  <c r="T91" i="37"/>
  <c r="T90" i="37"/>
  <c r="Z91" i="37"/>
  <c r="Z93" i="37"/>
  <c r="Z92" i="37"/>
  <c r="W101" i="37" s="1"/>
  <c r="Z90" i="37"/>
  <c r="AD90" i="37"/>
  <c r="AD93" i="37"/>
  <c r="AD92" i="37"/>
  <c r="R102" i="37" s="1"/>
  <c r="AD91" i="37"/>
  <c r="AL44" i="37"/>
  <c r="AL43" i="37"/>
  <c r="AL46" i="37"/>
  <c r="AL45" i="37"/>
  <c r="U109" i="37" s="1"/>
  <c r="AF46" i="37"/>
  <c r="AF45" i="37"/>
  <c r="V108" i="37" s="1"/>
  <c r="AF44" i="37"/>
  <c r="AF43" i="37"/>
  <c r="AM93" i="37"/>
  <c r="AM92" i="37"/>
  <c r="V103" i="37" s="1"/>
  <c r="AM91" i="37"/>
  <c r="AM90" i="37"/>
  <c r="AO45" i="37"/>
  <c r="X109" i="37" s="1"/>
  <c r="AO44" i="37"/>
  <c r="AO43" i="37"/>
  <c r="AO46" i="37"/>
  <c r="K43" i="37"/>
  <c r="K44" i="37"/>
  <c r="K45" i="37"/>
  <c r="V105" i="37" s="1"/>
  <c r="K46" i="37"/>
  <c r="L46" i="37"/>
  <c r="L45" i="37"/>
  <c r="W105" i="37" s="1"/>
  <c r="L44" i="37"/>
  <c r="L43" i="37"/>
  <c r="AD45" i="37"/>
  <c r="R108" i="37" s="1"/>
  <c r="AD43" i="37"/>
  <c r="AD44" i="37"/>
  <c r="AD46" i="37"/>
  <c r="AK93" i="37"/>
  <c r="AK92" i="37"/>
  <c r="R103" i="37" s="1"/>
  <c r="AK91" i="37"/>
  <c r="AK90" i="37"/>
  <c r="AN46" i="37"/>
  <c r="AN45" i="37"/>
  <c r="W109" i="37" s="1"/>
  <c r="AN44" i="37"/>
  <c r="AN43" i="37"/>
  <c r="AM46" i="37"/>
  <c r="AM45" i="37"/>
  <c r="V109" i="37" s="1"/>
  <c r="AM44" i="37"/>
  <c r="AM43" i="37"/>
  <c r="AN93" i="37"/>
  <c r="AN92" i="37"/>
  <c r="W103" i="37" s="1"/>
  <c r="AN91" i="37"/>
  <c r="AN90" i="37"/>
  <c r="I43" i="37" a="1"/>
  <c r="J43" i="37" a="1"/>
  <c r="K90" i="37"/>
  <c r="K91" i="37"/>
  <c r="K93" i="37"/>
  <c r="K92" i="37"/>
  <c r="V99" i="37" s="1"/>
  <c r="E92" i="37"/>
  <c r="W98" i="37" s="1"/>
  <c r="E91" i="37"/>
  <c r="E90" i="37"/>
  <c r="E93" i="37"/>
  <c r="S90" i="37"/>
  <c r="S93" i="37"/>
  <c r="S92" i="37"/>
  <c r="W100" i="37" s="1"/>
  <c r="S91" i="37"/>
  <c r="C93" i="37"/>
  <c r="C92" i="37"/>
  <c r="U98" i="37" s="1"/>
  <c r="C91" i="37"/>
  <c r="C90" i="37"/>
  <c r="C44" i="37"/>
  <c r="C43" i="37"/>
  <c r="C46" i="37"/>
  <c r="C45" i="37"/>
  <c r="U104" i="37" s="1"/>
  <c r="D46" i="37"/>
  <c r="D45" i="37"/>
  <c r="V104" i="37" s="1"/>
  <c r="D44" i="37"/>
  <c r="D43" i="37"/>
  <c r="AK43" i="37"/>
  <c r="AK46" i="37"/>
  <c r="AK45" i="37"/>
  <c r="R109" i="37" s="1"/>
  <c r="AK44" i="37"/>
  <c r="J93" i="37"/>
  <c r="J92" i="37"/>
  <c r="U99" i="37" s="1"/>
  <c r="J91" i="37"/>
  <c r="J90" i="37"/>
  <c r="B91" i="37"/>
  <c r="B90" i="37"/>
  <c r="B92" i="37"/>
  <c r="R98" i="37" s="1"/>
  <c r="B93" i="37"/>
  <c r="F44" i="37"/>
  <c r="F45" i="37"/>
  <c r="X104" i="37" s="1"/>
  <c r="F43" i="37"/>
  <c r="F46" i="37"/>
  <c r="E46" i="37"/>
  <c r="E45" i="37"/>
  <c r="W104" i="37" s="1"/>
  <c r="E44" i="37"/>
  <c r="E43" i="37"/>
  <c r="AG90" i="37"/>
  <c r="AG93" i="37"/>
  <c r="AG91" i="37"/>
  <c r="AG92" i="37"/>
  <c r="W102" i="37" s="1"/>
  <c r="AG43" i="37"/>
  <c r="AG46" i="37"/>
  <c r="AG45" i="37"/>
  <c r="W108" i="37" s="1"/>
  <c r="AG44" i="37"/>
  <c r="B46" i="37"/>
  <c r="B45" i="37"/>
  <c r="R104" i="37" s="1"/>
  <c r="B44" i="37"/>
  <c r="B43" i="37"/>
  <c r="W90" i="37"/>
  <c r="W93" i="37"/>
  <c r="W92" i="37"/>
  <c r="R101" i="37" s="1"/>
  <c r="W91" i="37"/>
  <c r="AL90" i="37"/>
  <c r="AL91" i="37"/>
  <c r="AL93" i="37"/>
  <c r="AL92" i="37"/>
  <c r="U103" i="37" s="1"/>
  <c r="M46" i="37"/>
  <c r="M45" i="37"/>
  <c r="X105" i="37" s="1"/>
  <c r="M44" i="37"/>
  <c r="M43" i="37"/>
  <c r="I92" i="37"/>
  <c r="R99" i="37" s="1"/>
  <c r="I93" i="37"/>
  <c r="I91" i="37"/>
  <c r="I90" i="37"/>
  <c r="P90" i="37"/>
  <c r="P92" i="37"/>
  <c r="R100" i="37" s="1"/>
  <c r="P93" i="37"/>
  <c r="P91" i="37"/>
  <c r="R44" i="37"/>
  <c r="R46" i="37"/>
  <c r="R45" i="37"/>
  <c r="V106" i="37" s="1"/>
  <c r="R43" i="37"/>
  <c r="S45" i="37"/>
  <c r="W106" i="37" s="1"/>
  <c r="S44" i="37"/>
  <c r="S43" i="37"/>
  <c r="S46" i="37"/>
  <c r="X91" i="37"/>
  <c r="X90" i="37"/>
  <c r="X93" i="37"/>
  <c r="X92" i="37"/>
  <c r="U101" i="37" s="1"/>
  <c r="Q93" i="37"/>
  <c r="Q92" i="37"/>
  <c r="U100" i="37" s="1"/>
  <c r="Q91" i="37"/>
  <c r="Q90" i="37"/>
  <c r="L93" i="37"/>
  <c r="L92" i="37"/>
  <c r="W99" i="37" s="1"/>
  <c r="L91" i="37"/>
  <c r="L90" i="37"/>
  <c r="T43" i="37"/>
  <c r="T46" i="37"/>
  <c r="T45" i="37"/>
  <c r="X106" i="37" s="1"/>
  <c r="T44" i="37"/>
  <c r="P44" i="37"/>
  <c r="P46" i="37"/>
  <c r="P43" i="37"/>
  <c r="P45" i="37"/>
  <c r="R106" i="37" s="1"/>
  <c r="X46" i="37"/>
  <c r="X45" i="37"/>
  <c r="U107" i="37" s="1"/>
  <c r="X44" i="37"/>
  <c r="X43" i="37"/>
  <c r="AE46" i="37"/>
  <c r="AE45" i="37"/>
  <c r="U108" i="37" s="1"/>
  <c r="AE44" i="37"/>
  <c r="AE43" i="37"/>
  <c r="AA92" i="37"/>
  <c r="X101" i="37" s="1"/>
  <c r="AA91" i="37"/>
  <c r="AA90" i="37"/>
  <c r="AA93" i="37"/>
  <c r="Q46" i="37"/>
  <c r="Q45" i="37"/>
  <c r="U106" i="37" s="1"/>
  <c r="Q44" i="37"/>
  <c r="Q43" i="37"/>
  <c r="AA46" i="37"/>
  <c r="AA45" i="37"/>
  <c r="X107" i="37" s="1"/>
  <c r="AA44" i="37"/>
  <c r="AA43" i="37"/>
  <c r="AH46" i="37"/>
  <c r="AH45" i="37"/>
  <c r="X108" i="37" s="1"/>
  <c r="AH44" i="37"/>
  <c r="AH43" i="37"/>
  <c r="AO90" i="37"/>
  <c r="AO92" i="37"/>
  <c r="X103" i="37" s="1"/>
  <c r="AO91" i="37"/>
  <c r="AO93" i="37"/>
  <c r="D91" i="37"/>
  <c r="D93" i="37"/>
  <c r="D92" i="37"/>
  <c r="V98" i="37" s="1"/>
  <c r="D90" i="37"/>
  <c r="R93" i="37"/>
  <c r="R92" i="37"/>
  <c r="V100" i="37" s="1"/>
  <c r="R91" i="37"/>
  <c r="R90" i="37"/>
  <c r="W45" i="37"/>
  <c r="R107" i="37" s="1"/>
  <c r="W46" i="37"/>
  <c r="W44" i="37"/>
  <c r="W43" i="37"/>
  <c r="M93" i="37"/>
  <c r="M92" i="37"/>
  <c r="X99" i="37" s="1"/>
  <c r="M91" i="37"/>
  <c r="M90" i="37"/>
  <c r="F90" i="37"/>
  <c r="F93" i="37"/>
  <c r="F92" i="37"/>
  <c r="X98" i="37" s="1"/>
  <c r="F91" i="37"/>
  <c r="J46" i="37" l="1"/>
  <c r="J45" i="37"/>
  <c r="U105" i="37" s="1"/>
  <c r="W112" i="37" s="1" a="1"/>
  <c r="J44" i="37"/>
  <c r="J43" i="37"/>
  <c r="U112" i="37" a="1"/>
  <c r="I46" i="37"/>
  <c r="I45" i="37"/>
  <c r="R105" i="37" s="1"/>
  <c r="I44" i="37"/>
  <c r="I43" i="37"/>
  <c r="W120" i="37" l="1"/>
  <c r="W119" i="37"/>
  <c r="W114" i="37"/>
  <c r="W123" i="37"/>
  <c r="W118" i="37"/>
  <c r="W117" i="37"/>
  <c r="W121" i="37"/>
  <c r="W116" i="37"/>
  <c r="W115" i="37"/>
  <c r="W113" i="37"/>
  <c r="W112" i="37"/>
  <c r="W122" i="37"/>
  <c r="U114" i="37"/>
  <c r="U113" i="37"/>
  <c r="U112" i="37"/>
  <c r="U117" i="37"/>
  <c r="U123" i="37"/>
  <c r="U122" i="37"/>
  <c r="U116" i="37"/>
  <c r="U121" i="37"/>
  <c r="U120" i="37"/>
  <c r="U119" i="37"/>
  <c r="U118" i="37"/>
  <c r="U115" i="37"/>
  <c r="R112" i="37" a="1"/>
  <c r="V112" i="37" a="1"/>
  <c r="X112" i="37" a="1"/>
  <c r="X123" i="37" l="1"/>
  <c r="X122" i="37"/>
  <c r="X121" i="37"/>
  <c r="X120" i="37"/>
  <c r="X119" i="37"/>
  <c r="X117" i="37"/>
  <c r="X118" i="37"/>
  <c r="X116" i="37"/>
  <c r="X115" i="37"/>
  <c r="X114" i="37"/>
  <c r="X113" i="37"/>
  <c r="X112" i="37"/>
  <c r="V117" i="37"/>
  <c r="V116" i="37"/>
  <c r="V115" i="37"/>
  <c r="V114" i="37"/>
  <c r="V113" i="37"/>
  <c r="V119" i="37"/>
  <c r="V112" i="37"/>
  <c r="V120" i="37"/>
  <c r="V118" i="37"/>
  <c r="V123" i="37"/>
  <c r="V122" i="37"/>
  <c r="V121" i="37"/>
  <c r="R114" i="37"/>
  <c r="R113" i="37"/>
  <c r="R121" i="37"/>
  <c r="R123" i="37"/>
  <c r="R112" i="37"/>
  <c r="R122" i="37"/>
  <c r="R120" i="37"/>
  <c r="R119" i="37"/>
  <c r="R118" i="37"/>
  <c r="R117" i="37"/>
  <c r="R116" i="37"/>
  <c r="R115" i="37"/>
  <c r="AO87" i="36"/>
  <c r="AN87" i="36"/>
  <c r="AM87" i="36"/>
  <c r="AG87" i="36"/>
  <c r="AF87" i="36"/>
  <c r="AH87" i="36" s="1"/>
  <c r="Z87" i="36"/>
  <c r="Y87" i="36"/>
  <c r="AA87" i="36" s="1"/>
  <c r="T87" i="36"/>
  <c r="S87" i="36"/>
  <c r="R87" i="36"/>
  <c r="M87" i="36"/>
  <c r="L87" i="36"/>
  <c r="K87" i="36"/>
  <c r="E87" i="36"/>
  <c r="D87" i="36"/>
  <c r="F87" i="36" s="1"/>
  <c r="AN86" i="36"/>
  <c r="AM86" i="36"/>
  <c r="AO86" i="36" s="1"/>
  <c r="AL86" i="36"/>
  <c r="AH86" i="36"/>
  <c r="AG86" i="36"/>
  <c r="AF86" i="36"/>
  <c r="AA86" i="36"/>
  <c r="Z86" i="36"/>
  <c r="Y86" i="36"/>
  <c r="S86" i="36"/>
  <c r="R86" i="36"/>
  <c r="T86" i="36" s="1"/>
  <c r="L86" i="36"/>
  <c r="K86" i="36"/>
  <c r="M86" i="36" s="1"/>
  <c r="J86" i="36"/>
  <c r="F86" i="36"/>
  <c r="E86" i="36"/>
  <c r="D86" i="36"/>
  <c r="AO85" i="36"/>
  <c r="AN85" i="36"/>
  <c r="AM85" i="36"/>
  <c r="AG85" i="36"/>
  <c r="AF85" i="36"/>
  <c r="AH85" i="36" s="1"/>
  <c r="Z85" i="36"/>
  <c r="Y85" i="36"/>
  <c r="AA85" i="36" s="1"/>
  <c r="X85" i="36"/>
  <c r="T85" i="36"/>
  <c r="S85" i="36"/>
  <c r="R85" i="36"/>
  <c r="M85" i="36"/>
  <c r="L85" i="36"/>
  <c r="K85" i="36"/>
  <c r="E85" i="36"/>
  <c r="D85" i="36"/>
  <c r="F85" i="36" s="1"/>
  <c r="AN84" i="36"/>
  <c r="AM84" i="36"/>
  <c r="AO84" i="36" s="1"/>
  <c r="AH84" i="36"/>
  <c r="AG84" i="36"/>
  <c r="AF84" i="36"/>
  <c r="AA84" i="36"/>
  <c r="Z84" i="36"/>
  <c r="Y84" i="36"/>
  <c r="S84" i="36"/>
  <c r="R84" i="36"/>
  <c r="L84" i="36"/>
  <c r="K84" i="36"/>
  <c r="M84" i="36" s="1"/>
  <c r="M90" i="36" s="1" a="1"/>
  <c r="J84" i="36"/>
  <c r="J90" i="36" s="1" a="1"/>
  <c r="F84" i="36"/>
  <c r="E84" i="36"/>
  <c r="E90" i="36" s="1" a="1"/>
  <c r="D84" i="36"/>
  <c r="D90" i="36" s="1" a="1"/>
  <c r="AL81" i="36"/>
  <c r="AK81" i="36"/>
  <c r="AE81" i="36"/>
  <c r="AD81" i="36"/>
  <c r="X81" i="36"/>
  <c r="W81" i="36"/>
  <c r="Q81" i="36"/>
  <c r="P81" i="36"/>
  <c r="J81" i="36"/>
  <c r="I81" i="36"/>
  <c r="C81" i="36"/>
  <c r="B81" i="36"/>
  <c r="AK80" i="36"/>
  <c r="AD80" i="36"/>
  <c r="W80" i="36"/>
  <c r="P80" i="36"/>
  <c r="I80" i="36"/>
  <c r="B80" i="36"/>
  <c r="AL76" i="36"/>
  <c r="AK76" i="36"/>
  <c r="AE76" i="36"/>
  <c r="AD76" i="36"/>
  <c r="X76" i="36"/>
  <c r="W76" i="36"/>
  <c r="Q76" i="36"/>
  <c r="P76" i="36"/>
  <c r="J76" i="36"/>
  <c r="I76" i="36"/>
  <c r="C76" i="36"/>
  <c r="B76" i="36"/>
  <c r="AK75" i="36"/>
  <c r="AD75" i="36"/>
  <c r="W75" i="36"/>
  <c r="P75" i="36"/>
  <c r="I75" i="36"/>
  <c r="B75" i="36"/>
  <c r="AL70" i="36"/>
  <c r="AK70" i="36"/>
  <c r="AE70" i="36"/>
  <c r="AD70" i="36"/>
  <c r="X70" i="36"/>
  <c r="W70" i="36"/>
  <c r="Q70" i="36"/>
  <c r="P70" i="36"/>
  <c r="J70" i="36"/>
  <c r="I70" i="36"/>
  <c r="C70" i="36"/>
  <c r="B70" i="36"/>
  <c r="AK69" i="36"/>
  <c r="AD69" i="36"/>
  <c r="W69" i="36"/>
  <c r="P69" i="36"/>
  <c r="I69" i="36"/>
  <c r="B69" i="36"/>
  <c r="AL65" i="36"/>
  <c r="AK65" i="36"/>
  <c r="AE65" i="36"/>
  <c r="AD65" i="36"/>
  <c r="X65" i="36"/>
  <c r="W65" i="36"/>
  <c r="Q65" i="36"/>
  <c r="P65" i="36"/>
  <c r="J65" i="36"/>
  <c r="I65" i="36"/>
  <c r="C65" i="36"/>
  <c r="B65" i="36"/>
  <c r="AK64" i="36"/>
  <c r="AD64" i="36"/>
  <c r="W64" i="36"/>
  <c r="P64" i="36"/>
  <c r="I64" i="36"/>
  <c r="B64" i="36"/>
  <c r="AL59" i="36"/>
  <c r="AL87" i="36" s="1"/>
  <c r="AK59" i="36"/>
  <c r="AE59" i="36"/>
  <c r="AE87" i="36" s="1"/>
  <c r="AD59" i="36"/>
  <c r="AE86" i="36" s="1"/>
  <c r="X59" i="36"/>
  <c r="X87" i="36" s="1"/>
  <c r="W59" i="36"/>
  <c r="X86" i="36" s="1"/>
  <c r="Q59" i="36"/>
  <c r="Q87" i="36" s="1"/>
  <c r="P59" i="36"/>
  <c r="Q86" i="36" s="1"/>
  <c r="J59" i="36"/>
  <c r="J87" i="36" s="1"/>
  <c r="I59" i="36"/>
  <c r="C59" i="36"/>
  <c r="C87" i="36" s="1"/>
  <c r="B59" i="36"/>
  <c r="C86" i="36" s="1"/>
  <c r="AK58" i="36"/>
  <c r="AD58" i="36"/>
  <c r="W58" i="36"/>
  <c r="P58" i="36"/>
  <c r="I58" i="36"/>
  <c r="B58" i="36"/>
  <c r="AL54" i="36"/>
  <c r="AL85" i="36" s="1"/>
  <c r="AK54" i="36"/>
  <c r="AL84" i="36" s="1"/>
  <c r="AE54" i="36"/>
  <c r="AE85" i="36" s="1"/>
  <c r="AD54" i="36"/>
  <c r="AE84" i="36" s="1"/>
  <c r="X54" i="36"/>
  <c r="W54" i="36"/>
  <c r="X84" i="36" s="1"/>
  <c r="Q54" i="36"/>
  <c r="Q85" i="36" s="1"/>
  <c r="P54" i="36"/>
  <c r="Q84" i="36" s="1"/>
  <c r="J54" i="36"/>
  <c r="J85" i="36" s="1"/>
  <c r="I54" i="36"/>
  <c r="C54" i="36"/>
  <c r="C85" i="36" s="1"/>
  <c r="B54" i="36"/>
  <c r="C84" i="36" s="1"/>
  <c r="AK53" i="36"/>
  <c r="AD53" i="36"/>
  <c r="W53" i="36"/>
  <c r="P53" i="36"/>
  <c r="I53" i="36"/>
  <c r="B53" i="36"/>
  <c r="AN40" i="36"/>
  <c r="AM40" i="36"/>
  <c r="AO40" i="36" s="1"/>
  <c r="AG40" i="36"/>
  <c r="AF40" i="36"/>
  <c r="AH40" i="36" s="1"/>
  <c r="Z40" i="36"/>
  <c r="Y40" i="36"/>
  <c r="AA40" i="36" s="1"/>
  <c r="T40" i="36"/>
  <c r="S40" i="36"/>
  <c r="R40" i="36"/>
  <c r="L40" i="36"/>
  <c r="K40" i="36"/>
  <c r="M40" i="36" s="1"/>
  <c r="E40" i="36"/>
  <c r="D40" i="36"/>
  <c r="F40" i="36" s="1"/>
  <c r="C40" i="36"/>
  <c r="AN39" i="36"/>
  <c r="AM39" i="36"/>
  <c r="AO39" i="36" s="1"/>
  <c r="AH39" i="36"/>
  <c r="AG39" i="36"/>
  <c r="AF39" i="36"/>
  <c r="Z39" i="36"/>
  <c r="Y39" i="36"/>
  <c r="AA39" i="36" s="1"/>
  <c r="S39" i="36"/>
  <c r="R39" i="36"/>
  <c r="T39" i="36" s="1"/>
  <c r="L39" i="36"/>
  <c r="K39" i="36"/>
  <c r="M39" i="36" s="1"/>
  <c r="F39" i="36"/>
  <c r="E39" i="36"/>
  <c r="D39" i="36"/>
  <c r="AN38" i="36"/>
  <c r="AM38" i="36"/>
  <c r="AO38" i="36" s="1"/>
  <c r="AG38" i="36"/>
  <c r="AF38" i="36"/>
  <c r="AH38" i="36" s="1"/>
  <c r="Z38" i="36"/>
  <c r="Y38" i="36"/>
  <c r="AA38" i="36" s="1"/>
  <c r="T38" i="36"/>
  <c r="S38" i="36"/>
  <c r="R38" i="36"/>
  <c r="L38" i="36"/>
  <c r="K38" i="36"/>
  <c r="M38" i="36" s="1"/>
  <c r="E38" i="36"/>
  <c r="D38" i="36"/>
  <c r="F38" i="36" s="1"/>
  <c r="C38" i="36"/>
  <c r="AN37" i="36"/>
  <c r="AM37" i="36"/>
  <c r="AO37" i="36" s="1"/>
  <c r="AH37" i="36"/>
  <c r="AG37" i="36"/>
  <c r="AF37" i="36"/>
  <c r="Z37" i="36"/>
  <c r="Z43" i="36" s="1" a="1"/>
  <c r="Y37" i="36"/>
  <c r="AA37" i="36" s="1"/>
  <c r="AA43" i="36" s="1" a="1"/>
  <c r="S37" i="36"/>
  <c r="R37" i="36"/>
  <c r="T37" i="36" s="1"/>
  <c r="Q37" i="36"/>
  <c r="L37" i="36"/>
  <c r="K37" i="36"/>
  <c r="M37" i="36" s="1"/>
  <c r="F37" i="36"/>
  <c r="E37" i="36"/>
  <c r="D37" i="36"/>
  <c r="AL34" i="36"/>
  <c r="AK34" i="36"/>
  <c r="AE34" i="36"/>
  <c r="AD34" i="36"/>
  <c r="X34" i="36"/>
  <c r="W34" i="36"/>
  <c r="Q34" i="36"/>
  <c r="P34" i="36"/>
  <c r="J34" i="36"/>
  <c r="I34" i="36"/>
  <c r="C34" i="36"/>
  <c r="B34" i="36"/>
  <c r="AK33" i="36"/>
  <c r="AD33" i="36"/>
  <c r="W33" i="36"/>
  <c r="P33" i="36"/>
  <c r="I33" i="36"/>
  <c r="B33" i="36"/>
  <c r="AL29" i="36"/>
  <c r="AK29" i="36"/>
  <c r="AE29" i="36"/>
  <c r="AD29" i="36"/>
  <c r="X29" i="36"/>
  <c r="W29" i="36"/>
  <c r="Q29" i="36"/>
  <c r="P29" i="36"/>
  <c r="J29" i="36"/>
  <c r="I29" i="36"/>
  <c r="C29" i="36"/>
  <c r="B29" i="36"/>
  <c r="AK28" i="36"/>
  <c r="AD28" i="36"/>
  <c r="W28" i="36"/>
  <c r="P28" i="36"/>
  <c r="I28" i="36"/>
  <c r="B28" i="36"/>
  <c r="AL23" i="36"/>
  <c r="AK23" i="36"/>
  <c r="AE23" i="36"/>
  <c r="AE39" i="36" s="1"/>
  <c r="AD23" i="36"/>
  <c r="X23" i="36"/>
  <c r="W23" i="36"/>
  <c r="Q23" i="36"/>
  <c r="Q39" i="36" s="1"/>
  <c r="P23" i="36"/>
  <c r="J23" i="36"/>
  <c r="I23" i="36"/>
  <c r="C23" i="36"/>
  <c r="B23" i="36"/>
  <c r="AK22" i="36"/>
  <c r="AD22" i="36"/>
  <c r="W22" i="36"/>
  <c r="P22" i="36"/>
  <c r="I22" i="36"/>
  <c r="B22" i="36"/>
  <c r="AL18" i="36"/>
  <c r="AK18" i="36"/>
  <c r="AE18" i="36"/>
  <c r="AD18" i="36"/>
  <c r="X18" i="36"/>
  <c r="W18" i="36"/>
  <c r="Q18" i="36"/>
  <c r="P18" i="36"/>
  <c r="J18" i="36"/>
  <c r="I18" i="36"/>
  <c r="C18" i="36"/>
  <c r="B18" i="36"/>
  <c r="AK17" i="36"/>
  <c r="AD17" i="36"/>
  <c r="W17" i="36"/>
  <c r="P17" i="36"/>
  <c r="I17" i="36"/>
  <c r="B17" i="36"/>
  <c r="AL12" i="36"/>
  <c r="AL40" i="36" s="1"/>
  <c r="AK12" i="36"/>
  <c r="AL39" i="36" s="1"/>
  <c r="AE12" i="36"/>
  <c r="AE40" i="36" s="1"/>
  <c r="AD12" i="36"/>
  <c r="X12" i="36"/>
  <c r="X40" i="36" s="1"/>
  <c r="W12" i="36"/>
  <c r="X39" i="36" s="1"/>
  <c r="Q12" i="36"/>
  <c r="Q40" i="36" s="1"/>
  <c r="P12" i="36"/>
  <c r="J12" i="36"/>
  <c r="J40" i="36" s="1"/>
  <c r="I12" i="36"/>
  <c r="J39" i="36" s="1"/>
  <c r="C12" i="36"/>
  <c r="B12" i="36"/>
  <c r="C39" i="36" s="1"/>
  <c r="AK11" i="36"/>
  <c r="AD11" i="36"/>
  <c r="W11" i="36"/>
  <c r="P11" i="36"/>
  <c r="I11" i="36"/>
  <c r="B11" i="36"/>
  <c r="AL7" i="36"/>
  <c r="AL38" i="36" s="1"/>
  <c r="AK7" i="36"/>
  <c r="AL37" i="36" s="1"/>
  <c r="AE7" i="36"/>
  <c r="AE38" i="36" s="1"/>
  <c r="AD7" i="36"/>
  <c r="AE37" i="36" s="1"/>
  <c r="X7" i="36"/>
  <c r="X38" i="36" s="1"/>
  <c r="W7" i="36"/>
  <c r="X37" i="36" s="1"/>
  <c r="Q7" i="36"/>
  <c r="Q38" i="36" s="1"/>
  <c r="P7" i="36"/>
  <c r="J7" i="36"/>
  <c r="J38" i="36" s="1"/>
  <c r="I7" i="36"/>
  <c r="J37" i="36" s="1"/>
  <c r="C7" i="36"/>
  <c r="B7" i="36"/>
  <c r="C37" i="36" s="1"/>
  <c r="AK6" i="36"/>
  <c r="AD6" i="36"/>
  <c r="W6" i="36"/>
  <c r="P6" i="36"/>
  <c r="I6" i="36"/>
  <c r="B6" i="36"/>
  <c r="D265" i="35"/>
  <c r="D264" i="35"/>
  <c r="D263" i="35"/>
  <c r="D262" i="35"/>
  <c r="D261" i="35"/>
  <c r="D260" i="35"/>
  <c r="D259" i="35"/>
  <c r="D258" i="35"/>
  <c r="D257" i="35"/>
  <c r="D256" i="35"/>
  <c r="D255" i="35"/>
  <c r="D254" i="35"/>
  <c r="D253" i="35"/>
  <c r="D252" i="35"/>
  <c r="D251" i="35"/>
  <c r="D250" i="35"/>
  <c r="D249" i="35"/>
  <c r="D248" i="35"/>
  <c r="D247" i="35"/>
  <c r="D246" i="35"/>
  <c r="D245" i="35"/>
  <c r="D244" i="35"/>
  <c r="D243" i="35"/>
  <c r="D242" i="35"/>
  <c r="D241" i="35"/>
  <c r="D240" i="35"/>
  <c r="D239" i="35"/>
  <c r="D238" i="35"/>
  <c r="D237" i="35"/>
  <c r="D236" i="35"/>
  <c r="D235" i="35"/>
  <c r="D234" i="35"/>
  <c r="H231" i="35"/>
  <c r="G231" i="35"/>
  <c r="F231" i="35"/>
  <c r="E231" i="35"/>
  <c r="H230" i="35"/>
  <c r="G230" i="35"/>
  <c r="F230" i="35"/>
  <c r="E230" i="35"/>
  <c r="H229" i="35"/>
  <c r="G229" i="35"/>
  <c r="F229" i="35"/>
  <c r="E229" i="35"/>
  <c r="H228" i="35"/>
  <c r="G228" i="35"/>
  <c r="F228" i="35"/>
  <c r="E228" i="35"/>
  <c r="H227" i="35"/>
  <c r="G227" i="35"/>
  <c r="F227" i="35"/>
  <c r="E227" i="35"/>
  <c r="H226" i="35"/>
  <c r="G226" i="35"/>
  <c r="F226" i="35"/>
  <c r="E226" i="35"/>
  <c r="H225" i="35"/>
  <c r="G225" i="35"/>
  <c r="F225" i="35"/>
  <c r="E225" i="35"/>
  <c r="H224" i="35"/>
  <c r="G224" i="35"/>
  <c r="F224" i="35"/>
  <c r="E224" i="35"/>
  <c r="H223" i="35"/>
  <c r="G223" i="35"/>
  <c r="F223" i="35"/>
  <c r="E223" i="35"/>
  <c r="H222" i="35"/>
  <c r="G222" i="35"/>
  <c r="F222" i="35"/>
  <c r="E222" i="35"/>
  <c r="H221" i="35"/>
  <c r="G221" i="35"/>
  <c r="F221" i="35"/>
  <c r="E221" i="35"/>
  <c r="H220" i="35"/>
  <c r="G220" i="35"/>
  <c r="F220" i="35"/>
  <c r="E220" i="35"/>
  <c r="H219" i="35"/>
  <c r="G219" i="35"/>
  <c r="F219" i="35"/>
  <c r="E219" i="35"/>
  <c r="H218" i="35"/>
  <c r="G218" i="35"/>
  <c r="F218" i="35"/>
  <c r="E218" i="35"/>
  <c r="H217" i="35"/>
  <c r="G217" i="35"/>
  <c r="F217" i="35"/>
  <c r="E217" i="35"/>
  <c r="H216" i="35"/>
  <c r="G216" i="35"/>
  <c r="F216" i="35"/>
  <c r="E216" i="35"/>
  <c r="H215" i="35"/>
  <c r="G215" i="35"/>
  <c r="F215" i="35"/>
  <c r="E215" i="35"/>
  <c r="H214" i="35"/>
  <c r="G214" i="35"/>
  <c r="F214" i="35"/>
  <c r="E214" i="35"/>
  <c r="H213" i="35"/>
  <c r="G213" i="35"/>
  <c r="F213" i="35"/>
  <c r="E213" i="35"/>
  <c r="H212" i="35"/>
  <c r="G212" i="35"/>
  <c r="F212" i="35"/>
  <c r="E212" i="35"/>
  <c r="H211" i="35"/>
  <c r="G211" i="35"/>
  <c r="F211" i="35"/>
  <c r="E211" i="35"/>
  <c r="H210" i="35"/>
  <c r="G210" i="35"/>
  <c r="F210" i="35"/>
  <c r="E210" i="35"/>
  <c r="H209" i="35"/>
  <c r="G209" i="35"/>
  <c r="F209" i="35"/>
  <c r="E209" i="35"/>
  <c r="H208" i="35"/>
  <c r="G208" i="35"/>
  <c r="F208" i="35"/>
  <c r="E208" i="35"/>
  <c r="H207" i="35"/>
  <c r="G207" i="35"/>
  <c r="F207" i="35"/>
  <c r="E207" i="35"/>
  <c r="H206" i="35"/>
  <c r="G206" i="35"/>
  <c r="F206" i="35"/>
  <c r="E206" i="35"/>
  <c r="H205" i="35"/>
  <c r="G205" i="35"/>
  <c r="F205" i="35"/>
  <c r="E205" i="35"/>
  <c r="H204" i="35"/>
  <c r="G204" i="35"/>
  <c r="F204" i="35"/>
  <c r="E204" i="35"/>
  <c r="H203" i="35"/>
  <c r="G203" i="35"/>
  <c r="F203" i="35"/>
  <c r="E203" i="35"/>
  <c r="H202" i="35"/>
  <c r="G202" i="35"/>
  <c r="F202" i="35"/>
  <c r="E202" i="35"/>
  <c r="H201" i="35"/>
  <c r="G201" i="35"/>
  <c r="F201" i="35"/>
  <c r="E201" i="35"/>
  <c r="H200" i="35"/>
  <c r="G200" i="35"/>
  <c r="F200" i="35"/>
  <c r="E200" i="35"/>
  <c r="H199" i="35"/>
  <c r="G199" i="35"/>
  <c r="F199" i="35"/>
  <c r="E199" i="35"/>
  <c r="H198" i="35"/>
  <c r="G198" i="35"/>
  <c r="F198" i="35"/>
  <c r="E198" i="35"/>
  <c r="H197" i="35"/>
  <c r="G197" i="35"/>
  <c r="F197" i="35"/>
  <c r="E197" i="35"/>
  <c r="H196" i="35"/>
  <c r="G196" i="35"/>
  <c r="F196" i="35"/>
  <c r="E196" i="35"/>
  <c r="H195" i="35"/>
  <c r="G195" i="35"/>
  <c r="F195" i="35"/>
  <c r="E195" i="35"/>
  <c r="H194" i="35"/>
  <c r="G194" i="35"/>
  <c r="F194" i="35"/>
  <c r="E194" i="35"/>
  <c r="H193" i="35"/>
  <c r="G193" i="35"/>
  <c r="F193" i="35"/>
  <c r="E193" i="35"/>
  <c r="H192" i="35"/>
  <c r="G192" i="35"/>
  <c r="F192" i="35"/>
  <c r="E192" i="35"/>
  <c r="H191" i="35"/>
  <c r="G191" i="35"/>
  <c r="F191" i="35"/>
  <c r="E191" i="35"/>
  <c r="H190" i="35"/>
  <c r="G190" i="35"/>
  <c r="F190" i="35"/>
  <c r="E190" i="35"/>
  <c r="H189" i="35"/>
  <c r="G189" i="35"/>
  <c r="F189" i="35"/>
  <c r="E189" i="35"/>
  <c r="H188" i="35"/>
  <c r="G188" i="35"/>
  <c r="F188" i="35"/>
  <c r="E188" i="35"/>
  <c r="H187" i="35"/>
  <c r="G187" i="35"/>
  <c r="F187" i="35"/>
  <c r="E187" i="35"/>
  <c r="H186" i="35"/>
  <c r="G186" i="35"/>
  <c r="F186" i="35"/>
  <c r="E186" i="35"/>
  <c r="H185" i="35"/>
  <c r="G185" i="35"/>
  <c r="F185" i="35"/>
  <c r="E185" i="35"/>
  <c r="H184" i="35"/>
  <c r="G184" i="35"/>
  <c r="F184" i="35"/>
  <c r="E184" i="35"/>
  <c r="H183" i="35"/>
  <c r="G183" i="35"/>
  <c r="F183" i="35"/>
  <c r="E183" i="35"/>
  <c r="H182" i="35"/>
  <c r="G182" i="35"/>
  <c r="F182" i="35"/>
  <c r="E182" i="35"/>
  <c r="H181" i="35"/>
  <c r="G181" i="35"/>
  <c r="F181" i="35"/>
  <c r="E181" i="35"/>
  <c r="H180" i="35"/>
  <c r="G180" i="35"/>
  <c r="F180" i="35"/>
  <c r="E180" i="35"/>
  <c r="H179" i="35"/>
  <c r="G179" i="35"/>
  <c r="F179" i="35"/>
  <c r="E179" i="35"/>
  <c r="H178" i="35"/>
  <c r="G178" i="35"/>
  <c r="F178" i="35"/>
  <c r="E178" i="35"/>
  <c r="H177" i="35"/>
  <c r="G177" i="35"/>
  <c r="F177" i="35"/>
  <c r="E177" i="35"/>
  <c r="H176" i="35"/>
  <c r="G176" i="35"/>
  <c r="F176" i="35"/>
  <c r="E176" i="35"/>
  <c r="H175" i="35"/>
  <c r="G175" i="35"/>
  <c r="F175" i="35"/>
  <c r="E175" i="35"/>
  <c r="H174" i="35"/>
  <c r="G174" i="35"/>
  <c r="F174" i="35"/>
  <c r="E174" i="35"/>
  <c r="H173" i="35"/>
  <c r="G173" i="35"/>
  <c r="F173" i="35"/>
  <c r="E173" i="35"/>
  <c r="H172" i="35"/>
  <c r="G172" i="35"/>
  <c r="F172" i="35"/>
  <c r="E172" i="35"/>
  <c r="H171" i="35"/>
  <c r="G171" i="35"/>
  <c r="F171" i="35"/>
  <c r="E171" i="35"/>
  <c r="H170" i="35"/>
  <c r="G170" i="35"/>
  <c r="F170" i="35"/>
  <c r="E170" i="35"/>
  <c r="H169" i="35"/>
  <c r="G169" i="35"/>
  <c r="F169" i="35"/>
  <c r="E169" i="35"/>
  <c r="H168" i="35"/>
  <c r="G168" i="35"/>
  <c r="F168" i="35"/>
  <c r="E168" i="35"/>
  <c r="H167" i="35"/>
  <c r="G167" i="35"/>
  <c r="F167" i="35"/>
  <c r="E167" i="35"/>
  <c r="H166" i="35"/>
  <c r="G166" i="35"/>
  <c r="F166" i="35"/>
  <c r="E166" i="35"/>
  <c r="H165" i="35"/>
  <c r="G165" i="35"/>
  <c r="F165" i="35"/>
  <c r="E165" i="35"/>
  <c r="H164" i="35"/>
  <c r="G164" i="35"/>
  <c r="F164" i="35"/>
  <c r="E164" i="35"/>
  <c r="H163" i="35"/>
  <c r="G163" i="35"/>
  <c r="F163" i="35"/>
  <c r="E163" i="35"/>
  <c r="H162" i="35"/>
  <c r="G162" i="35"/>
  <c r="F162" i="35"/>
  <c r="E162" i="35"/>
  <c r="H161" i="35"/>
  <c r="G161" i="35"/>
  <c r="F161" i="35"/>
  <c r="E161" i="35"/>
  <c r="H160" i="35"/>
  <c r="G160" i="35"/>
  <c r="F160" i="35"/>
  <c r="E160" i="35"/>
  <c r="D265" i="34"/>
  <c r="D264" i="34"/>
  <c r="D263" i="34"/>
  <c r="D262" i="34"/>
  <c r="D261" i="34"/>
  <c r="D260" i="34"/>
  <c r="D259" i="34"/>
  <c r="D258" i="34"/>
  <c r="D257" i="34"/>
  <c r="D256" i="34"/>
  <c r="D255" i="34"/>
  <c r="D254" i="34"/>
  <c r="D253" i="34"/>
  <c r="D252" i="34"/>
  <c r="D251" i="34"/>
  <c r="D250" i="34"/>
  <c r="D249" i="34"/>
  <c r="D248" i="34"/>
  <c r="D247" i="34"/>
  <c r="D246" i="34"/>
  <c r="D245" i="34"/>
  <c r="D244" i="34"/>
  <c r="D243" i="34"/>
  <c r="D242" i="34"/>
  <c r="D241" i="34"/>
  <c r="D240" i="34"/>
  <c r="D239" i="34"/>
  <c r="D238" i="34"/>
  <c r="D237" i="34"/>
  <c r="D236" i="34"/>
  <c r="D235" i="34"/>
  <c r="D234" i="34"/>
  <c r="H231" i="34"/>
  <c r="G231" i="34"/>
  <c r="F231" i="34"/>
  <c r="E231" i="34"/>
  <c r="H230" i="34"/>
  <c r="G230" i="34"/>
  <c r="F230" i="34"/>
  <c r="E230" i="34"/>
  <c r="H229" i="34"/>
  <c r="G229" i="34"/>
  <c r="F229" i="34"/>
  <c r="E229" i="34"/>
  <c r="H228" i="34"/>
  <c r="G228" i="34"/>
  <c r="F228" i="34"/>
  <c r="E228" i="34"/>
  <c r="H227" i="34"/>
  <c r="G227" i="34"/>
  <c r="F227" i="34"/>
  <c r="E227" i="34"/>
  <c r="H226" i="34"/>
  <c r="G226" i="34"/>
  <c r="F226" i="34"/>
  <c r="E226" i="34"/>
  <c r="H225" i="34"/>
  <c r="G225" i="34"/>
  <c r="F225" i="34"/>
  <c r="E225" i="34"/>
  <c r="H224" i="34"/>
  <c r="G224" i="34"/>
  <c r="F224" i="34"/>
  <c r="E224" i="34"/>
  <c r="H223" i="34"/>
  <c r="G223" i="34"/>
  <c r="F223" i="34"/>
  <c r="E223" i="34"/>
  <c r="H222" i="34"/>
  <c r="G222" i="34"/>
  <c r="F222" i="34"/>
  <c r="E222" i="34"/>
  <c r="H221" i="34"/>
  <c r="G221" i="34"/>
  <c r="F221" i="34"/>
  <c r="E221" i="34"/>
  <c r="H220" i="34"/>
  <c r="G220" i="34"/>
  <c r="F220" i="34"/>
  <c r="E220" i="34"/>
  <c r="H219" i="34"/>
  <c r="G219" i="34"/>
  <c r="F219" i="34"/>
  <c r="E219" i="34"/>
  <c r="H218" i="34"/>
  <c r="G218" i="34"/>
  <c r="F218" i="34"/>
  <c r="E218" i="34"/>
  <c r="H217" i="34"/>
  <c r="G217" i="34"/>
  <c r="F217" i="34"/>
  <c r="E217" i="34"/>
  <c r="H216" i="34"/>
  <c r="G216" i="34"/>
  <c r="F216" i="34"/>
  <c r="E216" i="34"/>
  <c r="H215" i="34"/>
  <c r="G215" i="34"/>
  <c r="F215" i="34"/>
  <c r="E215" i="34"/>
  <c r="H214" i="34"/>
  <c r="G214" i="34"/>
  <c r="F214" i="34"/>
  <c r="E214" i="34"/>
  <c r="H213" i="34"/>
  <c r="G213" i="34"/>
  <c r="F213" i="34"/>
  <c r="E213" i="34"/>
  <c r="H212" i="34"/>
  <c r="G212" i="34"/>
  <c r="F212" i="34"/>
  <c r="E212" i="34"/>
  <c r="H211" i="34"/>
  <c r="G211" i="34"/>
  <c r="F211" i="34"/>
  <c r="E211" i="34"/>
  <c r="H210" i="34"/>
  <c r="G210" i="34"/>
  <c r="F210" i="34"/>
  <c r="E210" i="34"/>
  <c r="H209" i="34"/>
  <c r="G209" i="34"/>
  <c r="F209" i="34"/>
  <c r="E209" i="34"/>
  <c r="H208" i="34"/>
  <c r="G208" i="34"/>
  <c r="F208" i="34"/>
  <c r="E208" i="34"/>
  <c r="H207" i="34"/>
  <c r="G207" i="34"/>
  <c r="F207" i="34"/>
  <c r="E207" i="34"/>
  <c r="H206" i="34"/>
  <c r="G206" i="34"/>
  <c r="F206" i="34"/>
  <c r="E206" i="34"/>
  <c r="H205" i="34"/>
  <c r="G205" i="34"/>
  <c r="F205" i="34"/>
  <c r="E205" i="34"/>
  <c r="H204" i="34"/>
  <c r="G204" i="34"/>
  <c r="F204" i="34"/>
  <c r="E204" i="34"/>
  <c r="H203" i="34"/>
  <c r="G203" i="34"/>
  <c r="F203" i="34"/>
  <c r="E203" i="34"/>
  <c r="H202" i="34"/>
  <c r="G202" i="34"/>
  <c r="F202" i="34"/>
  <c r="E202" i="34"/>
  <c r="H201" i="34"/>
  <c r="G201" i="34"/>
  <c r="F201" i="34"/>
  <c r="E201" i="34"/>
  <c r="H200" i="34"/>
  <c r="G200" i="34"/>
  <c r="F200" i="34"/>
  <c r="E200" i="34"/>
  <c r="H199" i="34"/>
  <c r="G199" i="34"/>
  <c r="F199" i="34"/>
  <c r="E199" i="34"/>
  <c r="H198" i="34"/>
  <c r="G198" i="34"/>
  <c r="F198" i="34"/>
  <c r="E198" i="34"/>
  <c r="H197" i="34"/>
  <c r="G197" i="34"/>
  <c r="F197" i="34"/>
  <c r="E197" i="34"/>
  <c r="H196" i="34"/>
  <c r="G196" i="34"/>
  <c r="F196" i="34"/>
  <c r="E196" i="34"/>
  <c r="H195" i="34"/>
  <c r="G195" i="34"/>
  <c r="F195" i="34"/>
  <c r="E195" i="34"/>
  <c r="H194" i="34"/>
  <c r="G194" i="34"/>
  <c r="F194" i="34"/>
  <c r="E194" i="34"/>
  <c r="H193" i="34"/>
  <c r="G193" i="34"/>
  <c r="F193" i="34"/>
  <c r="E193" i="34"/>
  <c r="H192" i="34"/>
  <c r="G192" i="34"/>
  <c r="F192" i="34"/>
  <c r="E192" i="34"/>
  <c r="H191" i="34"/>
  <c r="G191" i="34"/>
  <c r="F191" i="34"/>
  <c r="E191" i="34"/>
  <c r="H190" i="34"/>
  <c r="G190" i="34"/>
  <c r="F190" i="34"/>
  <c r="E190" i="34"/>
  <c r="H189" i="34"/>
  <c r="G189" i="34"/>
  <c r="F189" i="34"/>
  <c r="E189" i="34"/>
  <c r="H188" i="34"/>
  <c r="G188" i="34"/>
  <c r="F188" i="34"/>
  <c r="E188" i="34"/>
  <c r="H187" i="34"/>
  <c r="G187" i="34"/>
  <c r="F187" i="34"/>
  <c r="E187" i="34"/>
  <c r="H186" i="34"/>
  <c r="G186" i="34"/>
  <c r="F186" i="34"/>
  <c r="E186" i="34"/>
  <c r="H185" i="34"/>
  <c r="G185" i="34"/>
  <c r="F185" i="34"/>
  <c r="E185" i="34"/>
  <c r="H184" i="34"/>
  <c r="G184" i="34"/>
  <c r="F184" i="34"/>
  <c r="E184" i="34"/>
  <c r="H183" i="34"/>
  <c r="G183" i="34"/>
  <c r="F183" i="34"/>
  <c r="E183" i="34"/>
  <c r="H182" i="34"/>
  <c r="G182" i="34"/>
  <c r="F182" i="34"/>
  <c r="E182" i="34"/>
  <c r="H181" i="34"/>
  <c r="G181" i="34"/>
  <c r="F181" i="34"/>
  <c r="E181" i="34"/>
  <c r="H180" i="34"/>
  <c r="G180" i="34"/>
  <c r="F180" i="34"/>
  <c r="E180" i="34"/>
  <c r="H179" i="34"/>
  <c r="G179" i="34"/>
  <c r="F179" i="34"/>
  <c r="E179" i="34"/>
  <c r="H178" i="34"/>
  <c r="G178" i="34"/>
  <c r="F178" i="34"/>
  <c r="E178" i="34"/>
  <c r="H177" i="34"/>
  <c r="G177" i="34"/>
  <c r="F177" i="34"/>
  <c r="E177" i="34"/>
  <c r="H176" i="34"/>
  <c r="G176" i="34"/>
  <c r="F176" i="34"/>
  <c r="E176" i="34"/>
  <c r="H175" i="34"/>
  <c r="G175" i="34"/>
  <c r="F175" i="34"/>
  <c r="E175" i="34"/>
  <c r="H174" i="34"/>
  <c r="G174" i="34"/>
  <c r="F174" i="34"/>
  <c r="E174" i="34"/>
  <c r="H173" i="34"/>
  <c r="G173" i="34"/>
  <c r="F173" i="34"/>
  <c r="E173" i="34"/>
  <c r="H172" i="34"/>
  <c r="G172" i="34"/>
  <c r="F172" i="34"/>
  <c r="E172" i="34"/>
  <c r="H171" i="34"/>
  <c r="G171" i="34"/>
  <c r="F171" i="34"/>
  <c r="E171" i="34"/>
  <c r="H170" i="34"/>
  <c r="G170" i="34"/>
  <c r="F170" i="34"/>
  <c r="E170" i="34"/>
  <c r="H169" i="34"/>
  <c r="G169" i="34"/>
  <c r="F169" i="34"/>
  <c r="E169" i="34"/>
  <c r="H168" i="34"/>
  <c r="G168" i="34"/>
  <c r="F168" i="34"/>
  <c r="E168" i="34"/>
  <c r="H167" i="34"/>
  <c r="G167" i="34"/>
  <c r="F167" i="34"/>
  <c r="E167" i="34"/>
  <c r="H166" i="34"/>
  <c r="G166" i="34"/>
  <c r="F166" i="34"/>
  <c r="E166" i="34"/>
  <c r="H165" i="34"/>
  <c r="G165" i="34"/>
  <c r="F165" i="34"/>
  <c r="E165" i="34"/>
  <c r="H164" i="34"/>
  <c r="G164" i="34"/>
  <c r="F164" i="34"/>
  <c r="E164" i="34"/>
  <c r="H163" i="34"/>
  <c r="G163" i="34"/>
  <c r="F163" i="34"/>
  <c r="E163" i="34"/>
  <c r="H162" i="34"/>
  <c r="G162" i="34"/>
  <c r="F162" i="34"/>
  <c r="E162" i="34"/>
  <c r="H161" i="34"/>
  <c r="G161" i="34"/>
  <c r="F161" i="34"/>
  <c r="E161" i="34"/>
  <c r="H160" i="34"/>
  <c r="G160" i="34"/>
  <c r="F160" i="34"/>
  <c r="E160" i="34"/>
  <c r="AN87" i="35"/>
  <c r="AM87" i="35"/>
  <c r="AO87" i="35" s="1"/>
  <c r="AG87" i="35"/>
  <c r="AF87" i="35"/>
  <c r="AH87" i="35" s="1"/>
  <c r="Z87" i="35"/>
  <c r="Y87" i="35"/>
  <c r="AA87" i="35" s="1"/>
  <c r="S87" i="35"/>
  <c r="T87" i="35" s="1"/>
  <c r="R87" i="35"/>
  <c r="L87" i="35"/>
  <c r="K87" i="35"/>
  <c r="M87" i="35" s="1"/>
  <c r="E87" i="35"/>
  <c r="D87" i="35"/>
  <c r="F87" i="35" s="1"/>
  <c r="AN86" i="35"/>
  <c r="AM86" i="35"/>
  <c r="AO86" i="35" s="1"/>
  <c r="AL86" i="35"/>
  <c r="AG86" i="35"/>
  <c r="AH86" i="35" s="1"/>
  <c r="AF86" i="35"/>
  <c r="Z86" i="35"/>
  <c r="Y86" i="35"/>
  <c r="AA86" i="35" s="1"/>
  <c r="S86" i="35"/>
  <c r="R86" i="35"/>
  <c r="T86" i="35" s="1"/>
  <c r="L86" i="35"/>
  <c r="K86" i="35"/>
  <c r="M86" i="35" s="1"/>
  <c r="J86" i="35"/>
  <c r="E86" i="35"/>
  <c r="F86" i="35" s="1"/>
  <c r="D86" i="35"/>
  <c r="AN85" i="35"/>
  <c r="AM85" i="35"/>
  <c r="AO85" i="35" s="1"/>
  <c r="AG85" i="35"/>
  <c r="AF85" i="35"/>
  <c r="AH85" i="35" s="1"/>
  <c r="Z85" i="35"/>
  <c r="Y85" i="35"/>
  <c r="AA85" i="35" s="1"/>
  <c r="S85" i="35"/>
  <c r="T85" i="35" s="1"/>
  <c r="R85" i="35"/>
  <c r="L85" i="35"/>
  <c r="K85" i="35"/>
  <c r="M85" i="35" s="1"/>
  <c r="E85" i="35"/>
  <c r="D85" i="35"/>
  <c r="F85" i="35" s="1"/>
  <c r="AN84" i="35"/>
  <c r="AM84" i="35"/>
  <c r="AO84" i="35" s="1"/>
  <c r="AL84" i="35"/>
  <c r="AG84" i="35"/>
  <c r="AF84" i="35"/>
  <c r="Z84" i="35"/>
  <c r="Y84" i="35"/>
  <c r="AA84" i="35" s="1"/>
  <c r="S84" i="35"/>
  <c r="R84" i="35"/>
  <c r="T84" i="35" s="1"/>
  <c r="T90" i="35" s="1" a="1"/>
  <c r="L84" i="35"/>
  <c r="L90" i="35" s="1" a="1"/>
  <c r="K84" i="35"/>
  <c r="M84" i="35" s="1"/>
  <c r="J84" i="35"/>
  <c r="E84" i="35"/>
  <c r="F84" i="35" s="1"/>
  <c r="D84" i="35"/>
  <c r="AL81" i="35"/>
  <c r="AK81" i="35"/>
  <c r="AE81" i="35"/>
  <c r="AD81" i="35"/>
  <c r="X81" i="35"/>
  <c r="W81" i="35"/>
  <c r="Q81" i="35"/>
  <c r="P81" i="35"/>
  <c r="J81" i="35"/>
  <c r="I81" i="35"/>
  <c r="C81" i="35"/>
  <c r="B81" i="35"/>
  <c r="C85" i="35" s="1"/>
  <c r="AK80" i="35"/>
  <c r="AD80" i="35"/>
  <c r="W80" i="35"/>
  <c r="P80" i="35"/>
  <c r="I80" i="35"/>
  <c r="B80" i="35"/>
  <c r="AL76" i="35"/>
  <c r="AK76" i="35"/>
  <c r="AE76" i="35"/>
  <c r="AD76" i="35"/>
  <c r="X76" i="35"/>
  <c r="W76" i="35"/>
  <c r="Q76" i="35"/>
  <c r="P76" i="35"/>
  <c r="J76" i="35"/>
  <c r="I76" i="35"/>
  <c r="C76" i="35"/>
  <c r="B76" i="35"/>
  <c r="C87" i="35" s="1"/>
  <c r="AK75" i="35"/>
  <c r="AD75" i="35"/>
  <c r="W75" i="35"/>
  <c r="P75" i="35"/>
  <c r="I75" i="35"/>
  <c r="B75" i="35"/>
  <c r="AL70" i="35"/>
  <c r="AK70" i="35"/>
  <c r="AE70" i="35"/>
  <c r="AD70" i="35"/>
  <c r="X70" i="35"/>
  <c r="W70" i="35"/>
  <c r="Q70" i="35"/>
  <c r="P70" i="35"/>
  <c r="J70" i="35"/>
  <c r="I70" i="35"/>
  <c r="J87" i="35" s="1"/>
  <c r="C70" i="35"/>
  <c r="B70" i="35"/>
  <c r="AK69" i="35"/>
  <c r="AD69" i="35"/>
  <c r="W69" i="35"/>
  <c r="P69" i="35"/>
  <c r="I69" i="35"/>
  <c r="B69" i="35"/>
  <c r="AL65" i="35"/>
  <c r="AK65" i="35"/>
  <c r="AE65" i="35"/>
  <c r="AD65" i="35"/>
  <c r="X65" i="35"/>
  <c r="W65" i="35"/>
  <c r="X84" i="35" s="1"/>
  <c r="Q65" i="35"/>
  <c r="Q86" i="35" s="1"/>
  <c r="P65" i="35"/>
  <c r="Q84" i="35" s="1"/>
  <c r="J65" i="35"/>
  <c r="I65" i="35"/>
  <c r="C65" i="35"/>
  <c r="B65" i="35"/>
  <c r="AK64" i="35"/>
  <c r="AD64" i="35"/>
  <c r="W64" i="35"/>
  <c r="P64" i="35"/>
  <c r="I64" i="35"/>
  <c r="B64" i="35"/>
  <c r="AL59" i="35"/>
  <c r="AL87" i="35" s="1"/>
  <c r="AK59" i="35"/>
  <c r="AE59" i="35"/>
  <c r="AE87" i="35" s="1"/>
  <c r="AD59" i="35"/>
  <c r="AE86" i="35" s="1"/>
  <c r="X59" i="35"/>
  <c r="X87" i="35" s="1"/>
  <c r="W59" i="35"/>
  <c r="X86" i="35" s="1"/>
  <c r="Q59" i="35"/>
  <c r="Q87" i="35" s="1"/>
  <c r="P59" i="35"/>
  <c r="I59" i="35"/>
  <c r="C59" i="35"/>
  <c r="B59" i="35"/>
  <c r="C86" i="35" s="1"/>
  <c r="AK58" i="35"/>
  <c r="AD58" i="35"/>
  <c r="W58" i="35"/>
  <c r="P58" i="35"/>
  <c r="I58" i="35"/>
  <c r="B58" i="35"/>
  <c r="AL54" i="35"/>
  <c r="AL85" i="35" s="1"/>
  <c r="AK54" i="35"/>
  <c r="AE54" i="35"/>
  <c r="AE85" i="35" s="1"/>
  <c r="AD54" i="35"/>
  <c r="AE84" i="35" s="1"/>
  <c r="X54" i="35"/>
  <c r="X85" i="35" s="1"/>
  <c r="W54" i="35"/>
  <c r="Q54" i="35"/>
  <c r="Q85" i="35" s="1"/>
  <c r="P54" i="35"/>
  <c r="J54" i="35"/>
  <c r="J85" i="35" s="1"/>
  <c r="I54" i="35"/>
  <c r="C54" i="35"/>
  <c r="B54" i="35"/>
  <c r="C84" i="35" s="1"/>
  <c r="AK53" i="35"/>
  <c r="AD53" i="35"/>
  <c r="W53" i="35"/>
  <c r="P53" i="35"/>
  <c r="I53" i="35"/>
  <c r="B53" i="35"/>
  <c r="AN40" i="35"/>
  <c r="AM40" i="35"/>
  <c r="AO40" i="35" s="1"/>
  <c r="AL40" i="35"/>
  <c r="AG40" i="35"/>
  <c r="AF40" i="35"/>
  <c r="AH40" i="35" s="1"/>
  <c r="Z40" i="35"/>
  <c r="Y40" i="35"/>
  <c r="AA40" i="35" s="1"/>
  <c r="S40" i="35"/>
  <c r="R40" i="35"/>
  <c r="T40" i="35" s="1"/>
  <c r="L40" i="35"/>
  <c r="K40" i="35"/>
  <c r="M40" i="35" s="1"/>
  <c r="J40" i="35"/>
  <c r="E40" i="35"/>
  <c r="D40" i="35"/>
  <c r="F40" i="35" s="1"/>
  <c r="AN39" i="35"/>
  <c r="AM39" i="35"/>
  <c r="AO39" i="35" s="1"/>
  <c r="AG39" i="35"/>
  <c r="AF39" i="35"/>
  <c r="AH39" i="35" s="1"/>
  <c r="Z39" i="35"/>
  <c r="Y39" i="35"/>
  <c r="AA39" i="35" s="1"/>
  <c r="S39" i="35"/>
  <c r="R39" i="35"/>
  <c r="T39" i="35" s="1"/>
  <c r="L39" i="35"/>
  <c r="K39" i="35"/>
  <c r="M39" i="35" s="1"/>
  <c r="E39" i="35"/>
  <c r="D39" i="35"/>
  <c r="F39" i="35" s="1"/>
  <c r="AN38" i="35"/>
  <c r="AM38" i="35"/>
  <c r="AO38" i="35" s="1"/>
  <c r="AG38" i="35"/>
  <c r="AF38" i="35"/>
  <c r="AH38" i="35" s="1"/>
  <c r="Z38" i="35"/>
  <c r="Y38" i="35"/>
  <c r="AA38" i="35" s="1"/>
  <c r="S38" i="35"/>
  <c r="R38" i="35"/>
  <c r="T38" i="35" s="1"/>
  <c r="L38" i="35"/>
  <c r="K38" i="35"/>
  <c r="M38" i="35" s="1"/>
  <c r="J38" i="35"/>
  <c r="E38" i="35"/>
  <c r="D38" i="35"/>
  <c r="F38" i="35" s="1"/>
  <c r="AN37" i="35"/>
  <c r="AM37" i="35"/>
  <c r="AO37" i="35" s="1"/>
  <c r="AG37" i="35"/>
  <c r="AF37" i="35"/>
  <c r="AH37" i="35" s="1"/>
  <c r="Z37" i="35"/>
  <c r="Y37" i="35"/>
  <c r="AA37" i="35" s="1"/>
  <c r="S37" i="35"/>
  <c r="R37" i="35"/>
  <c r="L37" i="35"/>
  <c r="K37" i="35"/>
  <c r="M37" i="35" s="1"/>
  <c r="E37" i="35"/>
  <c r="E43" i="35" s="1" a="1"/>
  <c r="D37" i="35"/>
  <c r="D43" i="35" s="1" a="1"/>
  <c r="AL34" i="35"/>
  <c r="AK34" i="35"/>
  <c r="AE34" i="35"/>
  <c r="AD34" i="35"/>
  <c r="X34" i="35"/>
  <c r="X37" i="35" s="1"/>
  <c r="W34" i="35"/>
  <c r="Q34" i="35"/>
  <c r="P34" i="35"/>
  <c r="J34" i="35"/>
  <c r="I34" i="35"/>
  <c r="C34" i="35"/>
  <c r="B34" i="35"/>
  <c r="AK33" i="35"/>
  <c r="AD33" i="35"/>
  <c r="W33" i="35"/>
  <c r="P33" i="35"/>
  <c r="I33" i="35"/>
  <c r="B33" i="35"/>
  <c r="AL29" i="35"/>
  <c r="AK29" i="35"/>
  <c r="AE29" i="35"/>
  <c r="AD29" i="35"/>
  <c r="X29" i="35"/>
  <c r="X39" i="35" s="1"/>
  <c r="W29" i="35"/>
  <c r="Q29" i="35"/>
  <c r="P29" i="35"/>
  <c r="J29" i="35"/>
  <c r="I29" i="35"/>
  <c r="C29" i="35"/>
  <c r="B29" i="35"/>
  <c r="AK28" i="35"/>
  <c r="AD28" i="35"/>
  <c r="W28" i="35"/>
  <c r="P28" i="35"/>
  <c r="I28" i="35"/>
  <c r="B28" i="35"/>
  <c r="AL23" i="35"/>
  <c r="AL39" i="35" s="1"/>
  <c r="AK23" i="35"/>
  <c r="AE23" i="35"/>
  <c r="AD23" i="35"/>
  <c r="X23" i="35"/>
  <c r="W23" i="35"/>
  <c r="Q23" i="35"/>
  <c r="P23" i="35"/>
  <c r="J23" i="35"/>
  <c r="I23" i="35"/>
  <c r="C23" i="35"/>
  <c r="B23" i="35"/>
  <c r="AK22" i="35"/>
  <c r="AD22" i="35"/>
  <c r="W22" i="35"/>
  <c r="P22" i="35"/>
  <c r="I22" i="35"/>
  <c r="B22" i="35"/>
  <c r="AL18" i="35"/>
  <c r="AL38" i="35" s="1"/>
  <c r="AK18" i="35"/>
  <c r="AE18" i="35"/>
  <c r="AD18" i="35"/>
  <c r="X18" i="35"/>
  <c r="W18" i="35"/>
  <c r="Q18" i="35"/>
  <c r="P18" i="35"/>
  <c r="J18" i="35"/>
  <c r="I18" i="35"/>
  <c r="C18" i="35"/>
  <c r="B18" i="35"/>
  <c r="AK17" i="35"/>
  <c r="AD17" i="35"/>
  <c r="W17" i="35"/>
  <c r="P17" i="35"/>
  <c r="I17" i="35"/>
  <c r="B17" i="35"/>
  <c r="AL12" i="35"/>
  <c r="AK12" i="35"/>
  <c r="AE12" i="35"/>
  <c r="AE40" i="35" s="1"/>
  <c r="AD12" i="35"/>
  <c r="AE39" i="35" s="1"/>
  <c r="X12" i="35"/>
  <c r="X40" i="35" s="1"/>
  <c r="W12" i="35"/>
  <c r="Q12" i="35"/>
  <c r="Q40" i="35" s="1"/>
  <c r="P12" i="35"/>
  <c r="Q39" i="35" s="1"/>
  <c r="J12" i="35"/>
  <c r="I12" i="35"/>
  <c r="J39" i="35" s="1"/>
  <c r="C12" i="35"/>
  <c r="C40" i="35" s="1"/>
  <c r="B12" i="35"/>
  <c r="C39" i="35" s="1"/>
  <c r="AK11" i="35"/>
  <c r="AD11" i="35"/>
  <c r="W11" i="35"/>
  <c r="P11" i="35"/>
  <c r="I11" i="35"/>
  <c r="B11" i="35"/>
  <c r="AL7" i="35"/>
  <c r="AK7" i="35"/>
  <c r="AL37" i="35" s="1"/>
  <c r="AE7" i="35"/>
  <c r="AE38" i="35" s="1"/>
  <c r="AD7" i="35"/>
  <c r="AE37" i="35" s="1"/>
  <c r="X7" i="35"/>
  <c r="X38" i="35" s="1"/>
  <c r="W7" i="35"/>
  <c r="Q7" i="35"/>
  <c r="Q38" i="35" s="1"/>
  <c r="P7" i="35"/>
  <c r="Q37" i="35" s="1"/>
  <c r="J7" i="35"/>
  <c r="I7" i="35"/>
  <c r="J37" i="35" s="1"/>
  <c r="C7" i="35"/>
  <c r="C38" i="35" s="1"/>
  <c r="B7" i="35"/>
  <c r="C37" i="35" s="1"/>
  <c r="AK6" i="35"/>
  <c r="AD6" i="35"/>
  <c r="W6" i="35"/>
  <c r="P6" i="35"/>
  <c r="I6" i="35"/>
  <c r="B6" i="35"/>
  <c r="H232" i="34" l="1"/>
  <c r="G232" i="35"/>
  <c r="G232" i="34"/>
  <c r="H232" i="35"/>
  <c r="P43" i="36" a="1"/>
  <c r="X90" i="36" a="1"/>
  <c r="W90" i="36" a="1"/>
  <c r="Y90" i="36" a="1"/>
  <c r="D93" i="36"/>
  <c r="D92" i="36"/>
  <c r="V98" i="36" s="1"/>
  <c r="D91" i="36"/>
  <c r="D90" i="36"/>
  <c r="S43" i="36" a="1"/>
  <c r="AG90" i="36" a="1"/>
  <c r="AE90" i="36" a="1"/>
  <c r="AD90" i="36" a="1"/>
  <c r="F90" i="36" a="1"/>
  <c r="J93" i="36"/>
  <c r="J92" i="36"/>
  <c r="U99" i="36" s="1"/>
  <c r="J91" i="36"/>
  <c r="J90" i="36"/>
  <c r="M93" i="36"/>
  <c r="M92" i="36"/>
  <c r="X99" i="36" s="1"/>
  <c r="M91" i="36"/>
  <c r="M90" i="36"/>
  <c r="C43" i="36" a="1"/>
  <c r="B43" i="36" a="1"/>
  <c r="AF43" i="36" a="1"/>
  <c r="E92" i="36"/>
  <c r="W98" i="36" s="1"/>
  <c r="E91" i="36"/>
  <c r="E90" i="36"/>
  <c r="E93" i="36"/>
  <c r="R90" i="36" a="1"/>
  <c r="Z46" i="36"/>
  <c r="Z45" i="36"/>
  <c r="W107" i="36" s="1"/>
  <c r="Z44" i="36"/>
  <c r="Z43" i="36"/>
  <c r="K43" i="36" a="1"/>
  <c r="J43" i="36" a="1"/>
  <c r="L43" i="36" a="1"/>
  <c r="I43" i="36" a="1"/>
  <c r="AH43" i="36" a="1"/>
  <c r="AL90" i="36" a="1"/>
  <c r="AO90" i="36" a="1"/>
  <c r="AK90" i="36" a="1"/>
  <c r="AM90" i="36" a="1"/>
  <c r="AO43" i="36" a="1"/>
  <c r="Z90" i="36" a="1"/>
  <c r="Q43" i="36" a="1"/>
  <c r="T43" i="36" a="1"/>
  <c r="B90" i="36" a="1"/>
  <c r="C90" i="36" a="1"/>
  <c r="AA90" i="36" a="1"/>
  <c r="AA46" i="36"/>
  <c r="AA45" i="36"/>
  <c r="X107" i="36" s="1"/>
  <c r="AA44" i="36"/>
  <c r="AA43" i="36"/>
  <c r="D43" i="36" a="1"/>
  <c r="AF90" i="36" a="1"/>
  <c r="E43" i="36" a="1"/>
  <c r="X43" i="36" a="1"/>
  <c r="Y43" i="36" a="1"/>
  <c r="W43" i="36" a="1"/>
  <c r="AD43" i="36" a="1"/>
  <c r="AG43" i="36" a="1"/>
  <c r="AE43" i="36" a="1"/>
  <c r="K90" i="36" a="1"/>
  <c r="AH90" i="36" a="1"/>
  <c r="F43" i="36" a="1"/>
  <c r="M43" i="36" a="1"/>
  <c r="P90" i="36" a="1"/>
  <c r="S90" i="36" a="1"/>
  <c r="Q90" i="36" a="1"/>
  <c r="AL43" i="36" a="1"/>
  <c r="AK43" i="36" a="1"/>
  <c r="AM43" i="36" a="1"/>
  <c r="AN43" i="36" a="1"/>
  <c r="AN90" i="36" a="1"/>
  <c r="L90" i="36" a="1"/>
  <c r="I90" i="36" a="1"/>
  <c r="R43" i="36" a="1"/>
  <c r="T84" i="36"/>
  <c r="T90" i="36" s="1" a="1"/>
  <c r="B154" i="35"/>
  <c r="B155" i="35"/>
  <c r="B154" i="34"/>
  <c r="B155" i="34"/>
  <c r="AA43" i="35" a="1"/>
  <c r="R43" i="35" a="1"/>
  <c r="AH43" i="35" a="1"/>
  <c r="AG90" i="35" a="1"/>
  <c r="T90" i="35"/>
  <c r="X100" i="35"/>
  <c r="AL90" i="35" a="1"/>
  <c r="AL43" i="35" a="1"/>
  <c r="AK43" i="35" a="1"/>
  <c r="AO43" i="35" a="1"/>
  <c r="AK90" i="35" a="1"/>
  <c r="AO90" i="35" a="1"/>
  <c r="AN43" i="35" a="1"/>
  <c r="AD43" i="35" a="1"/>
  <c r="AE43" i="35" a="1"/>
  <c r="AF43" i="35" a="1"/>
  <c r="AA90" i="35" a="1"/>
  <c r="B90" i="35" a="1"/>
  <c r="D90" i="35" a="1"/>
  <c r="E90" i="35" a="1"/>
  <c r="C90" i="35" a="1"/>
  <c r="S90" i="35" a="1"/>
  <c r="AG43" i="35" a="1"/>
  <c r="L90" i="35"/>
  <c r="W99" i="35"/>
  <c r="I43" i="35" a="1"/>
  <c r="M43" i="35" a="1"/>
  <c r="Y90" i="35" a="1"/>
  <c r="X90" i="35" a="1"/>
  <c r="W90" i="35" a="1"/>
  <c r="Z90" i="35" a="1"/>
  <c r="C43" i="35" a="1"/>
  <c r="B43" i="35" a="1"/>
  <c r="Z43" i="35" a="1"/>
  <c r="Y43" i="35" a="1"/>
  <c r="X43" i="35" a="1"/>
  <c r="W43" i="35" a="1"/>
  <c r="L43" i="35" a="1"/>
  <c r="K43" i="35" a="1"/>
  <c r="J43" i="35" a="1"/>
  <c r="Q43" i="35" a="1"/>
  <c r="S43" i="35" a="1"/>
  <c r="P43" i="35" a="1"/>
  <c r="F90" i="35" a="1"/>
  <c r="D43" i="35"/>
  <c r="V104" i="35"/>
  <c r="P90" i="35" a="1"/>
  <c r="R90" i="35" a="1"/>
  <c r="Q90" i="35" a="1"/>
  <c r="K90" i="35" a="1"/>
  <c r="E43" i="35"/>
  <c r="W104" i="35"/>
  <c r="AF90" i="35" a="1"/>
  <c r="AE90" i="35" a="1"/>
  <c r="AD90" i="35" a="1"/>
  <c r="M90" i="35" a="1"/>
  <c r="AM90" i="35" a="1"/>
  <c r="AN90" i="35" a="1"/>
  <c r="AH84" i="35"/>
  <c r="AH90" i="35" s="1" a="1"/>
  <c r="I90" i="35" a="1"/>
  <c r="T37" i="35"/>
  <c r="T43" i="35" s="1" a="1"/>
  <c r="F37" i="35"/>
  <c r="F43" i="35" s="1" a="1"/>
  <c r="J90" i="35" a="1"/>
  <c r="AM43" i="35" a="1"/>
  <c r="B91" i="36" l="1"/>
  <c r="B90" i="36"/>
  <c r="B92" i="36"/>
  <c r="R98" i="36" s="1"/>
  <c r="B93" i="36"/>
  <c r="AH93" i="36"/>
  <c r="AH92" i="36"/>
  <c r="X102" i="36" s="1"/>
  <c r="AH91" i="36"/>
  <c r="AH90" i="36"/>
  <c r="C93" i="36"/>
  <c r="C92" i="36"/>
  <c r="U98" i="36" s="1"/>
  <c r="C91" i="36"/>
  <c r="C90" i="36"/>
  <c r="T93" i="36"/>
  <c r="T92" i="36"/>
  <c r="X100" i="36" s="1"/>
  <c r="T91" i="36"/>
  <c r="T90" i="36"/>
  <c r="AE46" i="36"/>
  <c r="AE45" i="36"/>
  <c r="U108" i="36" s="1"/>
  <c r="AE44" i="36"/>
  <c r="AE43" i="36"/>
  <c r="T44" i="36"/>
  <c r="T43" i="36"/>
  <c r="T46" i="36"/>
  <c r="T45" i="36"/>
  <c r="X106" i="36" s="1"/>
  <c r="I93" i="36"/>
  <c r="I92" i="36"/>
  <c r="R99" i="36" s="1"/>
  <c r="I91" i="36"/>
  <c r="I90" i="36"/>
  <c r="Z93" i="36"/>
  <c r="Z92" i="36"/>
  <c r="W101" i="36" s="1"/>
  <c r="Z91" i="36"/>
  <c r="Z90" i="36"/>
  <c r="AD90" i="36"/>
  <c r="AD91" i="36"/>
  <c r="AD93" i="36"/>
  <c r="AD92" i="36"/>
  <c r="R102" i="36" s="1"/>
  <c r="AO45" i="36"/>
  <c r="X109" i="36" s="1"/>
  <c r="AO44" i="36"/>
  <c r="AO43" i="36"/>
  <c r="AO46" i="36"/>
  <c r="AE93" i="36"/>
  <c r="AE92" i="36"/>
  <c r="U102" i="36" s="1"/>
  <c r="AE91" i="36"/>
  <c r="AE90" i="36"/>
  <c r="K92" i="36"/>
  <c r="V99" i="36" s="1"/>
  <c r="K90" i="36"/>
  <c r="K93" i="36"/>
  <c r="K91" i="36"/>
  <c r="Y45" i="36"/>
  <c r="V107" i="36" s="1"/>
  <c r="Y43" i="36"/>
  <c r="Y44" i="36"/>
  <c r="Y46" i="36"/>
  <c r="AM93" i="36"/>
  <c r="AM92" i="36"/>
  <c r="V103" i="36" s="1"/>
  <c r="AM91" i="36"/>
  <c r="AM90" i="36"/>
  <c r="AG90" i="36"/>
  <c r="AG92" i="36"/>
  <c r="W102" i="36" s="1"/>
  <c r="AG93" i="36"/>
  <c r="AG91" i="36"/>
  <c r="Q46" i="36"/>
  <c r="Q45" i="36"/>
  <c r="U106" i="36" s="1"/>
  <c r="Q43" i="36"/>
  <c r="Q44" i="36"/>
  <c r="AK93" i="36"/>
  <c r="AK92" i="36"/>
  <c r="R103" i="36" s="1"/>
  <c r="AK91" i="36"/>
  <c r="AK90" i="36"/>
  <c r="S45" i="36"/>
  <c r="W106" i="36" s="1"/>
  <c r="S44" i="36"/>
  <c r="S46" i="36"/>
  <c r="S43" i="36"/>
  <c r="R46" i="36"/>
  <c r="R45" i="36"/>
  <c r="V106" i="36" s="1"/>
  <c r="R44" i="36"/>
  <c r="R43" i="36"/>
  <c r="X46" i="36"/>
  <c r="X45" i="36"/>
  <c r="U107" i="36" s="1"/>
  <c r="X44" i="36"/>
  <c r="X43" i="36"/>
  <c r="E46" i="36"/>
  <c r="E45" i="36"/>
  <c r="W104" i="36" s="1"/>
  <c r="E44" i="36"/>
  <c r="E43" i="36"/>
  <c r="AO90" i="36"/>
  <c r="AO92" i="36"/>
  <c r="X103" i="36" s="1"/>
  <c r="AO93" i="36"/>
  <c r="AO91" i="36"/>
  <c r="AF46" i="36"/>
  <c r="AF45" i="36"/>
  <c r="V108" i="36" s="1"/>
  <c r="AF44" i="36"/>
  <c r="AF43" i="36"/>
  <c r="R93" i="36"/>
  <c r="R92" i="36"/>
  <c r="V100" i="36" s="1"/>
  <c r="R91" i="36"/>
  <c r="R90" i="36"/>
  <c r="AM43" i="36"/>
  <c r="AM46" i="36"/>
  <c r="AM45" i="36"/>
  <c r="V109" i="36" s="1"/>
  <c r="AM44" i="36"/>
  <c r="AF93" i="36"/>
  <c r="AF92" i="36"/>
  <c r="V102" i="36" s="1"/>
  <c r="AF91" i="36"/>
  <c r="AF90" i="36"/>
  <c r="AL92" i="36"/>
  <c r="U103" i="36" s="1"/>
  <c r="AL91" i="36"/>
  <c r="AL90" i="36"/>
  <c r="AL93" i="36"/>
  <c r="B46" i="36"/>
  <c r="B45" i="36"/>
  <c r="R104" i="36" s="1"/>
  <c r="B44" i="36"/>
  <c r="B43" i="36"/>
  <c r="L93" i="36"/>
  <c r="L92" i="36"/>
  <c r="W99" i="36" s="1"/>
  <c r="L91" i="36"/>
  <c r="L90" i="36"/>
  <c r="C45" i="36"/>
  <c r="U104" i="36" s="1"/>
  <c r="C44" i="36"/>
  <c r="C43" i="36"/>
  <c r="C46" i="36"/>
  <c r="F90" i="36"/>
  <c r="F93" i="36"/>
  <c r="F91" i="36"/>
  <c r="F92" i="36"/>
  <c r="X98" i="36" s="1"/>
  <c r="AK46" i="36"/>
  <c r="AK45" i="36"/>
  <c r="R109" i="36" s="1"/>
  <c r="AK44" i="36"/>
  <c r="AK43" i="36"/>
  <c r="Q93" i="36"/>
  <c r="Q92" i="36"/>
  <c r="U100" i="36" s="1"/>
  <c r="Q91" i="36"/>
  <c r="Q90" i="36"/>
  <c r="I46" i="36"/>
  <c r="I45" i="36"/>
  <c r="R105" i="36" s="1"/>
  <c r="I44" i="36"/>
  <c r="I43" i="36"/>
  <c r="W46" i="36"/>
  <c r="W45" i="36"/>
  <c r="R107" i="36" s="1"/>
  <c r="W44" i="36"/>
  <c r="W43" i="36"/>
  <c r="D46" i="36"/>
  <c r="D45" i="36"/>
  <c r="V104" i="36" s="1"/>
  <c r="D44" i="36"/>
  <c r="D43" i="36"/>
  <c r="S90" i="36"/>
  <c r="S92" i="36"/>
  <c r="W100" i="36" s="1"/>
  <c r="S93" i="36"/>
  <c r="S91" i="36"/>
  <c r="L46" i="36"/>
  <c r="L45" i="36"/>
  <c r="W105" i="36" s="1"/>
  <c r="L44" i="36"/>
  <c r="L43" i="36"/>
  <c r="Y90" i="36"/>
  <c r="Y93" i="36"/>
  <c r="Y92" i="36"/>
  <c r="V101" i="36" s="1"/>
  <c r="Y91" i="36"/>
  <c r="AG43" i="36"/>
  <c r="AG45" i="36"/>
  <c r="W108" i="36" s="1"/>
  <c r="AG46" i="36"/>
  <c r="AG44" i="36"/>
  <c r="AN46" i="36"/>
  <c r="AN45" i="36"/>
  <c r="W109" i="36" s="1"/>
  <c r="AN44" i="36"/>
  <c r="AN43" i="36"/>
  <c r="P90" i="36"/>
  <c r="P91" i="36"/>
  <c r="P92" i="36"/>
  <c r="R100" i="36" s="1"/>
  <c r="P93" i="36"/>
  <c r="J46" i="36"/>
  <c r="J45" i="36"/>
  <c r="U105" i="36" s="1"/>
  <c r="V112" i="36" s="1" a="1"/>
  <c r="J44" i="36"/>
  <c r="J43" i="36"/>
  <c r="W93" i="36"/>
  <c r="W92" i="36"/>
  <c r="R101" i="36" s="1"/>
  <c r="W91" i="36"/>
  <c r="W90" i="36"/>
  <c r="AN93" i="36"/>
  <c r="AN92" i="36"/>
  <c r="W103" i="36" s="1"/>
  <c r="AN91" i="36"/>
  <c r="AN90" i="36"/>
  <c r="AH46" i="36"/>
  <c r="AH45" i="36"/>
  <c r="X108" i="36" s="1"/>
  <c r="AH44" i="36"/>
  <c r="AH43" i="36"/>
  <c r="M46" i="36"/>
  <c r="M45" i="36"/>
  <c r="X105" i="36" s="1"/>
  <c r="M44" i="36"/>
  <c r="M43" i="36"/>
  <c r="K43" i="36"/>
  <c r="K46" i="36"/>
  <c r="K45" i="36"/>
  <c r="V105" i="36" s="1"/>
  <c r="K44" i="36"/>
  <c r="X91" i="36"/>
  <c r="X90" i="36"/>
  <c r="X92" i="36"/>
  <c r="U101" i="36" s="1"/>
  <c r="X93" i="36"/>
  <c r="AD43" i="36"/>
  <c r="AD45" i="36"/>
  <c r="R108" i="36" s="1"/>
  <c r="AD44" i="36"/>
  <c r="AD46" i="36"/>
  <c r="AL44" i="36"/>
  <c r="AL43" i="36"/>
  <c r="AL46" i="36"/>
  <c r="AL45" i="36"/>
  <c r="U109" i="36" s="1"/>
  <c r="F45" i="36"/>
  <c r="X104" i="36" s="1"/>
  <c r="F43" i="36"/>
  <c r="F44" i="36"/>
  <c r="F46" i="36"/>
  <c r="AA92" i="36"/>
  <c r="X101" i="36" s="1"/>
  <c r="AA91" i="36"/>
  <c r="AA90" i="36"/>
  <c r="AA93" i="36"/>
  <c r="P44" i="36"/>
  <c r="P43" i="36"/>
  <c r="P46" i="36"/>
  <c r="P45" i="36"/>
  <c r="R106" i="36" s="1"/>
  <c r="AM43" i="35"/>
  <c r="V109" i="35"/>
  <c r="R90" i="35"/>
  <c r="V100" i="35"/>
  <c r="C43" i="35"/>
  <c r="U104" i="35"/>
  <c r="V108" i="35"/>
  <c r="AF43" i="35"/>
  <c r="J90" i="35"/>
  <c r="U99" i="35"/>
  <c r="W109" i="35"/>
  <c r="AN43" i="35"/>
  <c r="AD43" i="35"/>
  <c r="R108" i="35"/>
  <c r="V101" i="35"/>
  <c r="Y90" i="35"/>
  <c r="AO90" i="35"/>
  <c r="X103" i="35"/>
  <c r="R99" i="35"/>
  <c r="I90" i="35"/>
  <c r="AN90" i="35"/>
  <c r="W103" i="35"/>
  <c r="S43" i="35"/>
  <c r="W106" i="35"/>
  <c r="I43" i="35"/>
  <c r="R105" i="35"/>
  <c r="X109" i="35"/>
  <c r="AO43" i="35"/>
  <c r="AK43" i="35"/>
  <c r="R109" i="35"/>
  <c r="X90" i="35"/>
  <c r="U101" i="35"/>
  <c r="Q43" i="35"/>
  <c r="U106" i="35"/>
  <c r="U105" i="35"/>
  <c r="J43" i="35"/>
  <c r="U109" i="35"/>
  <c r="AL43" i="35"/>
  <c r="X106" i="35"/>
  <c r="T43" i="35"/>
  <c r="V103" i="35"/>
  <c r="AM90" i="35"/>
  <c r="W108" i="35"/>
  <c r="AG43" i="35"/>
  <c r="U103" i="35"/>
  <c r="AL90" i="35"/>
  <c r="W101" i="35"/>
  <c r="Z90" i="35"/>
  <c r="AH90" i="35"/>
  <c r="X102" i="35"/>
  <c r="U102" i="35"/>
  <c r="AE90" i="35"/>
  <c r="L43" i="35"/>
  <c r="W105" i="35"/>
  <c r="S90" i="35"/>
  <c r="W100" i="35"/>
  <c r="X104" i="35"/>
  <c r="F43" i="35"/>
  <c r="P43" i="35"/>
  <c r="R106" i="35"/>
  <c r="M90" i="35"/>
  <c r="X99" i="35"/>
  <c r="V102" i="35"/>
  <c r="AF90" i="35"/>
  <c r="R107" i="35"/>
  <c r="W43" i="35"/>
  <c r="U98" i="35"/>
  <c r="C90" i="35"/>
  <c r="R100" i="35"/>
  <c r="P90" i="35"/>
  <c r="X98" i="35"/>
  <c r="F90" i="35"/>
  <c r="V105" i="35"/>
  <c r="K43" i="35"/>
  <c r="W98" i="35"/>
  <c r="E90" i="35"/>
  <c r="AG90" i="35"/>
  <c r="W102" i="35"/>
  <c r="W90" i="35"/>
  <c r="R101" i="35"/>
  <c r="X105" i="35"/>
  <c r="M43" i="35"/>
  <c r="R102" i="35"/>
  <c r="AD90" i="35"/>
  <c r="U107" i="35"/>
  <c r="X43" i="35"/>
  <c r="Y43" i="35"/>
  <c r="V107" i="35"/>
  <c r="V98" i="35"/>
  <c r="D90" i="35"/>
  <c r="AH43" i="35"/>
  <c r="X108" i="35"/>
  <c r="Z43" i="35"/>
  <c r="W107" i="35"/>
  <c r="B90" i="35"/>
  <c r="R98" i="35"/>
  <c r="R112" i="35" s="1" a="1"/>
  <c r="R112" i="35" s="1"/>
  <c r="V106" i="35"/>
  <c r="R43" i="35"/>
  <c r="U108" i="35"/>
  <c r="AE43" i="35"/>
  <c r="AK90" i="35"/>
  <c r="R103" i="35"/>
  <c r="K90" i="35"/>
  <c r="V99" i="35"/>
  <c r="U100" i="35"/>
  <c r="Q90" i="35"/>
  <c r="R104" i="35"/>
  <c r="B43" i="35"/>
  <c r="X101" i="35"/>
  <c r="AA90" i="35"/>
  <c r="AA43" i="35"/>
  <c r="X107" i="35"/>
  <c r="V117" i="36" l="1"/>
  <c r="V116" i="36"/>
  <c r="V115" i="36"/>
  <c r="V114" i="36"/>
  <c r="V113" i="36"/>
  <c r="V112" i="36"/>
  <c r="V123" i="36"/>
  <c r="V121" i="36"/>
  <c r="V119" i="36"/>
  <c r="V118" i="36"/>
  <c r="V122" i="36"/>
  <c r="V120" i="36"/>
  <c r="X112" i="36" a="1"/>
  <c r="U112" i="36" a="1"/>
  <c r="W112" i="36" a="1"/>
  <c r="R112" i="36" a="1"/>
  <c r="W112" i="35" a="1"/>
  <c r="W112" i="35" s="1"/>
  <c r="V112" i="35" a="1"/>
  <c r="V112" i="35" s="1"/>
  <c r="U112" i="35" a="1"/>
  <c r="U112" i="35" s="1"/>
  <c r="X112" i="35" a="1"/>
  <c r="X112" i="35" s="1"/>
  <c r="R123" i="36" l="1"/>
  <c r="R122" i="36"/>
  <c r="R121" i="36"/>
  <c r="R114" i="36"/>
  <c r="R112" i="36"/>
  <c r="R120" i="36"/>
  <c r="R119" i="36"/>
  <c r="R118" i="36"/>
  <c r="R117" i="36"/>
  <c r="R116" i="36"/>
  <c r="R115" i="36"/>
  <c r="R113" i="36"/>
  <c r="W120" i="36"/>
  <c r="W119" i="36"/>
  <c r="W118" i="36"/>
  <c r="W117" i="36"/>
  <c r="W116" i="36"/>
  <c r="W115" i="36"/>
  <c r="W114" i="36"/>
  <c r="W113" i="36"/>
  <c r="W112" i="36"/>
  <c r="W123" i="36"/>
  <c r="W122" i="36"/>
  <c r="W121" i="36"/>
  <c r="X123" i="36"/>
  <c r="X122" i="36"/>
  <c r="X121" i="36"/>
  <c r="X120" i="36"/>
  <c r="X119" i="36"/>
  <c r="X118" i="36"/>
  <c r="X117" i="36"/>
  <c r="X116" i="36"/>
  <c r="X115" i="36"/>
  <c r="X114" i="36"/>
  <c r="X113" i="36"/>
  <c r="X112" i="36"/>
  <c r="U114" i="36"/>
  <c r="U113" i="36"/>
  <c r="U112" i="36"/>
  <c r="U116" i="36"/>
  <c r="U123" i="36"/>
  <c r="U118" i="36"/>
  <c r="U115" i="36"/>
  <c r="U122" i="36"/>
  <c r="U117" i="36"/>
  <c r="U121" i="36"/>
  <c r="U120" i="36"/>
  <c r="U119" i="36"/>
  <c r="AN87" i="34"/>
  <c r="AM87" i="34"/>
  <c r="AO87" i="34" s="1"/>
  <c r="AG87" i="34"/>
  <c r="AF87" i="34"/>
  <c r="AH87" i="34" s="1"/>
  <c r="Z87" i="34"/>
  <c r="Y87" i="34"/>
  <c r="AA87" i="34" s="1"/>
  <c r="T87" i="34"/>
  <c r="S87" i="34"/>
  <c r="R87" i="34"/>
  <c r="L87" i="34"/>
  <c r="K87" i="34"/>
  <c r="M87" i="34" s="1"/>
  <c r="E87" i="34"/>
  <c r="D87" i="34"/>
  <c r="F87" i="34" s="1"/>
  <c r="AN86" i="34"/>
  <c r="AM86" i="34"/>
  <c r="AO86" i="34" s="1"/>
  <c r="AL86" i="34"/>
  <c r="AH86" i="34"/>
  <c r="AG86" i="34"/>
  <c r="AF86" i="34"/>
  <c r="Z86" i="34"/>
  <c r="Y86" i="34"/>
  <c r="AA86" i="34" s="1"/>
  <c r="S86" i="34"/>
  <c r="R86" i="34"/>
  <c r="T86" i="34" s="1"/>
  <c r="L86" i="34"/>
  <c r="K86" i="34"/>
  <c r="M86" i="34" s="1"/>
  <c r="J86" i="34"/>
  <c r="F86" i="34"/>
  <c r="E86" i="34"/>
  <c r="D86" i="34"/>
  <c r="AN85" i="34"/>
  <c r="AM85" i="34"/>
  <c r="AO85" i="34" s="1"/>
  <c r="AG85" i="34"/>
  <c r="AF85" i="34"/>
  <c r="AH85" i="34" s="1"/>
  <c r="Z85" i="34"/>
  <c r="Y85" i="34"/>
  <c r="AA85" i="34" s="1"/>
  <c r="X85" i="34"/>
  <c r="T85" i="34"/>
  <c r="S85" i="34"/>
  <c r="R85" i="34"/>
  <c r="L85" i="34"/>
  <c r="K85" i="34"/>
  <c r="M85" i="34" s="1"/>
  <c r="E85" i="34"/>
  <c r="D85" i="34"/>
  <c r="F85" i="34" s="1"/>
  <c r="AN84" i="34"/>
  <c r="AM84" i="34"/>
  <c r="AO84" i="34" s="1"/>
  <c r="AH84" i="34"/>
  <c r="AH90" i="34" s="1" a="1"/>
  <c r="AG84" i="34"/>
  <c r="AG90" i="34" s="1" a="1"/>
  <c r="AF84" i="34"/>
  <c r="Z84" i="34"/>
  <c r="Y84" i="34"/>
  <c r="AA84" i="34" s="1"/>
  <c r="S84" i="34"/>
  <c r="R84" i="34"/>
  <c r="T84" i="34" s="1"/>
  <c r="L84" i="34"/>
  <c r="K84" i="34"/>
  <c r="J84" i="34"/>
  <c r="F84" i="34"/>
  <c r="E84" i="34"/>
  <c r="D84" i="34"/>
  <c r="AL81" i="34"/>
  <c r="AK81" i="34"/>
  <c r="AE81" i="34"/>
  <c r="AD81" i="34"/>
  <c r="X81" i="34"/>
  <c r="W81" i="34"/>
  <c r="Q81" i="34"/>
  <c r="P81" i="34"/>
  <c r="J81" i="34"/>
  <c r="I81" i="34"/>
  <c r="C81" i="34"/>
  <c r="B81" i="34"/>
  <c r="C85" i="34" s="1"/>
  <c r="AK80" i="34"/>
  <c r="AD80" i="34"/>
  <c r="W80" i="34"/>
  <c r="P80" i="34"/>
  <c r="I80" i="34"/>
  <c r="B80" i="34"/>
  <c r="AL76" i="34"/>
  <c r="AK76" i="34"/>
  <c r="AE76" i="34"/>
  <c r="AD76" i="34"/>
  <c r="X76" i="34"/>
  <c r="W76" i="34"/>
  <c r="Q76" i="34"/>
  <c r="P76" i="34"/>
  <c r="J76" i="34"/>
  <c r="I76" i="34"/>
  <c r="C76" i="34"/>
  <c r="B76" i="34"/>
  <c r="C87" i="34" s="1"/>
  <c r="AK75" i="34"/>
  <c r="AD75" i="34"/>
  <c r="W75" i="34"/>
  <c r="P75" i="34"/>
  <c r="I75" i="34"/>
  <c r="B75" i="34"/>
  <c r="AL70" i="34"/>
  <c r="AK70" i="34"/>
  <c r="AE70" i="34"/>
  <c r="AD70" i="34"/>
  <c r="X70" i="34"/>
  <c r="W70" i="34"/>
  <c r="Q70" i="34"/>
  <c r="P70" i="34"/>
  <c r="J70" i="34"/>
  <c r="I70" i="34"/>
  <c r="J87" i="34" s="1"/>
  <c r="C70" i="34"/>
  <c r="B70" i="34"/>
  <c r="AK69" i="34"/>
  <c r="AD69" i="34"/>
  <c r="W69" i="34"/>
  <c r="P69" i="34"/>
  <c r="I69" i="34"/>
  <c r="B69" i="34"/>
  <c r="AL65" i="34"/>
  <c r="AK65" i="34"/>
  <c r="AE65" i="34"/>
  <c r="AD65" i="34"/>
  <c r="X65" i="34"/>
  <c r="W65" i="34"/>
  <c r="X84" i="34" s="1"/>
  <c r="Q65" i="34"/>
  <c r="Q86" i="34" s="1"/>
  <c r="P65" i="34"/>
  <c r="Q84" i="34" s="1"/>
  <c r="J65" i="34"/>
  <c r="I65" i="34"/>
  <c r="C65" i="34"/>
  <c r="B65" i="34"/>
  <c r="AK64" i="34"/>
  <c r="AD64" i="34"/>
  <c r="W64" i="34"/>
  <c r="P64" i="34"/>
  <c r="I64" i="34"/>
  <c r="B64" i="34"/>
  <c r="AL59" i="34"/>
  <c r="AL87" i="34" s="1"/>
  <c r="AK59" i="34"/>
  <c r="AE59" i="34"/>
  <c r="AE87" i="34" s="1"/>
  <c r="AD59" i="34"/>
  <c r="AE86" i="34" s="1"/>
  <c r="X59" i="34"/>
  <c r="X87" i="34" s="1"/>
  <c r="W59" i="34"/>
  <c r="X86" i="34" s="1"/>
  <c r="Q59" i="34"/>
  <c r="Q87" i="34" s="1"/>
  <c r="P59" i="34"/>
  <c r="J59" i="34"/>
  <c r="I59" i="34"/>
  <c r="C59" i="34"/>
  <c r="B59" i="34"/>
  <c r="C86" i="34" s="1"/>
  <c r="AK58" i="34"/>
  <c r="AD58" i="34"/>
  <c r="W58" i="34"/>
  <c r="P58" i="34"/>
  <c r="I58" i="34"/>
  <c r="B58" i="34"/>
  <c r="AL54" i="34"/>
  <c r="AL85" i="34" s="1"/>
  <c r="AK54" i="34"/>
  <c r="AL84" i="34" s="1"/>
  <c r="AE54" i="34"/>
  <c r="AE85" i="34" s="1"/>
  <c r="AD54" i="34"/>
  <c r="AE84" i="34" s="1"/>
  <c r="X54" i="34"/>
  <c r="W54" i="34"/>
  <c r="Q54" i="34"/>
  <c r="Q85" i="34" s="1"/>
  <c r="P54" i="34"/>
  <c r="J54" i="34"/>
  <c r="J85" i="34" s="1"/>
  <c r="I54" i="34"/>
  <c r="C54" i="34"/>
  <c r="B54" i="34"/>
  <c r="C84" i="34" s="1"/>
  <c r="AK53" i="34"/>
  <c r="AD53" i="34"/>
  <c r="W53" i="34"/>
  <c r="P53" i="34"/>
  <c r="I53" i="34"/>
  <c r="B53" i="34"/>
  <c r="AN40" i="34"/>
  <c r="AM40" i="34"/>
  <c r="AO40" i="34" s="1"/>
  <c r="AL40" i="34"/>
  <c r="AH40" i="34"/>
  <c r="AG40" i="34"/>
  <c r="AF40" i="34"/>
  <c r="Z40" i="34"/>
  <c r="Y40" i="34"/>
  <c r="AA40" i="34" s="1"/>
  <c r="S40" i="34"/>
  <c r="R40" i="34"/>
  <c r="T40" i="34" s="1"/>
  <c r="L40" i="34"/>
  <c r="K40" i="34"/>
  <c r="M40" i="34" s="1"/>
  <c r="J40" i="34"/>
  <c r="F40" i="34"/>
  <c r="E40" i="34"/>
  <c r="D40" i="34"/>
  <c r="AN39" i="34"/>
  <c r="AM39" i="34"/>
  <c r="AO39" i="34" s="1"/>
  <c r="AG39" i="34"/>
  <c r="AF39" i="34"/>
  <c r="AH39" i="34" s="1"/>
  <c r="Z39" i="34"/>
  <c r="Y39" i="34"/>
  <c r="AA39" i="34" s="1"/>
  <c r="X39" i="34"/>
  <c r="T39" i="34"/>
  <c r="S39" i="34"/>
  <c r="R39" i="34"/>
  <c r="L39" i="34"/>
  <c r="K39" i="34"/>
  <c r="M39" i="34" s="1"/>
  <c r="E39" i="34"/>
  <c r="D39" i="34"/>
  <c r="F39" i="34" s="1"/>
  <c r="AN38" i="34"/>
  <c r="AM38" i="34"/>
  <c r="AO38" i="34" s="1"/>
  <c r="AH38" i="34"/>
  <c r="AG38" i="34"/>
  <c r="AF38" i="34"/>
  <c r="Z38" i="34"/>
  <c r="Y38" i="34"/>
  <c r="AA38" i="34" s="1"/>
  <c r="X38" i="34"/>
  <c r="S38" i="34"/>
  <c r="R38" i="34"/>
  <c r="T38" i="34" s="1"/>
  <c r="L38" i="34"/>
  <c r="K38" i="34"/>
  <c r="M38" i="34" s="1"/>
  <c r="J38" i="34"/>
  <c r="F38" i="34"/>
  <c r="E38" i="34"/>
  <c r="D38" i="34"/>
  <c r="AN37" i="34"/>
  <c r="AM37" i="34"/>
  <c r="AO37" i="34" s="1"/>
  <c r="AG37" i="34"/>
  <c r="AF37" i="34"/>
  <c r="AH37" i="34" s="1"/>
  <c r="Z37" i="34"/>
  <c r="Y37" i="34"/>
  <c r="AA37" i="34" s="1"/>
  <c r="T37" i="34"/>
  <c r="S37" i="34"/>
  <c r="R37" i="34"/>
  <c r="L37" i="34"/>
  <c r="K37" i="34"/>
  <c r="M37" i="34" s="1"/>
  <c r="E37" i="34"/>
  <c r="E43" i="34" s="1" a="1"/>
  <c r="D37" i="34"/>
  <c r="F37" i="34" s="1"/>
  <c r="AL34" i="34"/>
  <c r="AK34" i="34"/>
  <c r="AE34" i="34"/>
  <c r="AD34" i="34"/>
  <c r="X34" i="34"/>
  <c r="X37" i="34" s="1"/>
  <c r="W34" i="34"/>
  <c r="Q34" i="34"/>
  <c r="P34" i="34"/>
  <c r="J34" i="34"/>
  <c r="I34" i="34"/>
  <c r="C34" i="34"/>
  <c r="B34" i="34"/>
  <c r="AK33" i="34"/>
  <c r="AD33" i="34"/>
  <c r="W33" i="34"/>
  <c r="P33" i="34"/>
  <c r="I33" i="34"/>
  <c r="B33" i="34"/>
  <c r="AL29" i="34"/>
  <c r="AK29" i="34"/>
  <c r="AL38" i="34" s="1"/>
  <c r="AE29" i="34"/>
  <c r="AE39" i="34" s="1"/>
  <c r="AD29" i="34"/>
  <c r="X29" i="34"/>
  <c r="W29" i="34"/>
  <c r="Q29" i="34"/>
  <c r="P29" i="34"/>
  <c r="J29" i="34"/>
  <c r="I29" i="34"/>
  <c r="C29" i="34"/>
  <c r="B29" i="34"/>
  <c r="AK28" i="34"/>
  <c r="AD28" i="34"/>
  <c r="W28" i="34"/>
  <c r="P28" i="34"/>
  <c r="I28" i="34"/>
  <c r="B28" i="34"/>
  <c r="AL23" i="34"/>
  <c r="AL39" i="34" s="1"/>
  <c r="AK23" i="34"/>
  <c r="AE23" i="34"/>
  <c r="AD23" i="34"/>
  <c r="X23" i="34"/>
  <c r="W23" i="34"/>
  <c r="Q23" i="34"/>
  <c r="P23" i="34"/>
  <c r="J23" i="34"/>
  <c r="I23" i="34"/>
  <c r="C23" i="34"/>
  <c r="B23" i="34"/>
  <c r="AK22" i="34"/>
  <c r="AD22" i="34"/>
  <c r="W22" i="34"/>
  <c r="P22" i="34"/>
  <c r="I22" i="34"/>
  <c r="B22" i="34"/>
  <c r="AL18" i="34"/>
  <c r="AK18" i="34"/>
  <c r="AE18" i="34"/>
  <c r="AD18" i="34"/>
  <c r="X18" i="34"/>
  <c r="W18" i="34"/>
  <c r="X40" i="34" s="1"/>
  <c r="Q18" i="34"/>
  <c r="P18" i="34"/>
  <c r="Q40" i="34" s="1"/>
  <c r="J18" i="34"/>
  <c r="I18" i="34"/>
  <c r="C18" i="34"/>
  <c r="B18" i="34"/>
  <c r="AK17" i="34"/>
  <c r="AD17" i="34"/>
  <c r="W17" i="34"/>
  <c r="P17" i="34"/>
  <c r="I17" i="34"/>
  <c r="B17" i="34"/>
  <c r="AL12" i="34"/>
  <c r="AK12" i="34"/>
  <c r="AE12" i="34"/>
  <c r="AE40" i="34" s="1"/>
  <c r="AD12" i="34"/>
  <c r="X12" i="34"/>
  <c r="W12" i="34"/>
  <c r="Q12" i="34"/>
  <c r="P12" i="34"/>
  <c r="Q39" i="34" s="1"/>
  <c r="J12" i="34"/>
  <c r="I12" i="34"/>
  <c r="J39" i="34" s="1"/>
  <c r="C12" i="34"/>
  <c r="C40" i="34" s="1"/>
  <c r="B12" i="34"/>
  <c r="C39" i="34" s="1"/>
  <c r="AK11" i="34"/>
  <c r="AD11" i="34"/>
  <c r="W11" i="34"/>
  <c r="P11" i="34"/>
  <c r="I11" i="34"/>
  <c r="B11" i="34"/>
  <c r="AL7" i="34"/>
  <c r="AK7" i="34"/>
  <c r="AL37" i="34" s="1"/>
  <c r="AE7" i="34"/>
  <c r="AE38" i="34" s="1"/>
  <c r="AD7" i="34"/>
  <c r="AE37" i="34" s="1"/>
  <c r="X7" i="34"/>
  <c r="W7" i="34"/>
  <c r="Q7" i="34"/>
  <c r="Q38" i="34" s="1"/>
  <c r="P7" i="34"/>
  <c r="Q37" i="34" s="1"/>
  <c r="J7" i="34"/>
  <c r="I7" i="34"/>
  <c r="J37" i="34" s="1"/>
  <c r="C7" i="34"/>
  <c r="C38" i="34" s="1"/>
  <c r="B7" i="34"/>
  <c r="C37" i="34" s="1"/>
  <c r="AK6" i="34"/>
  <c r="AD6" i="34"/>
  <c r="W6" i="34"/>
  <c r="P6" i="34"/>
  <c r="I6" i="34"/>
  <c r="B6" i="34"/>
  <c r="B90" i="34" l="1" a="1"/>
  <c r="D90" i="34" a="1"/>
  <c r="E90" i="34" a="1"/>
  <c r="C90" i="34" a="1"/>
  <c r="AH90" i="34"/>
  <c r="X102" i="34"/>
  <c r="AG90" i="34"/>
  <c r="W102" i="34"/>
  <c r="W43" i="34" a="1"/>
  <c r="AA43" i="34" a="1"/>
  <c r="Y43" i="34" a="1"/>
  <c r="X43" i="34" a="1"/>
  <c r="T43" i="34" a="1"/>
  <c r="F90" i="34" a="1"/>
  <c r="AF90" i="34" a="1"/>
  <c r="AE90" i="34" a="1"/>
  <c r="AD90" i="34" a="1"/>
  <c r="J90" i="34" a="1"/>
  <c r="AO43" i="34" a="1"/>
  <c r="K90" i="34" a="1"/>
  <c r="E43" i="34"/>
  <c r="W104" i="34"/>
  <c r="AF43" i="34" a="1"/>
  <c r="AD43" i="34" a="1"/>
  <c r="AG43" i="34" a="1"/>
  <c r="AE43" i="34" a="1"/>
  <c r="AL43" i="34" a="1"/>
  <c r="AK43" i="34" a="1"/>
  <c r="AO90" i="34" a="1"/>
  <c r="AL90" i="34" a="1"/>
  <c r="R90" i="34" a="1"/>
  <c r="Q90" i="34" a="1"/>
  <c r="P90" i="34" a="1"/>
  <c r="D43" i="34" a="1"/>
  <c r="C43" i="34" a="1"/>
  <c r="B43" i="34" a="1"/>
  <c r="X90" i="34" a="1"/>
  <c r="W90" i="34" a="1"/>
  <c r="Z90" i="34" a="1"/>
  <c r="Y90" i="34" a="1"/>
  <c r="AN43" i="34" a="1"/>
  <c r="T90" i="34" a="1"/>
  <c r="AH43" i="34" a="1"/>
  <c r="Z43" i="34" a="1"/>
  <c r="AN90" i="34" a="1"/>
  <c r="AM90" i="34" a="1"/>
  <c r="AK90" i="34" a="1"/>
  <c r="L90" i="34" a="1"/>
  <c r="S90" i="34" a="1"/>
  <c r="AA90" i="34" a="1"/>
  <c r="M43" i="34" a="1"/>
  <c r="I43" i="34" a="1"/>
  <c r="L43" i="34" a="1"/>
  <c r="K43" i="34" a="1"/>
  <c r="J43" i="34" a="1"/>
  <c r="R43" i="34" a="1"/>
  <c r="P43" i="34" a="1"/>
  <c r="Q43" i="34" a="1"/>
  <c r="S43" i="34" a="1"/>
  <c r="F43" i="34" a="1"/>
  <c r="M84" i="34"/>
  <c r="M90" i="34" s="1" a="1"/>
  <c r="I90" i="34" a="1"/>
  <c r="AM43" i="34" a="1"/>
  <c r="L90" i="34" l="1"/>
  <c r="W99" i="34"/>
  <c r="U100" i="34"/>
  <c r="Q90" i="34"/>
  <c r="U102" i="34"/>
  <c r="AE90" i="34"/>
  <c r="AN90" i="34"/>
  <c r="W103" i="34"/>
  <c r="AO90" i="34"/>
  <c r="X103" i="34"/>
  <c r="T43" i="34"/>
  <c r="X106" i="34"/>
  <c r="AF90" i="34"/>
  <c r="V102" i="34"/>
  <c r="Z43" i="34"/>
  <c r="W107" i="34"/>
  <c r="R109" i="34"/>
  <c r="AK43" i="34"/>
  <c r="U107" i="34"/>
  <c r="X43" i="34"/>
  <c r="AM43" i="34"/>
  <c r="V109" i="34"/>
  <c r="S43" i="34"/>
  <c r="W106" i="34"/>
  <c r="AH43" i="34"/>
  <c r="X108" i="34"/>
  <c r="U109" i="34"/>
  <c r="AL43" i="34"/>
  <c r="V107" i="34"/>
  <c r="Y43" i="34"/>
  <c r="Q43" i="34"/>
  <c r="U106" i="34"/>
  <c r="T90" i="34"/>
  <c r="X100" i="34"/>
  <c r="U108" i="34"/>
  <c r="AE43" i="34"/>
  <c r="AA43" i="34"/>
  <c r="X107" i="34"/>
  <c r="P43" i="34"/>
  <c r="R106" i="34"/>
  <c r="AN43" i="34"/>
  <c r="W109" i="34"/>
  <c r="W108" i="34"/>
  <c r="AG43" i="34"/>
  <c r="R107" i="34"/>
  <c r="W43" i="34"/>
  <c r="X98" i="34"/>
  <c r="X112" i="34" s="1" a="1"/>
  <c r="X112" i="34" s="1"/>
  <c r="F90" i="34"/>
  <c r="Y90" i="34"/>
  <c r="V101" i="34"/>
  <c r="AD43" i="34"/>
  <c r="R108" i="34"/>
  <c r="U103" i="34"/>
  <c r="AL90" i="34"/>
  <c r="W101" i="34"/>
  <c r="Z90" i="34"/>
  <c r="V108" i="34"/>
  <c r="AF43" i="34"/>
  <c r="R99" i="34"/>
  <c r="I90" i="34"/>
  <c r="V105" i="34"/>
  <c r="K43" i="34"/>
  <c r="W90" i="34"/>
  <c r="R101" i="34"/>
  <c r="AK90" i="34"/>
  <c r="R103" i="34"/>
  <c r="L43" i="34"/>
  <c r="W105" i="34"/>
  <c r="X90" i="34"/>
  <c r="U101" i="34"/>
  <c r="F43" i="34"/>
  <c r="X104" i="34"/>
  <c r="I43" i="34"/>
  <c r="R105" i="34"/>
  <c r="R104" i="34"/>
  <c r="B43" i="34"/>
  <c r="K90" i="34"/>
  <c r="V99" i="34"/>
  <c r="U98" i="34"/>
  <c r="C90" i="34"/>
  <c r="M90" i="34"/>
  <c r="X99" i="34"/>
  <c r="U105" i="34"/>
  <c r="J43" i="34"/>
  <c r="M43" i="34"/>
  <c r="X105" i="34"/>
  <c r="U104" i="34"/>
  <c r="C43" i="34"/>
  <c r="AO43" i="34"/>
  <c r="X109" i="34"/>
  <c r="W98" i="34"/>
  <c r="E90" i="34"/>
  <c r="R90" i="34"/>
  <c r="V100" i="34"/>
  <c r="R43" i="34"/>
  <c r="V106" i="34"/>
  <c r="X101" i="34"/>
  <c r="AA90" i="34"/>
  <c r="D43" i="34"/>
  <c r="V104" i="34"/>
  <c r="J90" i="34"/>
  <c r="U99" i="34"/>
  <c r="V98" i="34"/>
  <c r="D90" i="34"/>
  <c r="V103" i="34"/>
  <c r="AM90" i="34"/>
  <c r="S90" i="34"/>
  <c r="W100" i="34"/>
  <c r="R100" i="34"/>
  <c r="P90" i="34"/>
  <c r="R102" i="34"/>
  <c r="AD90" i="34"/>
  <c r="B90" i="34"/>
  <c r="R98" i="34"/>
  <c r="W112" i="34" l="1" a="1"/>
  <c r="W112" i="34" s="1"/>
  <c r="U112" i="34" a="1"/>
  <c r="U112" i="34" s="1"/>
  <c r="R112" i="34" a="1"/>
  <c r="R112" i="34" s="1"/>
  <c r="V112" i="34" a="1"/>
  <c r="V112" i="34" s="1"/>
  <c r="D265" i="30" l="1"/>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H231" i="30"/>
  <c r="G231" i="30"/>
  <c r="F231" i="30"/>
  <c r="E231" i="30"/>
  <c r="H230" i="30"/>
  <c r="G230" i="30"/>
  <c r="F230" i="30"/>
  <c r="E230" i="30"/>
  <c r="H229" i="30"/>
  <c r="G229" i="30"/>
  <c r="F229" i="30"/>
  <c r="E229" i="30"/>
  <c r="H228" i="30"/>
  <c r="G228" i="30"/>
  <c r="F228" i="30"/>
  <c r="E228" i="30"/>
  <c r="H227" i="30"/>
  <c r="G227" i="30"/>
  <c r="F227" i="30"/>
  <c r="E227" i="30"/>
  <c r="H226" i="30"/>
  <c r="G226" i="30"/>
  <c r="F226" i="30"/>
  <c r="E226" i="30"/>
  <c r="H225" i="30"/>
  <c r="G225" i="30"/>
  <c r="F225" i="30"/>
  <c r="E225" i="30"/>
  <c r="H224" i="30"/>
  <c r="G224" i="30"/>
  <c r="F224" i="30"/>
  <c r="E224" i="30"/>
  <c r="H223" i="30"/>
  <c r="G223" i="30"/>
  <c r="F223" i="30"/>
  <c r="E223" i="30"/>
  <c r="H222" i="30"/>
  <c r="G222" i="30"/>
  <c r="F222" i="30"/>
  <c r="E222" i="30"/>
  <c r="H221" i="30"/>
  <c r="G221" i="30"/>
  <c r="F221" i="30"/>
  <c r="E221" i="30"/>
  <c r="H220" i="30"/>
  <c r="G220" i="30"/>
  <c r="F220" i="30"/>
  <c r="E220" i="30"/>
  <c r="H219" i="30"/>
  <c r="G219" i="30"/>
  <c r="F219" i="30"/>
  <c r="E219" i="30"/>
  <c r="H218" i="30"/>
  <c r="G218" i="30"/>
  <c r="F218" i="30"/>
  <c r="E218" i="30"/>
  <c r="H217" i="30"/>
  <c r="G217" i="30"/>
  <c r="F217" i="30"/>
  <c r="E217" i="30"/>
  <c r="H216" i="30"/>
  <c r="G216" i="30"/>
  <c r="F216" i="30"/>
  <c r="E216" i="30"/>
  <c r="H215" i="30"/>
  <c r="G215" i="30"/>
  <c r="F215" i="30"/>
  <c r="E215" i="30"/>
  <c r="H214" i="30"/>
  <c r="G214" i="30"/>
  <c r="F214" i="30"/>
  <c r="E214" i="30"/>
  <c r="H213" i="30"/>
  <c r="G213" i="30"/>
  <c r="F213" i="30"/>
  <c r="E213" i="30"/>
  <c r="H212" i="30"/>
  <c r="G212" i="30"/>
  <c r="F212" i="30"/>
  <c r="E212" i="30"/>
  <c r="H211" i="30"/>
  <c r="G211" i="30"/>
  <c r="F211" i="30"/>
  <c r="E211" i="30"/>
  <c r="H210" i="30"/>
  <c r="G210" i="30"/>
  <c r="F210" i="30"/>
  <c r="E210" i="30"/>
  <c r="H209" i="30"/>
  <c r="G209" i="30"/>
  <c r="F209" i="30"/>
  <c r="E209" i="30"/>
  <c r="H208" i="30"/>
  <c r="G208" i="30"/>
  <c r="F208" i="30"/>
  <c r="E208" i="30"/>
  <c r="H207" i="30"/>
  <c r="G207" i="30"/>
  <c r="F207" i="30"/>
  <c r="E207" i="30"/>
  <c r="H206" i="30"/>
  <c r="G206" i="30"/>
  <c r="F206" i="30"/>
  <c r="E206" i="30"/>
  <c r="H205" i="30"/>
  <c r="G205" i="30"/>
  <c r="F205" i="30"/>
  <c r="E205" i="30"/>
  <c r="H204" i="30"/>
  <c r="G204" i="30"/>
  <c r="F204" i="30"/>
  <c r="E204" i="30"/>
  <c r="H203" i="30"/>
  <c r="G203" i="30"/>
  <c r="F203" i="30"/>
  <c r="E203" i="30"/>
  <c r="H202" i="30"/>
  <c r="G202" i="30"/>
  <c r="F202" i="30"/>
  <c r="E202" i="30"/>
  <c r="H201" i="30"/>
  <c r="G201" i="30"/>
  <c r="F201" i="30"/>
  <c r="E201" i="30"/>
  <c r="H200" i="30"/>
  <c r="G200" i="30"/>
  <c r="F200" i="30"/>
  <c r="E200" i="30"/>
  <c r="H199" i="30"/>
  <c r="G199" i="30"/>
  <c r="F199" i="30"/>
  <c r="E199" i="30"/>
  <c r="H198" i="30"/>
  <c r="G198" i="30"/>
  <c r="F198" i="30"/>
  <c r="E198" i="30"/>
  <c r="H197" i="30"/>
  <c r="G197" i="30"/>
  <c r="F197" i="30"/>
  <c r="E197" i="30"/>
  <c r="H196" i="30"/>
  <c r="G196" i="30"/>
  <c r="F196" i="30"/>
  <c r="E196" i="30"/>
  <c r="H195" i="30"/>
  <c r="G195" i="30"/>
  <c r="F195" i="30"/>
  <c r="E195" i="30"/>
  <c r="H194" i="30"/>
  <c r="G194" i="30"/>
  <c r="F194" i="30"/>
  <c r="E194" i="30"/>
  <c r="H193" i="30"/>
  <c r="G193" i="30"/>
  <c r="F193" i="30"/>
  <c r="E193" i="30"/>
  <c r="H192" i="30"/>
  <c r="G192" i="30"/>
  <c r="F192" i="30"/>
  <c r="E192" i="30"/>
  <c r="H191" i="30"/>
  <c r="G191" i="30"/>
  <c r="F191" i="30"/>
  <c r="E191" i="30"/>
  <c r="H190" i="30"/>
  <c r="G190" i="30"/>
  <c r="F190" i="30"/>
  <c r="E190" i="30"/>
  <c r="H189" i="30"/>
  <c r="G189" i="30"/>
  <c r="F189" i="30"/>
  <c r="E189" i="30"/>
  <c r="H188" i="30"/>
  <c r="G188" i="30"/>
  <c r="F188" i="30"/>
  <c r="E188" i="30"/>
  <c r="H187" i="30"/>
  <c r="G187" i="30"/>
  <c r="F187" i="30"/>
  <c r="E187" i="30"/>
  <c r="H186" i="30"/>
  <c r="G186" i="30"/>
  <c r="F186" i="30"/>
  <c r="E186" i="30"/>
  <c r="H185" i="30"/>
  <c r="G185" i="30"/>
  <c r="F185" i="30"/>
  <c r="E185" i="30"/>
  <c r="H184" i="30"/>
  <c r="G184" i="30"/>
  <c r="F184" i="30"/>
  <c r="E184" i="30"/>
  <c r="H183" i="30"/>
  <c r="G183" i="30"/>
  <c r="F183" i="30"/>
  <c r="E183" i="30"/>
  <c r="H182" i="30"/>
  <c r="G182" i="30"/>
  <c r="F182" i="30"/>
  <c r="E182" i="30"/>
  <c r="H181" i="30"/>
  <c r="G181" i="30"/>
  <c r="F181" i="30"/>
  <c r="E181" i="30"/>
  <c r="H180" i="30"/>
  <c r="G180" i="30"/>
  <c r="F180" i="30"/>
  <c r="E180" i="30"/>
  <c r="H179" i="30"/>
  <c r="G179" i="30"/>
  <c r="F179" i="30"/>
  <c r="E179" i="30"/>
  <c r="H178" i="30"/>
  <c r="G178" i="30"/>
  <c r="F178" i="30"/>
  <c r="E178" i="30"/>
  <c r="H177" i="30"/>
  <c r="G177" i="30"/>
  <c r="F177" i="30"/>
  <c r="E177" i="30"/>
  <c r="H176" i="30"/>
  <c r="G176" i="30"/>
  <c r="F176" i="30"/>
  <c r="E176" i="30"/>
  <c r="H175" i="30"/>
  <c r="G175" i="30"/>
  <c r="F175" i="30"/>
  <c r="E175" i="30"/>
  <c r="H174" i="30"/>
  <c r="G174" i="30"/>
  <c r="F174" i="30"/>
  <c r="E174" i="30"/>
  <c r="H173" i="30"/>
  <c r="G173" i="30"/>
  <c r="F173" i="30"/>
  <c r="E173" i="30"/>
  <c r="H172" i="30"/>
  <c r="G172" i="30"/>
  <c r="F172" i="30"/>
  <c r="E172" i="30"/>
  <c r="H171" i="30"/>
  <c r="G171" i="30"/>
  <c r="F171" i="30"/>
  <c r="E171" i="30"/>
  <c r="H170" i="30"/>
  <c r="G170" i="30"/>
  <c r="F170" i="30"/>
  <c r="E170" i="30"/>
  <c r="H169" i="30"/>
  <c r="G169" i="30"/>
  <c r="F169" i="30"/>
  <c r="E169" i="30"/>
  <c r="H168" i="30"/>
  <c r="G168" i="30"/>
  <c r="F168" i="30"/>
  <c r="E168" i="30"/>
  <c r="H167" i="30"/>
  <c r="G167" i="30"/>
  <c r="F167" i="30"/>
  <c r="E167" i="30"/>
  <c r="H166" i="30"/>
  <c r="G166" i="30"/>
  <c r="F166" i="30"/>
  <c r="E166" i="30"/>
  <c r="H165" i="30"/>
  <c r="G165" i="30"/>
  <c r="F165" i="30"/>
  <c r="E165" i="30"/>
  <c r="H164" i="30"/>
  <c r="G164" i="30"/>
  <c r="F164" i="30"/>
  <c r="E164" i="30"/>
  <c r="H163" i="30"/>
  <c r="G163" i="30"/>
  <c r="F163" i="30"/>
  <c r="E163" i="30"/>
  <c r="H162" i="30"/>
  <c r="G162" i="30"/>
  <c r="F162" i="30"/>
  <c r="E162" i="30"/>
  <c r="H161" i="30"/>
  <c r="G161" i="30"/>
  <c r="F161" i="30"/>
  <c r="E161" i="30"/>
  <c r="H160" i="30"/>
  <c r="G160" i="30"/>
  <c r="F160" i="30"/>
  <c r="E160" i="30"/>
  <c r="D265" i="33"/>
  <c r="D264" i="33"/>
  <c r="D263" i="33"/>
  <c r="D262" i="33"/>
  <c r="D261" i="33"/>
  <c r="D260" i="33"/>
  <c r="D259" i="33"/>
  <c r="D258" i="33"/>
  <c r="D257" i="33"/>
  <c r="D256" i="33"/>
  <c r="D255" i="33"/>
  <c r="D254" i="33"/>
  <c r="D253" i="33"/>
  <c r="D252" i="33"/>
  <c r="D251" i="33"/>
  <c r="D250" i="33"/>
  <c r="D249" i="33"/>
  <c r="D248" i="33"/>
  <c r="D247" i="33"/>
  <c r="D246" i="33"/>
  <c r="D245" i="33"/>
  <c r="D244" i="33"/>
  <c r="D243" i="33"/>
  <c r="D242" i="33"/>
  <c r="D241" i="33"/>
  <c r="D240" i="33"/>
  <c r="D239" i="33"/>
  <c r="D238" i="33"/>
  <c r="D237" i="33"/>
  <c r="D236" i="33"/>
  <c r="D235" i="33"/>
  <c r="D234" i="33"/>
  <c r="H231" i="33"/>
  <c r="G231" i="33"/>
  <c r="F231" i="33"/>
  <c r="E231" i="33"/>
  <c r="H230" i="33"/>
  <c r="G230" i="33"/>
  <c r="F230" i="33"/>
  <c r="E230" i="33"/>
  <c r="H229" i="33"/>
  <c r="G229" i="33"/>
  <c r="F229" i="33"/>
  <c r="E229" i="33"/>
  <c r="H228" i="33"/>
  <c r="G228" i="33"/>
  <c r="F228" i="33"/>
  <c r="E228" i="33"/>
  <c r="H227" i="33"/>
  <c r="G227" i="33"/>
  <c r="F227" i="33"/>
  <c r="E227" i="33"/>
  <c r="H226" i="33"/>
  <c r="G226" i="33"/>
  <c r="F226" i="33"/>
  <c r="E226" i="33"/>
  <c r="H225" i="33"/>
  <c r="G225" i="33"/>
  <c r="F225" i="33"/>
  <c r="E225" i="33"/>
  <c r="H224" i="33"/>
  <c r="G224" i="33"/>
  <c r="F224" i="33"/>
  <c r="E224" i="33"/>
  <c r="H223" i="33"/>
  <c r="G223" i="33"/>
  <c r="F223" i="33"/>
  <c r="E223" i="33"/>
  <c r="H222" i="33"/>
  <c r="G222" i="33"/>
  <c r="F222" i="33"/>
  <c r="E222" i="33"/>
  <c r="H221" i="33"/>
  <c r="G221" i="33"/>
  <c r="F221" i="33"/>
  <c r="E221" i="33"/>
  <c r="H220" i="33"/>
  <c r="G220" i="33"/>
  <c r="F220" i="33"/>
  <c r="E220" i="33"/>
  <c r="H219" i="33"/>
  <c r="G219" i="33"/>
  <c r="F219" i="33"/>
  <c r="E219" i="33"/>
  <c r="H218" i="33"/>
  <c r="G218" i="33"/>
  <c r="F218" i="33"/>
  <c r="E218" i="33"/>
  <c r="H217" i="33"/>
  <c r="G217" i="33"/>
  <c r="F217" i="33"/>
  <c r="E217" i="33"/>
  <c r="H216" i="33"/>
  <c r="G216" i="33"/>
  <c r="F216" i="33"/>
  <c r="E216" i="33"/>
  <c r="H215" i="33"/>
  <c r="G215" i="33"/>
  <c r="F215" i="33"/>
  <c r="E215" i="33"/>
  <c r="H214" i="33"/>
  <c r="G214" i="33"/>
  <c r="F214" i="33"/>
  <c r="E214" i="33"/>
  <c r="H213" i="33"/>
  <c r="G213" i="33"/>
  <c r="F213" i="33"/>
  <c r="E213" i="33"/>
  <c r="H212" i="33"/>
  <c r="G212" i="33"/>
  <c r="F212" i="33"/>
  <c r="E212" i="33"/>
  <c r="H211" i="33"/>
  <c r="G211" i="33"/>
  <c r="F211" i="33"/>
  <c r="E211" i="33"/>
  <c r="H210" i="33"/>
  <c r="G210" i="33"/>
  <c r="F210" i="33"/>
  <c r="E210" i="33"/>
  <c r="H209" i="33"/>
  <c r="G209" i="33"/>
  <c r="F209" i="33"/>
  <c r="E209" i="33"/>
  <c r="H208" i="33"/>
  <c r="G208" i="33"/>
  <c r="F208" i="33"/>
  <c r="E208" i="33"/>
  <c r="H207" i="33"/>
  <c r="G207" i="33"/>
  <c r="F207" i="33"/>
  <c r="E207" i="33"/>
  <c r="H206" i="33"/>
  <c r="G206" i="33"/>
  <c r="F206" i="33"/>
  <c r="E206" i="33"/>
  <c r="H205" i="33"/>
  <c r="G205" i="33"/>
  <c r="F205" i="33"/>
  <c r="E205" i="33"/>
  <c r="H204" i="33"/>
  <c r="G204" i="33"/>
  <c r="F204" i="33"/>
  <c r="E204" i="33"/>
  <c r="H203" i="33"/>
  <c r="G203" i="33"/>
  <c r="F203" i="33"/>
  <c r="E203" i="33"/>
  <c r="H202" i="33"/>
  <c r="G202" i="33"/>
  <c r="F202" i="33"/>
  <c r="E202" i="33"/>
  <c r="H201" i="33"/>
  <c r="G201" i="33"/>
  <c r="F201" i="33"/>
  <c r="E201" i="33"/>
  <c r="H200" i="33"/>
  <c r="G200" i="33"/>
  <c r="F200" i="33"/>
  <c r="E200" i="33"/>
  <c r="H199" i="33"/>
  <c r="G199" i="33"/>
  <c r="F199" i="33"/>
  <c r="E199" i="33"/>
  <c r="H198" i="33"/>
  <c r="G198" i="33"/>
  <c r="F198" i="33"/>
  <c r="E198" i="33"/>
  <c r="H197" i="33"/>
  <c r="G197" i="33"/>
  <c r="F197" i="33"/>
  <c r="E197" i="33"/>
  <c r="H196" i="33"/>
  <c r="G196" i="33"/>
  <c r="F196" i="33"/>
  <c r="E196" i="33"/>
  <c r="H195" i="33"/>
  <c r="G195" i="33"/>
  <c r="F195" i="33"/>
  <c r="E195" i="33"/>
  <c r="H194" i="33"/>
  <c r="G194" i="33"/>
  <c r="F194" i="33"/>
  <c r="E194" i="33"/>
  <c r="H193" i="33"/>
  <c r="G193" i="33"/>
  <c r="F193" i="33"/>
  <c r="E193" i="33"/>
  <c r="H192" i="33"/>
  <c r="G192" i="33"/>
  <c r="F192" i="33"/>
  <c r="E192" i="33"/>
  <c r="H191" i="33"/>
  <c r="G191" i="33"/>
  <c r="F191" i="33"/>
  <c r="E191" i="33"/>
  <c r="H190" i="33"/>
  <c r="G190" i="33"/>
  <c r="F190" i="33"/>
  <c r="E190" i="33"/>
  <c r="H189" i="33"/>
  <c r="G189" i="33"/>
  <c r="F189" i="33"/>
  <c r="E189" i="33"/>
  <c r="H188" i="33"/>
  <c r="G188" i="33"/>
  <c r="F188" i="33"/>
  <c r="E188" i="33"/>
  <c r="H187" i="33"/>
  <c r="G187" i="33"/>
  <c r="F187" i="33"/>
  <c r="E187" i="33"/>
  <c r="H186" i="33"/>
  <c r="G186" i="33"/>
  <c r="F186" i="33"/>
  <c r="E186" i="33"/>
  <c r="H185" i="33"/>
  <c r="G185" i="33"/>
  <c r="F185" i="33"/>
  <c r="E185" i="33"/>
  <c r="H184" i="33"/>
  <c r="G184" i="33"/>
  <c r="F184" i="33"/>
  <c r="E184" i="33"/>
  <c r="H183" i="33"/>
  <c r="G183" i="33"/>
  <c r="F183" i="33"/>
  <c r="E183" i="33"/>
  <c r="H182" i="33"/>
  <c r="G182" i="33"/>
  <c r="F182" i="33"/>
  <c r="E182" i="33"/>
  <c r="H181" i="33"/>
  <c r="G181" i="33"/>
  <c r="F181" i="33"/>
  <c r="E181" i="33"/>
  <c r="H180" i="33"/>
  <c r="G180" i="33"/>
  <c r="F180" i="33"/>
  <c r="E180" i="33"/>
  <c r="H179" i="33"/>
  <c r="G179" i="33"/>
  <c r="F179" i="33"/>
  <c r="E179" i="33"/>
  <c r="H178" i="33"/>
  <c r="G178" i="33"/>
  <c r="F178" i="33"/>
  <c r="E178" i="33"/>
  <c r="H177" i="33"/>
  <c r="G177" i="33"/>
  <c r="F177" i="33"/>
  <c r="E177" i="33"/>
  <c r="H176" i="33"/>
  <c r="G176" i="33"/>
  <c r="F176" i="33"/>
  <c r="E176" i="33"/>
  <c r="H175" i="33"/>
  <c r="G175" i="33"/>
  <c r="F175" i="33"/>
  <c r="E175" i="33"/>
  <c r="H174" i="33"/>
  <c r="G174" i="33"/>
  <c r="F174" i="33"/>
  <c r="E174" i="33"/>
  <c r="H173" i="33"/>
  <c r="G173" i="33"/>
  <c r="F173" i="33"/>
  <c r="E173" i="33"/>
  <c r="H172" i="33"/>
  <c r="G172" i="33"/>
  <c r="F172" i="33"/>
  <c r="E172" i="33"/>
  <c r="H171" i="33"/>
  <c r="G171" i="33"/>
  <c r="F171" i="33"/>
  <c r="E171" i="33"/>
  <c r="H170" i="33"/>
  <c r="G170" i="33"/>
  <c r="F170" i="33"/>
  <c r="E170" i="33"/>
  <c r="H169" i="33"/>
  <c r="G169" i="33"/>
  <c r="F169" i="33"/>
  <c r="E169" i="33"/>
  <c r="H168" i="33"/>
  <c r="G168" i="33"/>
  <c r="F168" i="33"/>
  <c r="E168" i="33"/>
  <c r="H167" i="33"/>
  <c r="G167" i="33"/>
  <c r="F167" i="33"/>
  <c r="E167" i="33"/>
  <c r="H166" i="33"/>
  <c r="G166" i="33"/>
  <c r="F166" i="33"/>
  <c r="E166" i="33"/>
  <c r="H165" i="33"/>
  <c r="G165" i="33"/>
  <c r="F165" i="33"/>
  <c r="E165" i="33"/>
  <c r="H164" i="33"/>
  <c r="G164" i="33"/>
  <c r="F164" i="33"/>
  <c r="E164" i="33"/>
  <c r="H163" i="33"/>
  <c r="G163" i="33"/>
  <c r="F163" i="33"/>
  <c r="E163" i="33"/>
  <c r="H162" i="33"/>
  <c r="G162" i="33"/>
  <c r="F162" i="33"/>
  <c r="E162" i="33"/>
  <c r="H161" i="33"/>
  <c r="G161" i="33"/>
  <c r="F161" i="33"/>
  <c r="E161" i="33"/>
  <c r="H160" i="33"/>
  <c r="G160" i="33"/>
  <c r="F160" i="33"/>
  <c r="E160" i="33"/>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H231" i="32"/>
  <c r="G231" i="32"/>
  <c r="F231" i="32"/>
  <c r="E231" i="32"/>
  <c r="H230" i="32"/>
  <c r="G230" i="32"/>
  <c r="F230" i="32"/>
  <c r="E230" i="32"/>
  <c r="H229" i="32"/>
  <c r="G229" i="32"/>
  <c r="F229" i="32"/>
  <c r="E229" i="32"/>
  <c r="H228" i="32"/>
  <c r="G228" i="32"/>
  <c r="F228" i="32"/>
  <c r="E228" i="32"/>
  <c r="H227" i="32"/>
  <c r="G227" i="32"/>
  <c r="F227" i="32"/>
  <c r="E227" i="32"/>
  <c r="H226" i="32"/>
  <c r="G226" i="32"/>
  <c r="F226" i="32"/>
  <c r="E226" i="32"/>
  <c r="H225" i="32"/>
  <c r="G225" i="32"/>
  <c r="F225" i="32"/>
  <c r="E225" i="32"/>
  <c r="H224" i="32"/>
  <c r="G224" i="32"/>
  <c r="F224" i="32"/>
  <c r="E224" i="32"/>
  <c r="H223" i="32"/>
  <c r="G223" i="32"/>
  <c r="F223" i="32"/>
  <c r="E223" i="32"/>
  <c r="H222" i="32"/>
  <c r="G222" i="32"/>
  <c r="F222" i="32"/>
  <c r="E222" i="32"/>
  <c r="H221" i="32"/>
  <c r="G221" i="32"/>
  <c r="F221" i="32"/>
  <c r="E221" i="32"/>
  <c r="H220" i="32"/>
  <c r="G220" i="32"/>
  <c r="F220" i="32"/>
  <c r="E220" i="32"/>
  <c r="H219" i="32"/>
  <c r="G219" i="32"/>
  <c r="F219" i="32"/>
  <c r="E219" i="32"/>
  <c r="H218" i="32"/>
  <c r="G218" i="32"/>
  <c r="F218" i="32"/>
  <c r="E218" i="32"/>
  <c r="H217" i="32"/>
  <c r="G217" i="32"/>
  <c r="F217" i="32"/>
  <c r="E217" i="32"/>
  <c r="H216" i="32"/>
  <c r="G216" i="32"/>
  <c r="F216" i="32"/>
  <c r="E216" i="32"/>
  <c r="H215" i="32"/>
  <c r="G215" i="32"/>
  <c r="F215" i="32"/>
  <c r="E215" i="32"/>
  <c r="H214" i="32"/>
  <c r="G214" i="32"/>
  <c r="F214" i="32"/>
  <c r="E214" i="32"/>
  <c r="H213" i="32"/>
  <c r="G213" i="32"/>
  <c r="F213" i="32"/>
  <c r="E213" i="32"/>
  <c r="H212" i="32"/>
  <c r="G212" i="32"/>
  <c r="F212" i="32"/>
  <c r="E212" i="32"/>
  <c r="H211" i="32"/>
  <c r="G211" i="32"/>
  <c r="F211" i="32"/>
  <c r="E211" i="32"/>
  <c r="H210" i="32"/>
  <c r="G210" i="32"/>
  <c r="F210" i="32"/>
  <c r="E210" i="32"/>
  <c r="H209" i="32"/>
  <c r="G209" i="32"/>
  <c r="F209" i="32"/>
  <c r="E209" i="32"/>
  <c r="H208" i="32"/>
  <c r="G208" i="32"/>
  <c r="F208" i="32"/>
  <c r="E208" i="32"/>
  <c r="H207" i="32"/>
  <c r="G207" i="32"/>
  <c r="F207" i="32"/>
  <c r="E207" i="32"/>
  <c r="H206" i="32"/>
  <c r="G206" i="32"/>
  <c r="F206" i="32"/>
  <c r="E206" i="32"/>
  <c r="H205" i="32"/>
  <c r="G205" i="32"/>
  <c r="F205" i="32"/>
  <c r="E205" i="32"/>
  <c r="H204" i="32"/>
  <c r="G204" i="32"/>
  <c r="F204" i="32"/>
  <c r="E204" i="32"/>
  <c r="H203" i="32"/>
  <c r="G203" i="32"/>
  <c r="F203" i="32"/>
  <c r="E203" i="32"/>
  <c r="H202" i="32"/>
  <c r="G202" i="32"/>
  <c r="F202" i="32"/>
  <c r="E202" i="32"/>
  <c r="H201" i="32"/>
  <c r="G201" i="32"/>
  <c r="F201" i="32"/>
  <c r="E201" i="32"/>
  <c r="H200" i="32"/>
  <c r="G200" i="32"/>
  <c r="F200" i="32"/>
  <c r="E200" i="32"/>
  <c r="H199" i="32"/>
  <c r="G199" i="32"/>
  <c r="F199" i="32"/>
  <c r="E199" i="32"/>
  <c r="H198" i="32"/>
  <c r="G198" i="32"/>
  <c r="F198" i="32"/>
  <c r="E198" i="32"/>
  <c r="H197" i="32"/>
  <c r="G197" i="32"/>
  <c r="F197" i="32"/>
  <c r="E197" i="32"/>
  <c r="H196" i="32"/>
  <c r="G196" i="32"/>
  <c r="F196" i="32"/>
  <c r="E196" i="32"/>
  <c r="H195" i="32"/>
  <c r="G195" i="32"/>
  <c r="F195" i="32"/>
  <c r="E195" i="32"/>
  <c r="H194" i="32"/>
  <c r="G194" i="32"/>
  <c r="F194" i="32"/>
  <c r="E194" i="32"/>
  <c r="H193" i="32"/>
  <c r="G193" i="32"/>
  <c r="F193" i="32"/>
  <c r="E193" i="32"/>
  <c r="H192" i="32"/>
  <c r="G192" i="32"/>
  <c r="F192" i="32"/>
  <c r="E192" i="32"/>
  <c r="H191" i="32"/>
  <c r="G191" i="32"/>
  <c r="F191" i="32"/>
  <c r="E191" i="32"/>
  <c r="H190" i="32"/>
  <c r="G190" i="32"/>
  <c r="F190" i="32"/>
  <c r="E190" i="32"/>
  <c r="H189" i="32"/>
  <c r="G189" i="32"/>
  <c r="F189" i="32"/>
  <c r="E189" i="32"/>
  <c r="H188" i="32"/>
  <c r="G188" i="32"/>
  <c r="F188" i="32"/>
  <c r="E188" i="32"/>
  <c r="H187" i="32"/>
  <c r="G187" i="32"/>
  <c r="F187" i="32"/>
  <c r="E187" i="32"/>
  <c r="H186" i="32"/>
  <c r="G186" i="32"/>
  <c r="F186" i="32"/>
  <c r="E186" i="32"/>
  <c r="H185" i="32"/>
  <c r="G185" i="32"/>
  <c r="F185" i="32"/>
  <c r="E185" i="32"/>
  <c r="H184" i="32"/>
  <c r="G184" i="32"/>
  <c r="F184" i="32"/>
  <c r="E184" i="32"/>
  <c r="H183" i="32"/>
  <c r="G183" i="32"/>
  <c r="F183" i="32"/>
  <c r="E183" i="32"/>
  <c r="H182" i="32"/>
  <c r="G182" i="32"/>
  <c r="F182" i="32"/>
  <c r="E182" i="32"/>
  <c r="H181" i="32"/>
  <c r="G181" i="32"/>
  <c r="F181" i="32"/>
  <c r="E181" i="32"/>
  <c r="H180" i="32"/>
  <c r="G180" i="32"/>
  <c r="F180" i="32"/>
  <c r="E180" i="32"/>
  <c r="H179" i="32"/>
  <c r="G179" i="32"/>
  <c r="F179" i="32"/>
  <c r="E179" i="32"/>
  <c r="H178" i="32"/>
  <c r="G178" i="32"/>
  <c r="F178" i="32"/>
  <c r="E178" i="32"/>
  <c r="H177" i="32"/>
  <c r="G177" i="32"/>
  <c r="F177" i="32"/>
  <c r="E177" i="32"/>
  <c r="H176" i="32"/>
  <c r="G176" i="32"/>
  <c r="F176" i="32"/>
  <c r="E176" i="32"/>
  <c r="H175" i="32"/>
  <c r="G175" i="32"/>
  <c r="F175" i="32"/>
  <c r="E175" i="32"/>
  <c r="H174" i="32"/>
  <c r="G174" i="32"/>
  <c r="F174" i="32"/>
  <c r="E174" i="32"/>
  <c r="H173" i="32"/>
  <c r="G173" i="32"/>
  <c r="F173" i="32"/>
  <c r="E173" i="32"/>
  <c r="H172" i="32"/>
  <c r="G172" i="32"/>
  <c r="F172" i="32"/>
  <c r="E172" i="32"/>
  <c r="H171" i="32"/>
  <c r="G171" i="32"/>
  <c r="F171" i="32"/>
  <c r="E171" i="32"/>
  <c r="H170" i="32"/>
  <c r="G170" i="32"/>
  <c r="F170" i="32"/>
  <c r="E170" i="32"/>
  <c r="H169" i="32"/>
  <c r="G169" i="32"/>
  <c r="F169" i="32"/>
  <c r="E169" i="32"/>
  <c r="H168" i="32"/>
  <c r="G168" i="32"/>
  <c r="F168" i="32"/>
  <c r="E168" i="32"/>
  <c r="H167" i="32"/>
  <c r="G167" i="32"/>
  <c r="F167" i="32"/>
  <c r="E167" i="32"/>
  <c r="H166" i="32"/>
  <c r="G166" i="32"/>
  <c r="F166" i="32"/>
  <c r="E166" i="32"/>
  <c r="H165" i="32"/>
  <c r="G165" i="32"/>
  <c r="F165" i="32"/>
  <c r="E165" i="32"/>
  <c r="H164" i="32"/>
  <c r="G164" i="32"/>
  <c r="F164" i="32"/>
  <c r="E164" i="32"/>
  <c r="H163" i="32"/>
  <c r="G163" i="32"/>
  <c r="F163" i="32"/>
  <c r="E163" i="32"/>
  <c r="H162" i="32"/>
  <c r="G162" i="32"/>
  <c r="F162" i="32"/>
  <c r="E162" i="32"/>
  <c r="H161" i="32"/>
  <c r="G161" i="32"/>
  <c r="F161" i="32"/>
  <c r="E161" i="32"/>
  <c r="H160" i="32"/>
  <c r="G160" i="32"/>
  <c r="F160" i="32"/>
  <c r="E160" i="32"/>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H231" i="31"/>
  <c r="G231" i="31"/>
  <c r="F231" i="31"/>
  <c r="E231" i="31"/>
  <c r="H230" i="31"/>
  <c r="G230" i="31"/>
  <c r="F230" i="31"/>
  <c r="E230" i="31"/>
  <c r="H229" i="31"/>
  <c r="G229" i="31"/>
  <c r="F229" i="31"/>
  <c r="E229" i="31"/>
  <c r="H228" i="31"/>
  <c r="G228" i="31"/>
  <c r="F228" i="31"/>
  <c r="E228" i="31"/>
  <c r="H227" i="31"/>
  <c r="G227" i="31"/>
  <c r="F227" i="31"/>
  <c r="E227" i="31"/>
  <c r="H226" i="31"/>
  <c r="G226" i="31"/>
  <c r="F226" i="31"/>
  <c r="E226" i="31"/>
  <c r="H225" i="31"/>
  <c r="G225" i="31"/>
  <c r="F225" i="31"/>
  <c r="E225" i="31"/>
  <c r="H224" i="31"/>
  <c r="G224" i="31"/>
  <c r="F224" i="31"/>
  <c r="E224" i="31"/>
  <c r="H223" i="31"/>
  <c r="G223" i="31"/>
  <c r="F223" i="31"/>
  <c r="E223" i="31"/>
  <c r="H222" i="31"/>
  <c r="G222" i="31"/>
  <c r="F222" i="31"/>
  <c r="E222" i="31"/>
  <c r="H221" i="31"/>
  <c r="G221" i="31"/>
  <c r="F221" i="31"/>
  <c r="E221" i="31"/>
  <c r="H220" i="31"/>
  <c r="G220" i="31"/>
  <c r="F220" i="31"/>
  <c r="E220" i="31"/>
  <c r="H219" i="31"/>
  <c r="G219" i="31"/>
  <c r="F219" i="31"/>
  <c r="E219" i="31"/>
  <c r="H218" i="31"/>
  <c r="G218" i="31"/>
  <c r="F218" i="31"/>
  <c r="E218" i="31"/>
  <c r="H217" i="31"/>
  <c r="G217" i="31"/>
  <c r="F217" i="31"/>
  <c r="E217" i="31"/>
  <c r="H216" i="31"/>
  <c r="G216" i="31"/>
  <c r="F216" i="31"/>
  <c r="E216" i="31"/>
  <c r="H215" i="31"/>
  <c r="G215" i="31"/>
  <c r="F215" i="31"/>
  <c r="E215" i="31"/>
  <c r="H214" i="31"/>
  <c r="G214" i="31"/>
  <c r="F214" i="31"/>
  <c r="E214" i="31"/>
  <c r="H213" i="31"/>
  <c r="G213" i="31"/>
  <c r="F213" i="31"/>
  <c r="E213" i="31"/>
  <c r="H212" i="31"/>
  <c r="G212" i="31"/>
  <c r="F212" i="31"/>
  <c r="E212" i="31"/>
  <c r="H211" i="31"/>
  <c r="G211" i="31"/>
  <c r="F211" i="31"/>
  <c r="E211" i="31"/>
  <c r="H210" i="31"/>
  <c r="G210" i="31"/>
  <c r="F210" i="31"/>
  <c r="E210" i="31"/>
  <c r="H209" i="31"/>
  <c r="G209" i="31"/>
  <c r="F209" i="31"/>
  <c r="E209" i="31"/>
  <c r="H208" i="31"/>
  <c r="G208" i="31"/>
  <c r="F208" i="31"/>
  <c r="E208" i="31"/>
  <c r="H207" i="31"/>
  <c r="G207" i="31"/>
  <c r="F207" i="31"/>
  <c r="E207" i="31"/>
  <c r="H206" i="31"/>
  <c r="G206" i="31"/>
  <c r="F206" i="31"/>
  <c r="E206" i="31"/>
  <c r="H205" i="31"/>
  <c r="G205" i="31"/>
  <c r="F205" i="31"/>
  <c r="E205" i="31"/>
  <c r="H204" i="31"/>
  <c r="G204" i="31"/>
  <c r="F204" i="31"/>
  <c r="E204" i="31"/>
  <c r="H203" i="31"/>
  <c r="G203" i="31"/>
  <c r="F203" i="31"/>
  <c r="E203" i="31"/>
  <c r="H202" i="31"/>
  <c r="G202" i="31"/>
  <c r="F202" i="31"/>
  <c r="E202" i="31"/>
  <c r="H201" i="31"/>
  <c r="G201" i="31"/>
  <c r="F201" i="31"/>
  <c r="E201" i="31"/>
  <c r="H200" i="31"/>
  <c r="G200" i="31"/>
  <c r="F200" i="31"/>
  <c r="E200" i="31"/>
  <c r="H199" i="31"/>
  <c r="G199" i="31"/>
  <c r="F199" i="31"/>
  <c r="E199" i="31"/>
  <c r="H198" i="31"/>
  <c r="G198" i="31"/>
  <c r="F198" i="31"/>
  <c r="E198" i="31"/>
  <c r="H197" i="31"/>
  <c r="G197" i="31"/>
  <c r="F197" i="31"/>
  <c r="E197" i="31"/>
  <c r="H196" i="31"/>
  <c r="G196" i="31"/>
  <c r="F196" i="31"/>
  <c r="E196" i="31"/>
  <c r="H195" i="31"/>
  <c r="G195" i="31"/>
  <c r="F195" i="31"/>
  <c r="E195" i="31"/>
  <c r="H194" i="31"/>
  <c r="G194" i="31"/>
  <c r="F194" i="31"/>
  <c r="E194" i="31"/>
  <c r="H193" i="31"/>
  <c r="G193" i="31"/>
  <c r="F193" i="31"/>
  <c r="E193" i="31"/>
  <c r="H192" i="31"/>
  <c r="G192" i="31"/>
  <c r="F192" i="31"/>
  <c r="E192" i="31"/>
  <c r="H191" i="31"/>
  <c r="G191" i="31"/>
  <c r="F191" i="31"/>
  <c r="E191" i="31"/>
  <c r="H190" i="31"/>
  <c r="G190" i="31"/>
  <c r="F190" i="31"/>
  <c r="E190" i="31"/>
  <c r="H189" i="31"/>
  <c r="G189" i="31"/>
  <c r="F189" i="31"/>
  <c r="E189" i="31"/>
  <c r="H188" i="31"/>
  <c r="G188" i="31"/>
  <c r="F188" i="31"/>
  <c r="E188" i="31"/>
  <c r="H187" i="31"/>
  <c r="G187" i="31"/>
  <c r="F187" i="31"/>
  <c r="E187" i="31"/>
  <c r="H186" i="31"/>
  <c r="G186" i="31"/>
  <c r="F186" i="31"/>
  <c r="E186" i="31"/>
  <c r="H185" i="31"/>
  <c r="G185" i="31"/>
  <c r="F185" i="31"/>
  <c r="E185" i="31"/>
  <c r="H184" i="31"/>
  <c r="G184" i="31"/>
  <c r="F184" i="31"/>
  <c r="E184" i="31"/>
  <c r="H183" i="31"/>
  <c r="G183" i="31"/>
  <c r="F183" i="31"/>
  <c r="E183" i="31"/>
  <c r="H182" i="31"/>
  <c r="G182" i="31"/>
  <c r="F182" i="31"/>
  <c r="E182" i="31"/>
  <c r="H181" i="31"/>
  <c r="G181" i="31"/>
  <c r="F181" i="31"/>
  <c r="E181" i="31"/>
  <c r="H180" i="31"/>
  <c r="G180" i="31"/>
  <c r="F180" i="31"/>
  <c r="E180" i="31"/>
  <c r="H179" i="31"/>
  <c r="G179" i="31"/>
  <c r="F179" i="31"/>
  <c r="E179" i="31"/>
  <c r="H178" i="31"/>
  <c r="G178" i="31"/>
  <c r="F178" i="31"/>
  <c r="E178" i="31"/>
  <c r="H177" i="31"/>
  <c r="G177" i="31"/>
  <c r="F177" i="31"/>
  <c r="E177" i="31"/>
  <c r="H176" i="31"/>
  <c r="G176" i="31"/>
  <c r="F176" i="31"/>
  <c r="E176" i="31"/>
  <c r="H175" i="31"/>
  <c r="G175" i="31"/>
  <c r="F175" i="31"/>
  <c r="E175" i="31"/>
  <c r="H174" i="31"/>
  <c r="G174" i="31"/>
  <c r="F174" i="31"/>
  <c r="E174" i="31"/>
  <c r="H173" i="31"/>
  <c r="G173" i="31"/>
  <c r="F173" i="31"/>
  <c r="E173" i="31"/>
  <c r="H172" i="31"/>
  <c r="G172" i="31"/>
  <c r="F172" i="31"/>
  <c r="E172" i="31"/>
  <c r="H171" i="31"/>
  <c r="G171" i="31"/>
  <c r="F171" i="31"/>
  <c r="E171" i="31"/>
  <c r="H170" i="31"/>
  <c r="G170" i="31"/>
  <c r="F170" i="31"/>
  <c r="E170" i="31"/>
  <c r="H169" i="31"/>
  <c r="G169" i="31"/>
  <c r="F169" i="31"/>
  <c r="E169" i="31"/>
  <c r="H168" i="31"/>
  <c r="G168" i="31"/>
  <c r="F168" i="31"/>
  <c r="E168" i="31"/>
  <c r="H167" i="31"/>
  <c r="G167" i="31"/>
  <c r="F167" i="31"/>
  <c r="E167" i="31"/>
  <c r="H166" i="31"/>
  <c r="G166" i="31"/>
  <c r="F166" i="31"/>
  <c r="E166" i="31"/>
  <c r="H165" i="31"/>
  <c r="G165" i="31"/>
  <c r="F165" i="31"/>
  <c r="E165" i="31"/>
  <c r="H164" i="31"/>
  <c r="G164" i="31"/>
  <c r="F164" i="31"/>
  <c r="E164" i="31"/>
  <c r="H163" i="31"/>
  <c r="G163" i="31"/>
  <c r="F163" i="31"/>
  <c r="E163" i="31"/>
  <c r="H162" i="31"/>
  <c r="G162" i="31"/>
  <c r="F162" i="31"/>
  <c r="E162" i="31"/>
  <c r="H161" i="31"/>
  <c r="G161" i="31"/>
  <c r="F161" i="31"/>
  <c r="E161" i="31"/>
  <c r="H160" i="31"/>
  <c r="G160" i="31"/>
  <c r="F160" i="31"/>
  <c r="E160" i="31"/>
  <c r="D265" i="29"/>
  <c r="D264" i="29"/>
  <c r="D263" i="29"/>
  <c r="D262" i="29"/>
  <c r="D261" i="29"/>
  <c r="D260" i="29"/>
  <c r="D259" i="29"/>
  <c r="D258" i="29"/>
  <c r="D257" i="29"/>
  <c r="D256" i="29"/>
  <c r="D255" i="29"/>
  <c r="D254" i="29"/>
  <c r="D253" i="29"/>
  <c r="D252" i="29"/>
  <c r="D251" i="29"/>
  <c r="D250" i="29"/>
  <c r="D249" i="29"/>
  <c r="D248" i="29"/>
  <c r="D247" i="29"/>
  <c r="D246" i="29"/>
  <c r="D245" i="29"/>
  <c r="D244" i="29"/>
  <c r="D243" i="29"/>
  <c r="D242" i="29"/>
  <c r="D241" i="29"/>
  <c r="D240" i="29"/>
  <c r="D239" i="29"/>
  <c r="D238" i="29"/>
  <c r="D237" i="29"/>
  <c r="D236" i="29"/>
  <c r="D235" i="29"/>
  <c r="D234" i="29"/>
  <c r="H231" i="29"/>
  <c r="G231" i="29"/>
  <c r="F231" i="29"/>
  <c r="E231" i="29"/>
  <c r="H230" i="29"/>
  <c r="G230" i="29"/>
  <c r="F230" i="29"/>
  <c r="E230" i="29"/>
  <c r="H229" i="29"/>
  <c r="G229" i="29"/>
  <c r="F229" i="29"/>
  <c r="E229" i="29"/>
  <c r="H228" i="29"/>
  <c r="G228" i="29"/>
  <c r="F228" i="29"/>
  <c r="E228" i="29"/>
  <c r="H227" i="29"/>
  <c r="G227" i="29"/>
  <c r="F227" i="29"/>
  <c r="E227" i="29"/>
  <c r="H226" i="29"/>
  <c r="G226" i="29"/>
  <c r="F226" i="29"/>
  <c r="E226" i="29"/>
  <c r="H225" i="29"/>
  <c r="G225" i="29"/>
  <c r="F225" i="29"/>
  <c r="E225" i="29"/>
  <c r="H224" i="29"/>
  <c r="G224" i="29"/>
  <c r="F224" i="29"/>
  <c r="E224" i="29"/>
  <c r="H223" i="29"/>
  <c r="G223" i="29"/>
  <c r="F223" i="29"/>
  <c r="E223" i="29"/>
  <c r="H222" i="29"/>
  <c r="G222" i="29"/>
  <c r="F222" i="29"/>
  <c r="E222" i="29"/>
  <c r="H221" i="29"/>
  <c r="G221" i="29"/>
  <c r="F221" i="29"/>
  <c r="E221" i="29"/>
  <c r="H220" i="29"/>
  <c r="G220" i="29"/>
  <c r="F220" i="29"/>
  <c r="E220" i="29"/>
  <c r="H219" i="29"/>
  <c r="G219" i="29"/>
  <c r="F219" i="29"/>
  <c r="E219" i="29"/>
  <c r="H218" i="29"/>
  <c r="G218" i="29"/>
  <c r="F218" i="29"/>
  <c r="E218" i="29"/>
  <c r="H217" i="29"/>
  <c r="G217" i="29"/>
  <c r="F217" i="29"/>
  <c r="E217" i="29"/>
  <c r="H216" i="29"/>
  <c r="G216" i="29"/>
  <c r="F216" i="29"/>
  <c r="E216" i="29"/>
  <c r="H215" i="29"/>
  <c r="G215" i="29"/>
  <c r="F215" i="29"/>
  <c r="E215" i="29"/>
  <c r="H214" i="29"/>
  <c r="G214" i="29"/>
  <c r="F214" i="29"/>
  <c r="E214" i="29"/>
  <c r="H213" i="29"/>
  <c r="G213" i="29"/>
  <c r="F213" i="29"/>
  <c r="E213" i="29"/>
  <c r="H212" i="29"/>
  <c r="G212" i="29"/>
  <c r="F212" i="29"/>
  <c r="E212" i="29"/>
  <c r="H211" i="29"/>
  <c r="G211" i="29"/>
  <c r="F211" i="29"/>
  <c r="E211" i="29"/>
  <c r="H210" i="29"/>
  <c r="G210" i="29"/>
  <c r="F210" i="29"/>
  <c r="E210" i="29"/>
  <c r="H209" i="29"/>
  <c r="G209" i="29"/>
  <c r="F209" i="29"/>
  <c r="E209" i="29"/>
  <c r="H208" i="29"/>
  <c r="G208" i="29"/>
  <c r="F208" i="29"/>
  <c r="E208" i="29"/>
  <c r="H207" i="29"/>
  <c r="G207" i="29"/>
  <c r="F207" i="29"/>
  <c r="E207" i="29"/>
  <c r="H206" i="29"/>
  <c r="G206" i="29"/>
  <c r="F206" i="29"/>
  <c r="E206" i="29"/>
  <c r="H205" i="29"/>
  <c r="G205" i="29"/>
  <c r="F205" i="29"/>
  <c r="E205" i="29"/>
  <c r="H204" i="29"/>
  <c r="G204" i="29"/>
  <c r="F204" i="29"/>
  <c r="E204" i="29"/>
  <c r="H203" i="29"/>
  <c r="G203" i="29"/>
  <c r="F203" i="29"/>
  <c r="E203" i="29"/>
  <c r="H202" i="29"/>
  <c r="G202" i="29"/>
  <c r="F202" i="29"/>
  <c r="E202" i="29"/>
  <c r="H201" i="29"/>
  <c r="G201" i="29"/>
  <c r="F201" i="29"/>
  <c r="E201" i="29"/>
  <c r="H200" i="29"/>
  <c r="G200" i="29"/>
  <c r="F200" i="29"/>
  <c r="E200" i="29"/>
  <c r="H199" i="29"/>
  <c r="G199" i="29"/>
  <c r="F199" i="29"/>
  <c r="E199" i="29"/>
  <c r="H198" i="29"/>
  <c r="G198" i="29"/>
  <c r="F198" i="29"/>
  <c r="E198" i="29"/>
  <c r="H197" i="29"/>
  <c r="G197" i="29"/>
  <c r="F197" i="29"/>
  <c r="E197" i="29"/>
  <c r="H196" i="29"/>
  <c r="G196" i="29"/>
  <c r="F196" i="29"/>
  <c r="E196" i="29"/>
  <c r="H195" i="29"/>
  <c r="G195" i="29"/>
  <c r="F195" i="29"/>
  <c r="E195" i="29"/>
  <c r="H194" i="29"/>
  <c r="G194" i="29"/>
  <c r="F194" i="29"/>
  <c r="E194" i="29"/>
  <c r="H193" i="29"/>
  <c r="G193" i="29"/>
  <c r="F193" i="29"/>
  <c r="E193" i="29"/>
  <c r="H192" i="29"/>
  <c r="G192" i="29"/>
  <c r="F192" i="29"/>
  <c r="E192" i="29"/>
  <c r="H191" i="29"/>
  <c r="G191" i="29"/>
  <c r="F191" i="29"/>
  <c r="E191" i="29"/>
  <c r="H190" i="29"/>
  <c r="G190" i="29"/>
  <c r="F190" i="29"/>
  <c r="E190" i="29"/>
  <c r="H189" i="29"/>
  <c r="G189" i="29"/>
  <c r="F189" i="29"/>
  <c r="E189" i="29"/>
  <c r="H188" i="29"/>
  <c r="G188" i="29"/>
  <c r="F188" i="29"/>
  <c r="E188" i="29"/>
  <c r="H187" i="29"/>
  <c r="G187" i="29"/>
  <c r="F187" i="29"/>
  <c r="E187" i="29"/>
  <c r="H186" i="29"/>
  <c r="G186" i="29"/>
  <c r="F186" i="29"/>
  <c r="E186" i="29"/>
  <c r="H185" i="29"/>
  <c r="G185" i="29"/>
  <c r="F185" i="29"/>
  <c r="E185" i="29"/>
  <c r="H184" i="29"/>
  <c r="G184" i="29"/>
  <c r="F184" i="29"/>
  <c r="E184" i="29"/>
  <c r="H183" i="29"/>
  <c r="G183" i="29"/>
  <c r="F183" i="29"/>
  <c r="E183" i="29"/>
  <c r="H182" i="29"/>
  <c r="G182" i="29"/>
  <c r="F182" i="29"/>
  <c r="E182" i="29"/>
  <c r="H181" i="29"/>
  <c r="G181" i="29"/>
  <c r="F181" i="29"/>
  <c r="E181" i="29"/>
  <c r="H180" i="29"/>
  <c r="G180" i="29"/>
  <c r="F180" i="29"/>
  <c r="E180" i="29"/>
  <c r="H179" i="29"/>
  <c r="G179" i="29"/>
  <c r="F179" i="29"/>
  <c r="E179" i="29"/>
  <c r="H178" i="29"/>
  <c r="G178" i="29"/>
  <c r="F178" i="29"/>
  <c r="E178" i="29"/>
  <c r="H177" i="29"/>
  <c r="G177" i="29"/>
  <c r="F177" i="29"/>
  <c r="E177" i="29"/>
  <c r="H176" i="29"/>
  <c r="G176" i="29"/>
  <c r="F176" i="29"/>
  <c r="E176" i="29"/>
  <c r="H175" i="29"/>
  <c r="G175" i="29"/>
  <c r="F175" i="29"/>
  <c r="E175" i="29"/>
  <c r="H174" i="29"/>
  <c r="G174" i="29"/>
  <c r="F174" i="29"/>
  <c r="E174" i="29"/>
  <c r="H173" i="29"/>
  <c r="G173" i="29"/>
  <c r="F173" i="29"/>
  <c r="E173" i="29"/>
  <c r="H172" i="29"/>
  <c r="G172" i="29"/>
  <c r="F172" i="29"/>
  <c r="E172" i="29"/>
  <c r="H171" i="29"/>
  <c r="G171" i="29"/>
  <c r="F171" i="29"/>
  <c r="E171" i="29"/>
  <c r="H170" i="29"/>
  <c r="G170" i="29"/>
  <c r="F170" i="29"/>
  <c r="E170" i="29"/>
  <c r="H169" i="29"/>
  <c r="G169" i="29"/>
  <c r="F169" i="29"/>
  <c r="E169" i="29"/>
  <c r="H168" i="29"/>
  <c r="G168" i="29"/>
  <c r="F168" i="29"/>
  <c r="E168" i="29"/>
  <c r="H167" i="29"/>
  <c r="G167" i="29"/>
  <c r="F167" i="29"/>
  <c r="E167" i="29"/>
  <c r="H166" i="29"/>
  <c r="G166" i="29"/>
  <c r="F166" i="29"/>
  <c r="E166" i="29"/>
  <c r="H165" i="29"/>
  <c r="G165" i="29"/>
  <c r="F165" i="29"/>
  <c r="E165" i="29"/>
  <c r="H164" i="29"/>
  <c r="G164" i="29"/>
  <c r="F164" i="29"/>
  <c r="E164" i="29"/>
  <c r="H163" i="29"/>
  <c r="G163" i="29"/>
  <c r="F163" i="29"/>
  <c r="E163" i="29"/>
  <c r="H162" i="29"/>
  <c r="G162" i="29"/>
  <c r="F162" i="29"/>
  <c r="E162" i="29"/>
  <c r="H161" i="29"/>
  <c r="G161" i="29"/>
  <c r="F161" i="29"/>
  <c r="E161" i="29"/>
  <c r="H160" i="29"/>
  <c r="G160" i="29"/>
  <c r="F160" i="29"/>
  <c r="E160" i="29"/>
  <c r="AN87" i="33"/>
  <c r="AM87" i="33"/>
  <c r="AO87" i="33" s="1"/>
  <c r="AG87" i="33"/>
  <c r="AF87" i="33"/>
  <c r="AH87" i="33" s="1"/>
  <c r="Z87" i="33"/>
  <c r="Y87" i="33"/>
  <c r="AA87" i="33" s="1"/>
  <c r="T87" i="33"/>
  <c r="S87" i="33"/>
  <c r="R87" i="33"/>
  <c r="L87" i="33"/>
  <c r="K87" i="33"/>
  <c r="M87" i="33" s="1"/>
  <c r="E87" i="33"/>
  <c r="D87" i="33"/>
  <c r="F87" i="33" s="1"/>
  <c r="AN86" i="33"/>
  <c r="AM86" i="33"/>
  <c r="AO86" i="33" s="1"/>
  <c r="AL86" i="33"/>
  <c r="AH86" i="33"/>
  <c r="AG86" i="33"/>
  <c r="AF86" i="33"/>
  <c r="Z86" i="33"/>
  <c r="Y86" i="33"/>
  <c r="AA86" i="33" s="1"/>
  <c r="S86" i="33"/>
  <c r="R86" i="33"/>
  <c r="T86" i="33" s="1"/>
  <c r="L86" i="33"/>
  <c r="K86" i="33"/>
  <c r="M86" i="33" s="1"/>
  <c r="J86" i="33"/>
  <c r="F86" i="33"/>
  <c r="E86" i="33"/>
  <c r="D86" i="33"/>
  <c r="AN85" i="33"/>
  <c r="AM85" i="33"/>
  <c r="AO85" i="33" s="1"/>
  <c r="AG85" i="33"/>
  <c r="AF85" i="33"/>
  <c r="AH85" i="33" s="1"/>
  <c r="Z85" i="33"/>
  <c r="Y85" i="33"/>
  <c r="AA85" i="33" s="1"/>
  <c r="T85" i="33"/>
  <c r="S85" i="33"/>
  <c r="R85" i="33"/>
  <c r="L85" i="33"/>
  <c r="K85" i="33"/>
  <c r="M85" i="33" s="1"/>
  <c r="E85" i="33"/>
  <c r="D85" i="33"/>
  <c r="F85" i="33" s="1"/>
  <c r="AN84" i="33"/>
  <c r="AM84" i="33"/>
  <c r="AO84" i="33" s="1"/>
  <c r="AL84" i="33"/>
  <c r="AN90" i="33" s="1" a="1"/>
  <c r="AH84" i="33"/>
  <c r="AH90" i="33" s="1" a="1"/>
  <c r="AG84" i="33"/>
  <c r="AG90" i="33" s="1" a="1"/>
  <c r="AF84" i="33"/>
  <c r="Z84" i="33"/>
  <c r="Y84" i="33"/>
  <c r="AA84" i="33" s="1"/>
  <c r="S84" i="33"/>
  <c r="R84" i="33"/>
  <c r="T84" i="33" s="1"/>
  <c r="L84" i="33"/>
  <c r="K84" i="33"/>
  <c r="J84" i="33"/>
  <c r="F84" i="33"/>
  <c r="E84" i="33"/>
  <c r="D84" i="33"/>
  <c r="AL81" i="33"/>
  <c r="AK81" i="33"/>
  <c r="AE81" i="33"/>
  <c r="AD81" i="33"/>
  <c r="X81" i="33"/>
  <c r="W81" i="33"/>
  <c r="Q81" i="33"/>
  <c r="P81" i="33"/>
  <c r="J81" i="33"/>
  <c r="I81" i="33"/>
  <c r="C81" i="33"/>
  <c r="B81" i="33"/>
  <c r="C85" i="33" s="1"/>
  <c r="AK80" i="33"/>
  <c r="AD80" i="33"/>
  <c r="W80" i="33"/>
  <c r="P80" i="33"/>
  <c r="I80" i="33"/>
  <c r="B80" i="33"/>
  <c r="AL76" i="33"/>
  <c r="AK76" i="33"/>
  <c r="AE76" i="33"/>
  <c r="AD76" i="33"/>
  <c r="X76" i="33"/>
  <c r="W76" i="33"/>
  <c r="Q76" i="33"/>
  <c r="P76" i="33"/>
  <c r="J76" i="33"/>
  <c r="I76" i="33"/>
  <c r="C76" i="33"/>
  <c r="B76" i="33"/>
  <c r="C87" i="33" s="1"/>
  <c r="AK75" i="33"/>
  <c r="AD75" i="33"/>
  <c r="W75" i="33"/>
  <c r="P75" i="33"/>
  <c r="I75" i="33"/>
  <c r="B75" i="33"/>
  <c r="AL70" i="33"/>
  <c r="AK70" i="33"/>
  <c r="AE70" i="33"/>
  <c r="AD70" i="33"/>
  <c r="X70" i="33"/>
  <c r="W70" i="33"/>
  <c r="Q70" i="33"/>
  <c r="P70" i="33"/>
  <c r="J70" i="33"/>
  <c r="J85" i="33" s="1"/>
  <c r="I70" i="33"/>
  <c r="J87" i="33" s="1"/>
  <c r="C70" i="33"/>
  <c r="B70" i="33"/>
  <c r="AK69" i="33"/>
  <c r="AD69" i="33"/>
  <c r="W69" i="33"/>
  <c r="P69" i="33"/>
  <c r="I69" i="33"/>
  <c r="B69" i="33"/>
  <c r="AL65" i="33"/>
  <c r="AK65" i="33"/>
  <c r="AE65" i="33"/>
  <c r="AD65" i="33"/>
  <c r="X65" i="33"/>
  <c r="W65" i="33"/>
  <c r="Q65" i="33"/>
  <c r="Q86" i="33" s="1"/>
  <c r="P65" i="33"/>
  <c r="Q84" i="33" s="1"/>
  <c r="J65" i="33"/>
  <c r="I65" i="33"/>
  <c r="C65" i="33"/>
  <c r="B65" i="33"/>
  <c r="AK64" i="33"/>
  <c r="AD64" i="33"/>
  <c r="W64" i="33"/>
  <c r="P64" i="33"/>
  <c r="I64" i="33"/>
  <c r="B64" i="33"/>
  <c r="AL59" i="33"/>
  <c r="AL87" i="33" s="1"/>
  <c r="AK59" i="33"/>
  <c r="AE59" i="33"/>
  <c r="AE87" i="33" s="1"/>
  <c r="AD59" i="33"/>
  <c r="AE86" i="33" s="1"/>
  <c r="X59" i="33"/>
  <c r="X87" i="33" s="1"/>
  <c r="W59" i="33"/>
  <c r="X86" i="33" s="1"/>
  <c r="Q59" i="33"/>
  <c r="Q87" i="33" s="1"/>
  <c r="P59" i="33"/>
  <c r="C59" i="33"/>
  <c r="B59" i="33"/>
  <c r="C86" i="33" s="1"/>
  <c r="AK58" i="33"/>
  <c r="AD58" i="33"/>
  <c r="W58" i="33"/>
  <c r="P58" i="33"/>
  <c r="I58" i="33"/>
  <c r="B58" i="33"/>
  <c r="AL54" i="33"/>
  <c r="AL85" i="33" s="1"/>
  <c r="AK54" i="33"/>
  <c r="AE54" i="33"/>
  <c r="AE85" i="33" s="1"/>
  <c r="AD54" i="33"/>
  <c r="AE84" i="33" s="1"/>
  <c r="X54" i="33"/>
  <c r="X85" i="33" s="1"/>
  <c r="W54" i="33"/>
  <c r="X84" i="33" s="1"/>
  <c r="Q54" i="33"/>
  <c r="Q85" i="33" s="1"/>
  <c r="P54" i="33"/>
  <c r="J54" i="33"/>
  <c r="I54" i="33"/>
  <c r="C54" i="33"/>
  <c r="B54" i="33"/>
  <c r="C84" i="33" s="1"/>
  <c r="AK53" i="33"/>
  <c r="AD53" i="33"/>
  <c r="W53" i="33"/>
  <c r="P53" i="33"/>
  <c r="I53" i="33"/>
  <c r="B53" i="33"/>
  <c r="AN40" i="33"/>
  <c r="AM40" i="33"/>
  <c r="AO40" i="33" s="1"/>
  <c r="AG40" i="33"/>
  <c r="AF40" i="33"/>
  <c r="AH40" i="33" s="1"/>
  <c r="AE40" i="33"/>
  <c r="Z40" i="33"/>
  <c r="Y40" i="33"/>
  <c r="AA40" i="33" s="1"/>
  <c r="S40" i="33"/>
  <c r="R40" i="33"/>
  <c r="T40" i="33" s="1"/>
  <c r="L40" i="33"/>
  <c r="K40" i="33"/>
  <c r="M40" i="33" s="1"/>
  <c r="J40" i="33"/>
  <c r="E40" i="33"/>
  <c r="D40" i="33"/>
  <c r="F40" i="33" s="1"/>
  <c r="C40" i="33"/>
  <c r="AN39" i="33"/>
  <c r="AM39" i="33"/>
  <c r="AO39" i="33" s="1"/>
  <c r="AG39" i="33"/>
  <c r="AF39" i="33"/>
  <c r="AH39" i="33" s="1"/>
  <c r="Z39" i="33"/>
  <c r="Y39" i="33"/>
  <c r="AA39" i="33" s="1"/>
  <c r="S39" i="33"/>
  <c r="R39" i="33"/>
  <c r="T39" i="33" s="1"/>
  <c r="L39" i="33"/>
  <c r="K39" i="33"/>
  <c r="M39" i="33" s="1"/>
  <c r="E39" i="33"/>
  <c r="D39" i="33"/>
  <c r="F39" i="33" s="1"/>
  <c r="C39" i="33"/>
  <c r="AN38" i="33"/>
  <c r="AM38" i="33"/>
  <c r="AO38" i="33" s="1"/>
  <c r="AG38" i="33"/>
  <c r="AF38" i="33"/>
  <c r="AH38" i="33" s="1"/>
  <c r="Z38" i="33"/>
  <c r="Y38" i="33"/>
  <c r="AA38" i="33" s="1"/>
  <c r="S38" i="33"/>
  <c r="R38" i="33"/>
  <c r="T38" i="33" s="1"/>
  <c r="Q38" i="33"/>
  <c r="L38" i="33"/>
  <c r="K38" i="33"/>
  <c r="M38" i="33" s="1"/>
  <c r="J38" i="33"/>
  <c r="E38" i="33"/>
  <c r="D38" i="33"/>
  <c r="F38" i="33" s="1"/>
  <c r="C38" i="33"/>
  <c r="AN37" i="33"/>
  <c r="AM37" i="33"/>
  <c r="AO37" i="33" s="1"/>
  <c r="AG37" i="33"/>
  <c r="AF37" i="33"/>
  <c r="AH37" i="33" s="1"/>
  <c r="Z37" i="33"/>
  <c r="Y37" i="33"/>
  <c r="AA37" i="33" s="1"/>
  <c r="S37" i="33"/>
  <c r="R37" i="33"/>
  <c r="T37" i="33" s="1"/>
  <c r="L37" i="33"/>
  <c r="K37" i="33"/>
  <c r="M37" i="33" s="1"/>
  <c r="E37" i="33"/>
  <c r="D37" i="33"/>
  <c r="F37" i="33" s="1"/>
  <c r="AL34" i="33"/>
  <c r="AK34" i="33"/>
  <c r="AE34" i="33"/>
  <c r="AD34" i="33"/>
  <c r="X34" i="33"/>
  <c r="W34" i="33"/>
  <c r="Q34" i="33"/>
  <c r="Q37" i="33" s="1"/>
  <c r="P34" i="33"/>
  <c r="Q40" i="33" s="1"/>
  <c r="J34" i="33"/>
  <c r="I34" i="33"/>
  <c r="B34" i="33"/>
  <c r="AK33" i="33"/>
  <c r="AD33" i="33"/>
  <c r="W33" i="33"/>
  <c r="P33" i="33"/>
  <c r="I33" i="33"/>
  <c r="B33" i="33"/>
  <c r="AL29" i="33"/>
  <c r="AK29" i="33"/>
  <c r="AE29" i="33"/>
  <c r="AD29" i="33"/>
  <c r="X29" i="33"/>
  <c r="W29" i="33"/>
  <c r="Q29" i="33"/>
  <c r="P29" i="33"/>
  <c r="J29" i="33"/>
  <c r="B29" i="33"/>
  <c r="AK28" i="33"/>
  <c r="AD28" i="33"/>
  <c r="W28" i="33"/>
  <c r="P28" i="33"/>
  <c r="I28" i="33"/>
  <c r="B28" i="33"/>
  <c r="AL23" i="33"/>
  <c r="AK23" i="33"/>
  <c r="AE23" i="33"/>
  <c r="AD23" i="33"/>
  <c r="AE37" i="33" s="1"/>
  <c r="X23" i="33"/>
  <c r="X39" i="33" s="1"/>
  <c r="W23" i="33"/>
  <c r="X37" i="33" s="1"/>
  <c r="Q23" i="33"/>
  <c r="Q39" i="33" s="1"/>
  <c r="P23" i="33"/>
  <c r="J23" i="33"/>
  <c r="I23" i="33"/>
  <c r="C23" i="33"/>
  <c r="AK22" i="33"/>
  <c r="AD22" i="33"/>
  <c r="W22" i="33"/>
  <c r="P22" i="33"/>
  <c r="I22" i="33"/>
  <c r="B22" i="33"/>
  <c r="AL18" i="33"/>
  <c r="AK18" i="33"/>
  <c r="AE18" i="33"/>
  <c r="AD18" i="33"/>
  <c r="X18" i="33"/>
  <c r="X38" i="33" s="1"/>
  <c r="W18" i="33"/>
  <c r="Q18" i="33"/>
  <c r="P18" i="33"/>
  <c r="J18" i="33"/>
  <c r="I18" i="33"/>
  <c r="C18" i="33"/>
  <c r="AK17" i="33"/>
  <c r="AD17" i="33"/>
  <c r="W17" i="33"/>
  <c r="P17" i="33"/>
  <c r="I17" i="33"/>
  <c r="B17" i="33"/>
  <c r="AL12" i="33"/>
  <c r="AL40" i="33" s="1"/>
  <c r="AK12" i="33"/>
  <c r="AL39" i="33" s="1"/>
  <c r="AE12" i="33"/>
  <c r="AD12" i="33"/>
  <c r="AE39" i="33" s="1"/>
  <c r="X12" i="33"/>
  <c r="X40" i="33" s="1"/>
  <c r="W12" i="33"/>
  <c r="Q12" i="33"/>
  <c r="P12" i="33"/>
  <c r="J12" i="33"/>
  <c r="I12" i="33"/>
  <c r="J39" i="33" s="1"/>
  <c r="C12" i="33"/>
  <c r="B12" i="33"/>
  <c r="AK11" i="33"/>
  <c r="AD11" i="33"/>
  <c r="W11" i="33"/>
  <c r="P11" i="33"/>
  <c r="I11" i="33"/>
  <c r="B11" i="33"/>
  <c r="AL7" i="33"/>
  <c r="AL38" i="33" s="1"/>
  <c r="AK7" i="33"/>
  <c r="AL37" i="33" s="1"/>
  <c r="AE7" i="33"/>
  <c r="AE38" i="33" s="1"/>
  <c r="AD7" i="33"/>
  <c r="X7" i="33"/>
  <c r="W7" i="33"/>
  <c r="P7" i="33"/>
  <c r="J7" i="33"/>
  <c r="I7" i="33"/>
  <c r="J37" i="33" s="1"/>
  <c r="C7" i="33"/>
  <c r="B7" i="33"/>
  <c r="C37" i="33" s="1"/>
  <c r="D43" i="33" s="1" a="1"/>
  <c r="AK6" i="33"/>
  <c r="AD6" i="33"/>
  <c r="W6" i="33"/>
  <c r="P6" i="33"/>
  <c r="I6" i="33"/>
  <c r="B6" i="33"/>
  <c r="G232" i="32" l="1"/>
  <c r="H232" i="32"/>
  <c r="G232" i="33"/>
  <c r="H232" i="33"/>
  <c r="G232" i="29"/>
  <c r="H232" i="29"/>
  <c r="G232" i="31"/>
  <c r="H232" i="31"/>
  <c r="G232" i="30"/>
  <c r="H232" i="30"/>
  <c r="B154" i="33"/>
  <c r="B154" i="30"/>
  <c r="B155" i="30"/>
  <c r="B155" i="33"/>
  <c r="B154" i="32"/>
  <c r="B155" i="32"/>
  <c r="B154" i="31"/>
  <c r="B155" i="31"/>
  <c r="B154" i="29"/>
  <c r="B155" i="29"/>
  <c r="AG90" i="33"/>
  <c r="W102" i="33"/>
  <c r="AE43" i="33" a="1"/>
  <c r="AG43" i="33" a="1"/>
  <c r="AF43" i="33" a="1"/>
  <c r="AD43" i="33" a="1"/>
  <c r="B90" i="33" a="1"/>
  <c r="D90" i="33" a="1"/>
  <c r="E90" i="33" a="1"/>
  <c r="C90" i="33" a="1"/>
  <c r="C43" i="33" a="1"/>
  <c r="B43" i="33" a="1"/>
  <c r="F43" i="33" a="1"/>
  <c r="AH90" i="33"/>
  <c r="X102" i="33"/>
  <c r="D43" i="33"/>
  <c r="V104" i="33"/>
  <c r="K43" i="33" a="1"/>
  <c r="L43" i="33" a="1"/>
  <c r="J43" i="33" a="1"/>
  <c r="M43" i="33" a="1"/>
  <c r="I43" i="33" a="1"/>
  <c r="E43" i="33" a="1"/>
  <c r="X90" i="33" a="1"/>
  <c r="W90" i="33" a="1"/>
  <c r="Z90" i="33" a="1"/>
  <c r="Y90" i="33" a="1"/>
  <c r="R90" i="33" a="1"/>
  <c r="P90" i="33" a="1"/>
  <c r="Q90" i="33" a="1"/>
  <c r="F90" i="33" a="1"/>
  <c r="J90" i="33" a="1"/>
  <c r="K90" i="33" a="1"/>
  <c r="L90" i="33" a="1"/>
  <c r="AA43" i="33" a="1"/>
  <c r="T90" i="33" a="1"/>
  <c r="AH43" i="33" a="1"/>
  <c r="S90" i="33" a="1"/>
  <c r="W103" i="33"/>
  <c r="AN90" i="33"/>
  <c r="S43" i="33" a="1"/>
  <c r="T43" i="33" a="1"/>
  <c r="R43" i="33" a="1"/>
  <c r="AD90" i="33" a="1"/>
  <c r="AF90" i="33" a="1"/>
  <c r="AE90" i="33" a="1"/>
  <c r="AK43" i="33" a="1"/>
  <c r="AL43" i="33" a="1"/>
  <c r="AN43" i="33" a="1"/>
  <c r="Q43" i="33" a="1"/>
  <c r="P43" i="33" a="1"/>
  <c r="AA90" i="33" a="1"/>
  <c r="AO90" i="33" a="1"/>
  <c r="Z43" i="33" a="1"/>
  <c r="W43" i="33" a="1"/>
  <c r="Y43" i="33" a="1"/>
  <c r="X43" i="33" a="1"/>
  <c r="AO43" i="33" a="1"/>
  <c r="AK90" i="33" a="1"/>
  <c r="AL90" i="33" a="1"/>
  <c r="AM90" i="33" a="1"/>
  <c r="M84" i="33"/>
  <c r="M90" i="33" s="1" a="1"/>
  <c r="I90" i="33" a="1"/>
  <c r="AM43" i="33" a="1"/>
  <c r="AM43" i="33" l="1"/>
  <c r="V109" i="33"/>
  <c r="U109" i="33"/>
  <c r="AL43" i="33"/>
  <c r="J90" i="33"/>
  <c r="U99" i="33"/>
  <c r="X98" i="33"/>
  <c r="F90" i="33"/>
  <c r="U102" i="33"/>
  <c r="AE90" i="33"/>
  <c r="U100" i="33"/>
  <c r="Q90" i="33"/>
  <c r="R43" i="33"/>
  <c r="V106" i="33"/>
  <c r="C43" i="33"/>
  <c r="U104" i="33"/>
  <c r="U103" i="33"/>
  <c r="AL90" i="33"/>
  <c r="W101" i="33"/>
  <c r="Z90" i="33"/>
  <c r="U98" i="33"/>
  <c r="C90" i="33"/>
  <c r="AK43" i="33"/>
  <c r="R109" i="33"/>
  <c r="B43" i="33"/>
  <c r="R104" i="33"/>
  <c r="S43" i="33"/>
  <c r="W106" i="33"/>
  <c r="W90" i="33"/>
  <c r="R101" i="33"/>
  <c r="W98" i="33"/>
  <c r="E90" i="33"/>
  <c r="R102" i="33"/>
  <c r="AD90" i="33"/>
  <c r="X43" i="33"/>
  <c r="U107" i="33"/>
  <c r="Y43" i="33"/>
  <c r="V107" i="33"/>
  <c r="X90" i="33"/>
  <c r="U101" i="33"/>
  <c r="V98" i="33"/>
  <c r="D90" i="33"/>
  <c r="V100" i="33"/>
  <c r="R90" i="33"/>
  <c r="E43" i="33"/>
  <c r="W104" i="33"/>
  <c r="B90" i="33"/>
  <c r="R98" i="33"/>
  <c r="R112" i="33" s="1" a="1"/>
  <c r="R112" i="33" s="1"/>
  <c r="R100" i="33"/>
  <c r="P90" i="33"/>
  <c r="Z43" i="33"/>
  <c r="W107" i="33"/>
  <c r="R105" i="33"/>
  <c r="I43" i="33"/>
  <c r="R108" i="33"/>
  <c r="AD43" i="33"/>
  <c r="AF90" i="33"/>
  <c r="V102" i="33"/>
  <c r="AO43" i="33"/>
  <c r="X109" i="33"/>
  <c r="AO90" i="33"/>
  <c r="X103" i="33"/>
  <c r="AH43" i="33"/>
  <c r="X108" i="33"/>
  <c r="X105" i="33"/>
  <c r="M43" i="33"/>
  <c r="V108" i="33"/>
  <c r="AF43" i="33"/>
  <c r="V103" i="33"/>
  <c r="AM90" i="33"/>
  <c r="X106" i="33"/>
  <c r="T43" i="33"/>
  <c r="T90" i="33"/>
  <c r="X100" i="33"/>
  <c r="U105" i="33"/>
  <c r="J43" i="33"/>
  <c r="W108" i="33"/>
  <c r="AG43" i="33"/>
  <c r="M90" i="33"/>
  <c r="X99" i="33"/>
  <c r="Y90" i="33"/>
  <c r="V101" i="33"/>
  <c r="X101" i="33"/>
  <c r="AA90" i="33"/>
  <c r="AA43" i="33"/>
  <c r="X107" i="33"/>
  <c r="L43" i="33"/>
  <c r="W105" i="33"/>
  <c r="U108" i="33"/>
  <c r="AE43" i="33"/>
  <c r="R99" i="33"/>
  <c r="I90" i="33"/>
  <c r="AK90" i="33"/>
  <c r="R103" i="33"/>
  <c r="S90" i="33"/>
  <c r="W100" i="33"/>
  <c r="Q43" i="33"/>
  <c r="U106" i="33"/>
  <c r="L90" i="33"/>
  <c r="W99" i="33"/>
  <c r="V105" i="33"/>
  <c r="K43" i="33"/>
  <c r="X104" i="33"/>
  <c r="F43" i="33"/>
  <c r="R107" i="33"/>
  <c r="W43" i="33"/>
  <c r="R106" i="33"/>
  <c r="P43" i="33"/>
  <c r="AN43" i="33"/>
  <c r="W109" i="33"/>
  <c r="K90" i="33"/>
  <c r="V99" i="33"/>
  <c r="V112" i="33" l="1" a="1"/>
  <c r="V112" i="33" s="1"/>
  <c r="W112" i="33" a="1"/>
  <c r="W112" i="33" s="1"/>
  <c r="X112" i="33" a="1"/>
  <c r="X112" i="33" s="1"/>
  <c r="U112" i="33" a="1"/>
  <c r="U112" i="33" s="1"/>
  <c r="AN87" i="32" l="1"/>
  <c r="AM87" i="32"/>
  <c r="AO87" i="32" s="1"/>
  <c r="AG87" i="32"/>
  <c r="AF87" i="32"/>
  <c r="AH87" i="32" s="1"/>
  <c r="AE87" i="32"/>
  <c r="AA87" i="32"/>
  <c r="Z87" i="32"/>
  <c r="Y87" i="32"/>
  <c r="T87" i="32"/>
  <c r="S87" i="32"/>
  <c r="R87" i="32"/>
  <c r="L87" i="32"/>
  <c r="K87" i="32"/>
  <c r="M87" i="32" s="1"/>
  <c r="E87" i="32"/>
  <c r="D87" i="32"/>
  <c r="F87" i="32" s="1"/>
  <c r="C87" i="32"/>
  <c r="AO86" i="32"/>
  <c r="AN86" i="32"/>
  <c r="AM86" i="32"/>
  <c r="AL86" i="32"/>
  <c r="AH86" i="32"/>
  <c r="AG86" i="32"/>
  <c r="AF86" i="32"/>
  <c r="Z86" i="32"/>
  <c r="Y86" i="32"/>
  <c r="AA86" i="32" s="1"/>
  <c r="S86" i="32"/>
  <c r="R86" i="32"/>
  <c r="T86" i="32" s="1"/>
  <c r="M86" i="32"/>
  <c r="L86" i="32"/>
  <c r="K86" i="32"/>
  <c r="J86" i="32"/>
  <c r="F86" i="32"/>
  <c r="E86" i="32"/>
  <c r="D86" i="32"/>
  <c r="AN85" i="32"/>
  <c r="AM85" i="32"/>
  <c r="AO85" i="32" s="1"/>
  <c r="AG85" i="32"/>
  <c r="AF85" i="32"/>
  <c r="AH85" i="32" s="1"/>
  <c r="AA85" i="32"/>
  <c r="Z85" i="32"/>
  <c r="Y85" i="32"/>
  <c r="X85" i="32"/>
  <c r="T85" i="32"/>
  <c r="S85" i="32"/>
  <c r="R85" i="32"/>
  <c r="L85" i="32"/>
  <c r="K85" i="32"/>
  <c r="M85" i="32" s="1"/>
  <c r="E85" i="32"/>
  <c r="D85" i="32"/>
  <c r="F85" i="32" s="1"/>
  <c r="AO84" i="32"/>
  <c r="AN84" i="32"/>
  <c r="AM84" i="32"/>
  <c r="AH84" i="32"/>
  <c r="AG84" i="32"/>
  <c r="AF84" i="32"/>
  <c r="Z84" i="32"/>
  <c r="Y84" i="32"/>
  <c r="AA84" i="32" s="1"/>
  <c r="S84" i="32"/>
  <c r="R84" i="32"/>
  <c r="T84" i="32" s="1"/>
  <c r="Q84" i="32"/>
  <c r="M84" i="32"/>
  <c r="L84" i="32"/>
  <c r="L90" i="32" s="1" a="1"/>
  <c r="K84" i="32"/>
  <c r="J84" i="32"/>
  <c r="K90" i="32" s="1" a="1"/>
  <c r="F84" i="32"/>
  <c r="E84" i="32"/>
  <c r="D84" i="32"/>
  <c r="AL81" i="32"/>
  <c r="AK81" i="32"/>
  <c r="AE81" i="32"/>
  <c r="AD81" i="32"/>
  <c r="X81" i="32"/>
  <c r="W81" i="32"/>
  <c r="Q81" i="32"/>
  <c r="P81" i="32"/>
  <c r="J81" i="32"/>
  <c r="I81" i="32"/>
  <c r="C81" i="32"/>
  <c r="B81" i="32"/>
  <c r="C85" i="32" s="1"/>
  <c r="AK80" i="32"/>
  <c r="AD80" i="32"/>
  <c r="W80" i="32"/>
  <c r="P80" i="32"/>
  <c r="I80" i="32"/>
  <c r="B80" i="32"/>
  <c r="AL76" i="32"/>
  <c r="AK76" i="32"/>
  <c r="AE76" i="32"/>
  <c r="AD76" i="32"/>
  <c r="X76" i="32"/>
  <c r="W76" i="32"/>
  <c r="Q76" i="32"/>
  <c r="P76" i="32"/>
  <c r="J76" i="32"/>
  <c r="I76" i="32"/>
  <c r="C76" i="32"/>
  <c r="B76" i="32"/>
  <c r="AK75" i="32"/>
  <c r="AD75" i="32"/>
  <c r="W75" i="32"/>
  <c r="P75" i="32"/>
  <c r="I75" i="32"/>
  <c r="B75" i="32"/>
  <c r="AL70" i="32"/>
  <c r="AK70" i="32"/>
  <c r="AE70" i="32"/>
  <c r="AD70" i="32"/>
  <c r="X70" i="32"/>
  <c r="W70" i="32"/>
  <c r="Q70" i="32"/>
  <c r="P70" i="32"/>
  <c r="J70" i="32"/>
  <c r="I70" i="32"/>
  <c r="C70" i="32"/>
  <c r="B70" i="32"/>
  <c r="AK69" i="32"/>
  <c r="AD69" i="32"/>
  <c r="W69" i="32"/>
  <c r="P69" i="32"/>
  <c r="I69" i="32"/>
  <c r="B69" i="32"/>
  <c r="AL65" i="32"/>
  <c r="AK65" i="32"/>
  <c r="AE65" i="32"/>
  <c r="AD65" i="32"/>
  <c r="X65" i="32"/>
  <c r="W65" i="32"/>
  <c r="Q65" i="32"/>
  <c r="Q86" i="32" s="1"/>
  <c r="P65" i="32"/>
  <c r="J65" i="32"/>
  <c r="I65" i="32"/>
  <c r="C65" i="32"/>
  <c r="B65" i="32"/>
  <c r="AK64" i="32"/>
  <c r="AD64" i="32"/>
  <c r="W64" i="32"/>
  <c r="P64" i="32"/>
  <c r="I64" i="32"/>
  <c r="B64" i="32"/>
  <c r="AL59" i="32"/>
  <c r="AL87" i="32" s="1"/>
  <c r="AK59" i="32"/>
  <c r="AE59" i="32"/>
  <c r="AD59" i="32"/>
  <c r="AE86" i="32" s="1"/>
  <c r="X59" i="32"/>
  <c r="X87" i="32" s="1"/>
  <c r="W59" i="32"/>
  <c r="X86" i="32" s="1"/>
  <c r="Q59" i="32"/>
  <c r="Q87" i="32" s="1"/>
  <c r="P59" i="32"/>
  <c r="J59" i="32"/>
  <c r="J87" i="32" s="1"/>
  <c r="I59" i="32"/>
  <c r="C59" i="32"/>
  <c r="B59" i="32"/>
  <c r="C86" i="32" s="1"/>
  <c r="AK58" i="32"/>
  <c r="AD58" i="32"/>
  <c r="W58" i="32"/>
  <c r="P58" i="32"/>
  <c r="I58" i="32"/>
  <c r="B58" i="32"/>
  <c r="AL54" i="32"/>
  <c r="AL85" i="32" s="1"/>
  <c r="AK54" i="32"/>
  <c r="AL84" i="32" s="1"/>
  <c r="AE54" i="32"/>
  <c r="AE85" i="32" s="1"/>
  <c r="AD54" i="32"/>
  <c r="AE84" i="32" s="1"/>
  <c r="X54" i="32"/>
  <c r="W54" i="32"/>
  <c r="X84" i="32" s="1"/>
  <c r="Q54" i="32"/>
  <c r="Q85" i="32" s="1"/>
  <c r="P54" i="32"/>
  <c r="J54" i="32"/>
  <c r="J85" i="32" s="1"/>
  <c r="I54" i="32"/>
  <c r="C54" i="32"/>
  <c r="B54" i="32"/>
  <c r="C84" i="32" s="1"/>
  <c r="AK53" i="32"/>
  <c r="AD53" i="32"/>
  <c r="W53" i="32"/>
  <c r="P53" i="32"/>
  <c r="I53" i="32"/>
  <c r="B53" i="32"/>
  <c r="AO40" i="32"/>
  <c r="AN40" i="32"/>
  <c r="AM40" i="32"/>
  <c r="AL40" i="32"/>
  <c r="AH40" i="32"/>
  <c r="AG40" i="32"/>
  <c r="AF40" i="32"/>
  <c r="Z40" i="32"/>
  <c r="Y40" i="32"/>
  <c r="AA40" i="32" s="1"/>
  <c r="S40" i="32"/>
  <c r="R40" i="32"/>
  <c r="T40" i="32" s="1"/>
  <c r="Q40" i="32"/>
  <c r="M40" i="32"/>
  <c r="L40" i="32"/>
  <c r="K40" i="32"/>
  <c r="J40" i="32"/>
  <c r="F40" i="32"/>
  <c r="E40" i="32"/>
  <c r="D40" i="32"/>
  <c r="AN39" i="32"/>
  <c r="AM39" i="32"/>
  <c r="AO39" i="32" s="1"/>
  <c r="AG39" i="32"/>
  <c r="AF39" i="32"/>
  <c r="AH39" i="32" s="1"/>
  <c r="AA39" i="32"/>
  <c r="Z39" i="32"/>
  <c r="Y39" i="32"/>
  <c r="X39" i="32"/>
  <c r="T39" i="32"/>
  <c r="S39" i="32"/>
  <c r="R39" i="32"/>
  <c r="L39" i="32"/>
  <c r="K39" i="32"/>
  <c r="M39" i="32" s="1"/>
  <c r="E39" i="32"/>
  <c r="D39" i="32"/>
  <c r="F39" i="32" s="1"/>
  <c r="AO38" i="32"/>
  <c r="AN38" i="32"/>
  <c r="AM38" i="32"/>
  <c r="AH38" i="32"/>
  <c r="AG38" i="32"/>
  <c r="AF38" i="32"/>
  <c r="Z38" i="32"/>
  <c r="Y38" i="32"/>
  <c r="AA38" i="32" s="1"/>
  <c r="S38" i="32"/>
  <c r="R38" i="32"/>
  <c r="T38" i="32" s="1"/>
  <c r="Q38" i="32"/>
  <c r="M38" i="32"/>
  <c r="L38" i="32"/>
  <c r="K38" i="32"/>
  <c r="J38" i="32"/>
  <c r="F38" i="32"/>
  <c r="E38" i="32"/>
  <c r="D38" i="32"/>
  <c r="AN37" i="32"/>
  <c r="AM37" i="32"/>
  <c r="AO37" i="32" s="1"/>
  <c r="AG37" i="32"/>
  <c r="AF37" i="32"/>
  <c r="AH37" i="32" s="1"/>
  <c r="AE37" i="32"/>
  <c r="AA37" i="32"/>
  <c r="Z37" i="32"/>
  <c r="Y37" i="32"/>
  <c r="T37" i="32"/>
  <c r="S37" i="32"/>
  <c r="R37" i="32"/>
  <c r="L37" i="32"/>
  <c r="K37" i="32"/>
  <c r="M37" i="32" s="1"/>
  <c r="E37" i="32"/>
  <c r="E43" i="32" s="1" a="1"/>
  <c r="D37" i="32"/>
  <c r="F37" i="32" s="1"/>
  <c r="AL34" i="32"/>
  <c r="AK34" i="32"/>
  <c r="AE34" i="32"/>
  <c r="AD34" i="32"/>
  <c r="X34" i="32"/>
  <c r="X37" i="32" s="1"/>
  <c r="W34" i="32"/>
  <c r="Q34" i="32"/>
  <c r="P34" i="32"/>
  <c r="J34" i="32"/>
  <c r="I34" i="32"/>
  <c r="C34" i="32"/>
  <c r="B34" i="32"/>
  <c r="AK33" i="32"/>
  <c r="AD33" i="32"/>
  <c r="W33" i="32"/>
  <c r="P33" i="32"/>
  <c r="I33" i="32"/>
  <c r="B33" i="32"/>
  <c r="AL29" i="32"/>
  <c r="AK29" i="32"/>
  <c r="AL38" i="32" s="1"/>
  <c r="AE29" i="32"/>
  <c r="AE39" i="32" s="1"/>
  <c r="AD29" i="32"/>
  <c r="X29" i="32"/>
  <c r="W29" i="32"/>
  <c r="Q29" i="32"/>
  <c r="P29" i="32"/>
  <c r="J29" i="32"/>
  <c r="I29" i="32"/>
  <c r="C29" i="32"/>
  <c r="B29" i="32"/>
  <c r="AK28" i="32"/>
  <c r="AD28" i="32"/>
  <c r="W28" i="32"/>
  <c r="P28" i="32"/>
  <c r="I28" i="32"/>
  <c r="B28" i="32"/>
  <c r="AL23" i="32"/>
  <c r="AK23" i="32"/>
  <c r="AE23" i="32"/>
  <c r="AD23" i="32"/>
  <c r="X23" i="32"/>
  <c r="W23" i="32"/>
  <c r="Q23" i="32"/>
  <c r="P23" i="32"/>
  <c r="J23" i="32"/>
  <c r="I23" i="32"/>
  <c r="C23" i="32"/>
  <c r="B23" i="32"/>
  <c r="AK22" i="32"/>
  <c r="AD22" i="32"/>
  <c r="W22" i="32"/>
  <c r="P22" i="32"/>
  <c r="I22" i="32"/>
  <c r="B22" i="32"/>
  <c r="AL18" i="32"/>
  <c r="AK18" i="32"/>
  <c r="AE18" i="32"/>
  <c r="AD18" i="32"/>
  <c r="AE40" i="32" s="1"/>
  <c r="X18" i="32"/>
  <c r="W18" i="32"/>
  <c r="Q18" i="32"/>
  <c r="P18" i="32"/>
  <c r="J18" i="32"/>
  <c r="I18" i="32"/>
  <c r="C18" i="32"/>
  <c r="B18" i="32"/>
  <c r="AK17" i="32"/>
  <c r="AD17" i="32"/>
  <c r="W17" i="32"/>
  <c r="P17" i="32"/>
  <c r="I17" i="32"/>
  <c r="B17" i="32"/>
  <c r="AL12" i="32"/>
  <c r="AK12" i="32"/>
  <c r="AL39" i="32" s="1"/>
  <c r="AE12" i="32"/>
  <c r="AD12" i="32"/>
  <c r="X12" i="32"/>
  <c r="X40" i="32" s="1"/>
  <c r="W12" i="32"/>
  <c r="Q12" i="32"/>
  <c r="P12" i="32"/>
  <c r="Q39" i="32" s="1"/>
  <c r="J12" i="32"/>
  <c r="I12" i="32"/>
  <c r="J39" i="32" s="1"/>
  <c r="C12" i="32"/>
  <c r="C40" i="32" s="1"/>
  <c r="B12" i="32"/>
  <c r="C39" i="32" s="1"/>
  <c r="AK11" i="32"/>
  <c r="AD11" i="32"/>
  <c r="W11" i="32"/>
  <c r="P11" i="32"/>
  <c r="I11" i="32"/>
  <c r="B11" i="32"/>
  <c r="AL7" i="32"/>
  <c r="AK7" i="32"/>
  <c r="AL37" i="32" s="1"/>
  <c r="AE7" i="32"/>
  <c r="AE38" i="32" s="1"/>
  <c r="AD7" i="32"/>
  <c r="X7" i="32"/>
  <c r="X38" i="32" s="1"/>
  <c r="W7" i="32"/>
  <c r="Q7" i="32"/>
  <c r="P7" i="32"/>
  <c r="Q37" i="32" s="1"/>
  <c r="J7" i="32"/>
  <c r="I7" i="32"/>
  <c r="J37" i="32" s="1"/>
  <c r="C7" i="32"/>
  <c r="C38" i="32" s="1"/>
  <c r="B7" i="32"/>
  <c r="C37" i="32" s="1"/>
  <c r="AK6" i="32"/>
  <c r="AD6" i="32"/>
  <c r="W6" i="32"/>
  <c r="P6" i="32"/>
  <c r="I6" i="32"/>
  <c r="B6" i="32"/>
  <c r="AN87" i="31"/>
  <c r="AM87" i="31"/>
  <c r="AO87" i="31" s="1"/>
  <c r="AG87" i="31"/>
  <c r="AF87" i="31"/>
  <c r="AH87" i="31" s="1"/>
  <c r="AA87" i="31"/>
  <c r="Z87" i="31"/>
  <c r="Y87" i="31"/>
  <c r="S87" i="31"/>
  <c r="T87" i="31" s="1"/>
  <c r="R87" i="31"/>
  <c r="L87" i="31"/>
  <c r="K87" i="31"/>
  <c r="M87" i="31" s="1"/>
  <c r="E87" i="31"/>
  <c r="D87" i="31"/>
  <c r="F87" i="31" s="1"/>
  <c r="AO86" i="31"/>
  <c r="AN86" i="31"/>
  <c r="AM86" i="31"/>
  <c r="AL86" i="31"/>
  <c r="AG86" i="31"/>
  <c r="AH86" i="31" s="1"/>
  <c r="AF86" i="31"/>
  <c r="Z86" i="31"/>
  <c r="Y86" i="31"/>
  <c r="AA86" i="31" s="1"/>
  <c r="S86" i="31"/>
  <c r="R86" i="31"/>
  <c r="T86" i="31" s="1"/>
  <c r="M86" i="31"/>
  <c r="L86" i="31"/>
  <c r="K86" i="31"/>
  <c r="J86" i="31"/>
  <c r="E86" i="31"/>
  <c r="F86" i="31" s="1"/>
  <c r="D86" i="31"/>
  <c r="AN85" i="31"/>
  <c r="AM85" i="31"/>
  <c r="AO85" i="31" s="1"/>
  <c r="AG85" i="31"/>
  <c r="AF85" i="31"/>
  <c r="AH85" i="31" s="1"/>
  <c r="AA85" i="31"/>
  <c r="Z85" i="31"/>
  <c r="Y85" i="31"/>
  <c r="X85" i="31"/>
  <c r="S85" i="31"/>
  <c r="T85" i="31" s="1"/>
  <c r="R85" i="31"/>
  <c r="L85" i="31"/>
  <c r="K85" i="31"/>
  <c r="M85" i="31" s="1"/>
  <c r="E85" i="31"/>
  <c r="D85" i="31"/>
  <c r="F85" i="31" s="1"/>
  <c r="AO84" i="31"/>
  <c r="AN84" i="31"/>
  <c r="AM84" i="31"/>
  <c r="AG84" i="31"/>
  <c r="AH84" i="31" s="1"/>
  <c r="AH90" i="31" s="1" a="1"/>
  <c r="AF84" i="31"/>
  <c r="Z84" i="31"/>
  <c r="Y84" i="31"/>
  <c r="AA84" i="31" s="1"/>
  <c r="S84" i="31"/>
  <c r="R84" i="31"/>
  <c r="T84" i="31" s="1"/>
  <c r="M84" i="31"/>
  <c r="L84" i="31"/>
  <c r="K84" i="31"/>
  <c r="J84" i="31"/>
  <c r="E84" i="31"/>
  <c r="F84" i="31" s="1"/>
  <c r="D84" i="31"/>
  <c r="AL81" i="31"/>
  <c r="AK81" i="31"/>
  <c r="AE81" i="31"/>
  <c r="AD81" i="31"/>
  <c r="X81" i="31"/>
  <c r="W81" i="31"/>
  <c r="Q81" i="31"/>
  <c r="P81" i="31"/>
  <c r="J81" i="31"/>
  <c r="I81" i="31"/>
  <c r="C81" i="31"/>
  <c r="B81" i="31"/>
  <c r="C85" i="31" s="1"/>
  <c r="AK80" i="31"/>
  <c r="AD80" i="31"/>
  <c r="W80" i="31"/>
  <c r="P80" i="31"/>
  <c r="I80" i="31"/>
  <c r="B80" i="31"/>
  <c r="AL76" i="31"/>
  <c r="AK76" i="31"/>
  <c r="AE76" i="31"/>
  <c r="AD76" i="31"/>
  <c r="X76" i="31"/>
  <c r="W76" i="31"/>
  <c r="Q76" i="31"/>
  <c r="P76" i="31"/>
  <c r="J76" i="31"/>
  <c r="I76" i="31"/>
  <c r="C76" i="31"/>
  <c r="B76" i="31"/>
  <c r="AK75" i="31"/>
  <c r="AD75" i="31"/>
  <c r="W75" i="31"/>
  <c r="P75" i="31"/>
  <c r="I75" i="31"/>
  <c r="B75" i="31"/>
  <c r="AL70" i="31"/>
  <c r="AK70" i="31"/>
  <c r="AE70" i="31"/>
  <c r="AD70" i="31"/>
  <c r="X70" i="31"/>
  <c r="W70" i="31"/>
  <c r="Q70" i="31"/>
  <c r="P70" i="31"/>
  <c r="J70" i="31"/>
  <c r="I70" i="31"/>
  <c r="J87" i="31" s="1"/>
  <c r="C70" i="31"/>
  <c r="B70" i="31"/>
  <c r="AK69" i="31"/>
  <c r="AD69" i="31"/>
  <c r="W69" i="31"/>
  <c r="P69" i="31"/>
  <c r="I69" i="31"/>
  <c r="B69" i="31"/>
  <c r="AL65" i="31"/>
  <c r="AK65" i="31"/>
  <c r="AE65" i="31"/>
  <c r="AD65" i="31"/>
  <c r="X65" i="31"/>
  <c r="W65" i="31"/>
  <c r="X84" i="31" s="1"/>
  <c r="Q65" i="31"/>
  <c r="Q86" i="31" s="1"/>
  <c r="P65" i="31"/>
  <c r="Q84" i="31" s="1"/>
  <c r="J65" i="31"/>
  <c r="I65" i="31"/>
  <c r="C65" i="31"/>
  <c r="B65" i="31"/>
  <c r="AK64" i="31"/>
  <c r="AD64" i="31"/>
  <c r="W64" i="31"/>
  <c r="P64" i="31"/>
  <c r="I64" i="31"/>
  <c r="B64" i="31"/>
  <c r="AL59" i="31"/>
  <c r="AL87" i="31" s="1"/>
  <c r="AK59" i="31"/>
  <c r="AE59" i="31"/>
  <c r="AE87" i="31" s="1"/>
  <c r="AD59" i="31"/>
  <c r="AE86" i="31" s="1"/>
  <c r="X59" i="31"/>
  <c r="X87" i="31" s="1"/>
  <c r="W59" i="31"/>
  <c r="X86" i="31" s="1"/>
  <c r="Q59" i="31"/>
  <c r="Q87" i="31" s="1"/>
  <c r="P59" i="31"/>
  <c r="J59" i="31"/>
  <c r="I59" i="31"/>
  <c r="C59" i="31"/>
  <c r="C87" i="31" s="1"/>
  <c r="B59" i="31"/>
  <c r="C86" i="31" s="1"/>
  <c r="AK58" i="31"/>
  <c r="AD58" i="31"/>
  <c r="W58" i="31"/>
  <c r="P58" i="31"/>
  <c r="I58" i="31"/>
  <c r="B58" i="31"/>
  <c r="AL54" i="31"/>
  <c r="AL85" i="31" s="1"/>
  <c r="AK54" i="31"/>
  <c r="AL84" i="31" s="1"/>
  <c r="AE54" i="31"/>
  <c r="AE85" i="31" s="1"/>
  <c r="AD54" i="31"/>
  <c r="AE84" i="31" s="1"/>
  <c r="X54" i="31"/>
  <c r="W54" i="31"/>
  <c r="Q54" i="31"/>
  <c r="Q85" i="31" s="1"/>
  <c r="P54" i="31"/>
  <c r="J54" i="31"/>
  <c r="J85" i="31" s="1"/>
  <c r="M90" i="31" s="1" a="1"/>
  <c r="I54" i="31"/>
  <c r="C54" i="31"/>
  <c r="B54" i="31"/>
  <c r="C84" i="31" s="1"/>
  <c r="AK53" i="31"/>
  <c r="AD53" i="31"/>
  <c r="W53" i="31"/>
  <c r="P53" i="31"/>
  <c r="I53" i="31"/>
  <c r="B53" i="31"/>
  <c r="AN40" i="31"/>
  <c r="AM40" i="31"/>
  <c r="AO40" i="31" s="1"/>
  <c r="AL40" i="31"/>
  <c r="AG40" i="31"/>
  <c r="AH40" i="31" s="1"/>
  <c r="AF40" i="31"/>
  <c r="Z40" i="31"/>
  <c r="Y40" i="31"/>
  <c r="AA40" i="31" s="1"/>
  <c r="S40" i="31"/>
  <c r="R40" i="31"/>
  <c r="T40" i="31" s="1"/>
  <c r="L40" i="31"/>
  <c r="K40" i="31"/>
  <c r="M40" i="31" s="1"/>
  <c r="J40" i="31"/>
  <c r="E40" i="31"/>
  <c r="F40" i="31" s="1"/>
  <c r="D40" i="31"/>
  <c r="AN39" i="31"/>
  <c r="AM39" i="31"/>
  <c r="AO39" i="31" s="1"/>
  <c r="AG39" i="31"/>
  <c r="AF39" i="31"/>
  <c r="AH39" i="31" s="1"/>
  <c r="Z39" i="31"/>
  <c r="Y39" i="31"/>
  <c r="AA39" i="31" s="1"/>
  <c r="X39" i="31"/>
  <c r="S39" i="31"/>
  <c r="T39" i="31" s="1"/>
  <c r="R39" i="31"/>
  <c r="L39" i="31"/>
  <c r="K39" i="31"/>
  <c r="M39" i="31" s="1"/>
  <c r="E39" i="31"/>
  <c r="D39" i="31"/>
  <c r="F39" i="31" s="1"/>
  <c r="AN38" i="31"/>
  <c r="AM38" i="31"/>
  <c r="AO38" i="31" s="1"/>
  <c r="AG38" i="31"/>
  <c r="AH38" i="31" s="1"/>
  <c r="AF38" i="31"/>
  <c r="Z38" i="31"/>
  <c r="Y38" i="31"/>
  <c r="AA38" i="31" s="1"/>
  <c r="S38" i="31"/>
  <c r="R38" i="31"/>
  <c r="T38" i="31" s="1"/>
  <c r="L38" i="31"/>
  <c r="K38" i="31"/>
  <c r="M38" i="31" s="1"/>
  <c r="J38" i="31"/>
  <c r="E38" i="31"/>
  <c r="F38" i="31" s="1"/>
  <c r="D38" i="31"/>
  <c r="AN37" i="31"/>
  <c r="AM37" i="31"/>
  <c r="AO37" i="31" s="1"/>
  <c r="AG37" i="31"/>
  <c r="AF37" i="31"/>
  <c r="AH37" i="31" s="1"/>
  <c r="Z37" i="31"/>
  <c r="Y37" i="31"/>
  <c r="AA37" i="31" s="1"/>
  <c r="S37" i="31"/>
  <c r="T37" i="31" s="1"/>
  <c r="R37" i="31"/>
  <c r="L37" i="31"/>
  <c r="K37" i="31"/>
  <c r="M37" i="31" s="1"/>
  <c r="E37" i="31"/>
  <c r="D37" i="31"/>
  <c r="F37" i="31" s="1"/>
  <c r="AL34" i="31"/>
  <c r="AK34" i="31"/>
  <c r="AE34" i="31"/>
  <c r="AD34" i="31"/>
  <c r="X34" i="31"/>
  <c r="X37" i="31" s="1"/>
  <c r="W34" i="31"/>
  <c r="Q34" i="31"/>
  <c r="P34" i="31"/>
  <c r="J34" i="31"/>
  <c r="I34" i="31"/>
  <c r="C34" i="31"/>
  <c r="B34" i="31"/>
  <c r="AK33" i="31"/>
  <c r="AD33" i="31"/>
  <c r="W33" i="31"/>
  <c r="P33" i="31"/>
  <c r="I33" i="31"/>
  <c r="B33" i="31"/>
  <c r="AL29" i="31"/>
  <c r="AK29" i="31"/>
  <c r="AL38" i="31" s="1"/>
  <c r="AE29" i="31"/>
  <c r="AE39" i="31" s="1"/>
  <c r="AD29" i="31"/>
  <c r="X29" i="31"/>
  <c r="W29" i="31"/>
  <c r="Q29" i="31"/>
  <c r="P29" i="31"/>
  <c r="J29" i="31"/>
  <c r="I29" i="31"/>
  <c r="C29" i="31"/>
  <c r="B29" i="31"/>
  <c r="AK28" i="31"/>
  <c r="AD28" i="31"/>
  <c r="W28" i="31"/>
  <c r="P28" i="31"/>
  <c r="I28" i="31"/>
  <c r="B28" i="31"/>
  <c r="AL23" i="31"/>
  <c r="AL39" i="31" s="1"/>
  <c r="AK23" i="31"/>
  <c r="AE23" i="31"/>
  <c r="AD23" i="31"/>
  <c r="X23" i="31"/>
  <c r="W23" i="31"/>
  <c r="Q23" i="31"/>
  <c r="P23" i="31"/>
  <c r="J23" i="31"/>
  <c r="I23" i="31"/>
  <c r="C23" i="31"/>
  <c r="B23" i="31"/>
  <c r="AK22" i="31"/>
  <c r="AD22" i="31"/>
  <c r="W22" i="31"/>
  <c r="P22" i="31"/>
  <c r="I22" i="31"/>
  <c r="B22" i="31"/>
  <c r="AL18" i="31"/>
  <c r="AK18" i="31"/>
  <c r="AE18" i="31"/>
  <c r="AD18" i="31"/>
  <c r="X18" i="31"/>
  <c r="W18" i="31"/>
  <c r="X40" i="31" s="1"/>
  <c r="Q18" i="31"/>
  <c r="P18" i="31"/>
  <c r="J18" i="31"/>
  <c r="I18" i="31"/>
  <c r="C18" i="31"/>
  <c r="B18" i="31"/>
  <c r="AK17" i="31"/>
  <c r="AD17" i="31"/>
  <c r="W17" i="31"/>
  <c r="P17" i="31"/>
  <c r="I17" i="31"/>
  <c r="B17" i="31"/>
  <c r="AL12" i="31"/>
  <c r="AK12" i="31"/>
  <c r="AE12" i="31"/>
  <c r="AE40" i="31" s="1"/>
  <c r="AD12" i="31"/>
  <c r="X12" i="31"/>
  <c r="W12" i="31"/>
  <c r="Q12" i="31"/>
  <c r="Q40" i="31" s="1"/>
  <c r="P12" i="31"/>
  <c r="Q39" i="31" s="1"/>
  <c r="J12" i="31"/>
  <c r="I12" i="31"/>
  <c r="J39" i="31" s="1"/>
  <c r="C12" i="31"/>
  <c r="C40" i="31" s="1"/>
  <c r="B12" i="31"/>
  <c r="C39" i="31" s="1"/>
  <c r="AK11" i="31"/>
  <c r="AD11" i="31"/>
  <c r="W11" i="31"/>
  <c r="P11" i="31"/>
  <c r="I11" i="31"/>
  <c r="B11" i="31"/>
  <c r="AL7" i="31"/>
  <c r="AK7" i="31"/>
  <c r="AL37" i="31" s="1"/>
  <c r="AE7" i="31"/>
  <c r="AE38" i="31" s="1"/>
  <c r="AD7" i="31"/>
  <c r="AE37" i="31" s="1"/>
  <c r="X7" i="31"/>
  <c r="X38" i="31" s="1"/>
  <c r="W7" i="31"/>
  <c r="Q7" i="31"/>
  <c r="Q38" i="31" s="1"/>
  <c r="P7" i="31"/>
  <c r="Q37" i="31" s="1"/>
  <c r="J7" i="31"/>
  <c r="I7" i="31"/>
  <c r="J37" i="31" s="1"/>
  <c r="C7" i="31"/>
  <c r="C38" i="31" s="1"/>
  <c r="B7" i="31"/>
  <c r="C37" i="31" s="1"/>
  <c r="AK6" i="31"/>
  <c r="AD6" i="31"/>
  <c r="W6" i="31"/>
  <c r="P6" i="31"/>
  <c r="I6" i="31"/>
  <c r="B6" i="31"/>
  <c r="M43" i="32" l="1" a="1"/>
  <c r="K90" i="32"/>
  <c r="V99" i="32"/>
  <c r="L90" i="32"/>
  <c r="W99" i="32"/>
  <c r="T43" i="32" a="1"/>
  <c r="R90" i="32" a="1"/>
  <c r="AL43" i="32" a="1"/>
  <c r="AK43" i="32" a="1"/>
  <c r="AO43" i="32" a="1"/>
  <c r="P90" i="32" a="1"/>
  <c r="T90" i="32" a="1"/>
  <c r="Z43" i="32" a="1"/>
  <c r="S90" i="32" a="1"/>
  <c r="AA90" i="32" a="1"/>
  <c r="AD43" i="32" a="1"/>
  <c r="AA43" i="32" a="1"/>
  <c r="B90" i="32" a="1"/>
  <c r="E90" i="32" a="1"/>
  <c r="C90" i="32" a="1"/>
  <c r="B43" i="32" a="1"/>
  <c r="D43" i="32" a="1"/>
  <c r="C43" i="32" a="1"/>
  <c r="Y43" i="32" a="1"/>
  <c r="X43" i="32" a="1"/>
  <c r="W43" i="32" a="1"/>
  <c r="AH43" i="32" a="1"/>
  <c r="AF43" i="32" a="1"/>
  <c r="AG90" i="32" a="1"/>
  <c r="AH90" i="32" a="1"/>
  <c r="AN90" i="32" a="1"/>
  <c r="AL90" i="32" a="1"/>
  <c r="AM90" i="32" a="1"/>
  <c r="AK90" i="32" a="1"/>
  <c r="AN43" i="32" a="1"/>
  <c r="J43" i="32" a="1"/>
  <c r="L43" i="32" a="1"/>
  <c r="K43" i="32" a="1"/>
  <c r="I43" i="32" a="1"/>
  <c r="R43" i="32" a="1"/>
  <c r="Q43" i="32" a="1"/>
  <c r="P43" i="32" a="1"/>
  <c r="S43" i="32" a="1"/>
  <c r="X90" i="32" a="1"/>
  <c r="W90" i="32" a="1"/>
  <c r="Z90" i="32" a="1"/>
  <c r="Y90" i="32" a="1"/>
  <c r="F43" i="32" a="1"/>
  <c r="AO90" i="32" a="1"/>
  <c r="E43" i="32"/>
  <c r="W104" i="32"/>
  <c r="AD90" i="32" a="1"/>
  <c r="AF90" i="32" a="1"/>
  <c r="AE90" i="32" a="1"/>
  <c r="F90" i="32" a="1"/>
  <c r="AE43" i="32" a="1"/>
  <c r="M90" i="32" a="1"/>
  <c r="AG43" i="32" a="1"/>
  <c r="Q90" i="32" a="1"/>
  <c r="I90" i="32" a="1"/>
  <c r="J90" i="32" a="1"/>
  <c r="AM43" i="32" a="1"/>
  <c r="D90" i="32" a="1"/>
  <c r="AO43" i="31" a="1"/>
  <c r="B90" i="31" a="1"/>
  <c r="C90" i="31" a="1"/>
  <c r="E90" i="31" a="1"/>
  <c r="D90" i="31" a="1"/>
  <c r="C43" i="31" a="1"/>
  <c r="D43" i="31" a="1"/>
  <c r="B43" i="31" a="1"/>
  <c r="AO90" i="31" a="1"/>
  <c r="AN43" i="31" a="1"/>
  <c r="F43" i="31" a="1"/>
  <c r="F90" i="31" a="1"/>
  <c r="AH90" i="31"/>
  <c r="X102" i="31"/>
  <c r="J90" i="31" a="1"/>
  <c r="M90" i="31"/>
  <c r="X99" i="31"/>
  <c r="L90" i="31" a="1"/>
  <c r="Z43" i="31" a="1"/>
  <c r="W43" i="31" a="1"/>
  <c r="Y43" i="31" a="1"/>
  <c r="X43" i="31" a="1"/>
  <c r="K43" i="31" a="1"/>
  <c r="J43" i="31" a="1"/>
  <c r="L43" i="31" a="1"/>
  <c r="T43" i="31" a="1"/>
  <c r="I43" i="31" a="1"/>
  <c r="M43" i="31" a="1"/>
  <c r="AF90" i="31" a="1"/>
  <c r="AE90" i="31" a="1"/>
  <c r="AD90" i="31" a="1"/>
  <c r="AL43" i="31" a="1"/>
  <c r="AK43" i="31" a="1"/>
  <c r="X90" i="31" a="1"/>
  <c r="Y90" i="31" a="1"/>
  <c r="W90" i="31" a="1"/>
  <c r="Z90" i="31" a="1"/>
  <c r="T90" i="31" a="1"/>
  <c r="R43" i="31" a="1"/>
  <c r="Q43" i="31" a="1"/>
  <c r="P43" i="31" a="1"/>
  <c r="S43" i="31" a="1"/>
  <c r="AA43" i="31" a="1"/>
  <c r="S90" i="31" a="1"/>
  <c r="K90" i="31" a="1"/>
  <c r="AA90" i="31" a="1"/>
  <c r="E43" i="31" a="1"/>
  <c r="AD43" i="31" a="1"/>
  <c r="AF43" i="31" a="1"/>
  <c r="AG43" i="31" a="1"/>
  <c r="AE43" i="31" a="1"/>
  <c r="P90" i="31" a="1"/>
  <c r="R90" i="31" a="1"/>
  <c r="Q90" i="31" a="1"/>
  <c r="AK90" i="31" a="1"/>
  <c r="AN90" i="31" a="1"/>
  <c r="AM90" i="31" a="1"/>
  <c r="AL90" i="31" a="1"/>
  <c r="AH43" i="31" a="1"/>
  <c r="I90" i="31" a="1"/>
  <c r="AG90" i="31" a="1"/>
  <c r="AM43" i="31" a="1"/>
  <c r="AD43" i="32" l="1"/>
  <c r="R108" i="32"/>
  <c r="V101" i="32"/>
  <c r="Y90" i="32"/>
  <c r="W90" i="32"/>
  <c r="R101" i="32"/>
  <c r="AG90" i="32"/>
  <c r="W102" i="32"/>
  <c r="Z43" i="32"/>
  <c r="W107" i="32"/>
  <c r="X101" i="32"/>
  <c r="AA90" i="32"/>
  <c r="X90" i="32"/>
  <c r="U101" i="32"/>
  <c r="V108" i="32"/>
  <c r="AF43" i="32"/>
  <c r="T90" i="32"/>
  <c r="X100" i="32"/>
  <c r="AH43" i="32"/>
  <c r="X108" i="32"/>
  <c r="R100" i="32"/>
  <c r="P90" i="32"/>
  <c r="AH90" i="32"/>
  <c r="X102" i="32"/>
  <c r="R107" i="32"/>
  <c r="W43" i="32"/>
  <c r="X109" i="32"/>
  <c r="AO43" i="32"/>
  <c r="S90" i="32"/>
  <c r="W100" i="32"/>
  <c r="Q43" i="32"/>
  <c r="U106" i="32"/>
  <c r="U107" i="32"/>
  <c r="X43" i="32"/>
  <c r="R109" i="32"/>
  <c r="AK43" i="32"/>
  <c r="W101" i="32"/>
  <c r="Z90" i="32"/>
  <c r="AE43" i="32"/>
  <c r="U108" i="32"/>
  <c r="R43" i="32"/>
  <c r="V106" i="32"/>
  <c r="V107" i="32"/>
  <c r="Y43" i="32"/>
  <c r="AL43" i="32"/>
  <c r="U109" i="32"/>
  <c r="V98" i="32"/>
  <c r="D90" i="32"/>
  <c r="R106" i="32"/>
  <c r="P43" i="32"/>
  <c r="R105" i="32"/>
  <c r="I43" i="32"/>
  <c r="U104" i="32"/>
  <c r="C43" i="32"/>
  <c r="V100" i="32"/>
  <c r="R90" i="32"/>
  <c r="AM43" i="32"/>
  <c r="V109" i="32"/>
  <c r="M90" i="32"/>
  <c r="X99" i="32"/>
  <c r="D43" i="32"/>
  <c r="V104" i="32"/>
  <c r="X106" i="32"/>
  <c r="T43" i="32"/>
  <c r="U103" i="32"/>
  <c r="AL90" i="32"/>
  <c r="U100" i="32"/>
  <c r="Q90" i="32"/>
  <c r="AF90" i="32"/>
  <c r="V102" i="32"/>
  <c r="L43" i="32"/>
  <c r="W105" i="32"/>
  <c r="R104" i="32"/>
  <c r="B43" i="32"/>
  <c r="R99" i="32"/>
  <c r="I90" i="32"/>
  <c r="R102" i="32"/>
  <c r="AD90" i="32"/>
  <c r="U105" i="32"/>
  <c r="J43" i="32"/>
  <c r="U98" i="32"/>
  <c r="C90" i="32"/>
  <c r="W103" i="32"/>
  <c r="AN90" i="32"/>
  <c r="W108" i="32"/>
  <c r="AG43" i="32"/>
  <c r="U102" i="32"/>
  <c r="AE90" i="32"/>
  <c r="AN43" i="32"/>
  <c r="W109" i="32"/>
  <c r="W98" i="32"/>
  <c r="E90" i="32"/>
  <c r="F43" i="32"/>
  <c r="X104" i="32"/>
  <c r="S43" i="32"/>
  <c r="W106" i="32"/>
  <c r="V105" i="32"/>
  <c r="K43" i="32"/>
  <c r="AK90" i="32"/>
  <c r="R103" i="32"/>
  <c r="B90" i="32"/>
  <c r="R98" i="32"/>
  <c r="J90" i="32"/>
  <c r="U99" i="32"/>
  <c r="X98" i="32"/>
  <c r="F90" i="32"/>
  <c r="AO90" i="32"/>
  <c r="X103" i="32"/>
  <c r="V103" i="32"/>
  <c r="AM90" i="32"/>
  <c r="AA43" i="32"/>
  <c r="X107" i="32"/>
  <c r="X105" i="32"/>
  <c r="M43" i="32"/>
  <c r="R102" i="31"/>
  <c r="AD90" i="31"/>
  <c r="U102" i="31"/>
  <c r="AE90" i="31"/>
  <c r="AG90" i="31"/>
  <c r="W102" i="31"/>
  <c r="K90" i="31"/>
  <c r="V99" i="31"/>
  <c r="AF90" i="31"/>
  <c r="V102" i="31"/>
  <c r="AM43" i="31"/>
  <c r="V109" i="31"/>
  <c r="R99" i="31"/>
  <c r="I90" i="31"/>
  <c r="S90" i="31"/>
  <c r="W100" i="31"/>
  <c r="M43" i="31"/>
  <c r="X105" i="31"/>
  <c r="X98" i="31"/>
  <c r="F90" i="31"/>
  <c r="AL43" i="31"/>
  <c r="U109" i="31"/>
  <c r="AA43" i="31"/>
  <c r="X107" i="31"/>
  <c r="R105" i="31"/>
  <c r="I43" i="31"/>
  <c r="F43" i="31"/>
  <c r="X104" i="31"/>
  <c r="U103" i="31"/>
  <c r="AL90" i="31"/>
  <c r="S43" i="31"/>
  <c r="W106" i="31"/>
  <c r="X106" i="31"/>
  <c r="T43" i="31"/>
  <c r="AN43" i="31"/>
  <c r="W109" i="31"/>
  <c r="R106" i="31"/>
  <c r="P43" i="31"/>
  <c r="AK90" i="31"/>
  <c r="R103" i="31"/>
  <c r="R43" i="31"/>
  <c r="V106" i="31"/>
  <c r="V105" i="31"/>
  <c r="K43" i="31"/>
  <c r="D43" i="31"/>
  <c r="V104" i="31"/>
  <c r="E43" i="31"/>
  <c r="W104" i="31"/>
  <c r="L43" i="31"/>
  <c r="W105" i="31"/>
  <c r="R104" i="31"/>
  <c r="B43" i="31"/>
  <c r="U100" i="31"/>
  <c r="Q90" i="31"/>
  <c r="T90" i="31"/>
  <c r="X100" i="31"/>
  <c r="U107" i="31"/>
  <c r="X43" i="31"/>
  <c r="U104" i="31"/>
  <c r="C43" i="31"/>
  <c r="V103" i="31"/>
  <c r="AM90" i="31"/>
  <c r="R90" i="31"/>
  <c r="V100" i="31"/>
  <c r="W101" i="31"/>
  <c r="Z90" i="31"/>
  <c r="V107" i="31"/>
  <c r="Y43" i="31"/>
  <c r="V98" i="31"/>
  <c r="D90" i="31"/>
  <c r="AD43" i="31"/>
  <c r="R108" i="31"/>
  <c r="AO90" i="31"/>
  <c r="X103" i="31"/>
  <c r="W90" i="31"/>
  <c r="R101" i="31"/>
  <c r="W43" i="31"/>
  <c r="R107" i="31"/>
  <c r="E90" i="31"/>
  <c r="W98" i="31"/>
  <c r="W112" i="31" s="1" a="1"/>
  <c r="W112" i="31" s="1"/>
  <c r="AA90" i="31"/>
  <c r="X101" i="31"/>
  <c r="U105" i="31"/>
  <c r="J43" i="31"/>
  <c r="U108" i="31"/>
  <c r="AE43" i="31"/>
  <c r="V101" i="31"/>
  <c r="Y90" i="31"/>
  <c r="Z43" i="31"/>
  <c r="W107" i="31"/>
  <c r="U98" i="31"/>
  <c r="C90" i="31"/>
  <c r="X108" i="31"/>
  <c r="AH43" i="31"/>
  <c r="Q43" i="31"/>
  <c r="U106" i="31"/>
  <c r="X90" i="31"/>
  <c r="U101" i="31"/>
  <c r="L90" i="31"/>
  <c r="W99" i="31"/>
  <c r="B90" i="31"/>
  <c r="R98" i="31"/>
  <c r="J90" i="31"/>
  <c r="U99" i="31"/>
  <c r="AN90" i="31"/>
  <c r="W103" i="31"/>
  <c r="R100" i="31"/>
  <c r="P90" i="31"/>
  <c r="W108" i="31"/>
  <c r="AG43" i="31"/>
  <c r="V108" i="31"/>
  <c r="AF43" i="31"/>
  <c r="R109" i="31"/>
  <c r="AK43" i="31"/>
  <c r="AO43" i="31"/>
  <c r="X109" i="31"/>
  <c r="V112" i="32" l="1" a="1"/>
  <c r="V112" i="32" s="1"/>
  <c r="X112" i="32" a="1"/>
  <c r="X112" i="32" s="1"/>
  <c r="W112" i="32" a="1"/>
  <c r="W112" i="32" s="1"/>
  <c r="R112" i="32" a="1"/>
  <c r="R112" i="32" s="1"/>
  <c r="U112" i="32" a="1"/>
  <c r="U112" i="32" s="1"/>
  <c r="V112" i="31" a="1"/>
  <c r="V112" i="31" s="1"/>
  <c r="U112" i="31" a="1"/>
  <c r="U112" i="31" s="1"/>
  <c r="X112" i="31" a="1"/>
  <c r="X112" i="31" s="1"/>
  <c r="R112" i="31" a="1"/>
  <c r="R112" i="31" s="1"/>
  <c r="AN87" i="30" l="1"/>
  <c r="AM87" i="30"/>
  <c r="AO87" i="30" s="1"/>
  <c r="AG87" i="30"/>
  <c r="AF87" i="30"/>
  <c r="AH87" i="30" s="1"/>
  <c r="Z87" i="30"/>
  <c r="Y87" i="30"/>
  <c r="AA87" i="30" s="1"/>
  <c r="S87" i="30"/>
  <c r="R87" i="30"/>
  <c r="T87" i="30" s="1"/>
  <c r="L87" i="30"/>
  <c r="K87" i="30"/>
  <c r="M87" i="30" s="1"/>
  <c r="E87" i="30"/>
  <c r="D87" i="30"/>
  <c r="F87" i="30" s="1"/>
  <c r="AN86" i="30"/>
  <c r="AM86" i="30"/>
  <c r="AO86" i="30" s="1"/>
  <c r="AL86" i="30"/>
  <c r="AG86" i="30"/>
  <c r="AF86" i="30"/>
  <c r="AH86" i="30" s="1"/>
  <c r="Z86" i="30"/>
  <c r="Y86" i="30"/>
  <c r="AA86" i="30" s="1"/>
  <c r="S86" i="30"/>
  <c r="R86" i="30"/>
  <c r="L86" i="30"/>
  <c r="K86" i="30"/>
  <c r="E86" i="30"/>
  <c r="D86" i="30"/>
  <c r="F86" i="30" s="1"/>
  <c r="AN85" i="30"/>
  <c r="AM85" i="30"/>
  <c r="AO85" i="30" s="1"/>
  <c r="AG85" i="30"/>
  <c r="AF85" i="30"/>
  <c r="Z85" i="30"/>
  <c r="Y85" i="30"/>
  <c r="AA85" i="30" s="1"/>
  <c r="S85" i="30"/>
  <c r="R85" i="30"/>
  <c r="T85" i="30" s="1"/>
  <c r="L85" i="30"/>
  <c r="K85" i="30"/>
  <c r="E85" i="30"/>
  <c r="D85" i="30"/>
  <c r="F85" i="30" s="1"/>
  <c r="AN84" i="30"/>
  <c r="AM84" i="30"/>
  <c r="AO84" i="30" s="1"/>
  <c r="AG84" i="30"/>
  <c r="AF84" i="30"/>
  <c r="Z84" i="30"/>
  <c r="Y84" i="30"/>
  <c r="S84" i="30"/>
  <c r="R84" i="30"/>
  <c r="T84" i="30" s="1"/>
  <c r="L84" i="30"/>
  <c r="K84" i="30"/>
  <c r="M84" i="30" s="1"/>
  <c r="E84" i="30"/>
  <c r="D84" i="30"/>
  <c r="F84" i="30" s="1"/>
  <c r="AL81" i="30"/>
  <c r="AK81" i="30"/>
  <c r="AE81" i="30"/>
  <c r="AD81" i="30"/>
  <c r="X81" i="30"/>
  <c r="W81" i="30"/>
  <c r="Q81" i="30"/>
  <c r="P81" i="30"/>
  <c r="J81" i="30"/>
  <c r="I81" i="30"/>
  <c r="C81" i="30"/>
  <c r="B81" i="30"/>
  <c r="AK80" i="30"/>
  <c r="AD80" i="30"/>
  <c r="W80" i="30"/>
  <c r="P80" i="30"/>
  <c r="I80" i="30"/>
  <c r="B80" i="30"/>
  <c r="AL76" i="30"/>
  <c r="AK76" i="30"/>
  <c r="AE76" i="30"/>
  <c r="AD76" i="30"/>
  <c r="X76" i="30"/>
  <c r="W76" i="30"/>
  <c r="Q76" i="30"/>
  <c r="P76" i="30"/>
  <c r="J76" i="30"/>
  <c r="I76" i="30"/>
  <c r="C76" i="30"/>
  <c r="B76" i="30"/>
  <c r="AK75" i="30"/>
  <c r="AD75" i="30"/>
  <c r="W75" i="30"/>
  <c r="P75" i="30"/>
  <c r="I75" i="30"/>
  <c r="B75" i="30"/>
  <c r="AL70" i="30"/>
  <c r="AK70" i="30"/>
  <c r="AE70" i="30"/>
  <c r="AD70" i="30"/>
  <c r="X70" i="30"/>
  <c r="W70" i="30"/>
  <c r="Q70" i="30"/>
  <c r="P70" i="30"/>
  <c r="J70" i="30"/>
  <c r="I70" i="30"/>
  <c r="C70" i="30"/>
  <c r="B70" i="30"/>
  <c r="AK69" i="30"/>
  <c r="AD69" i="30"/>
  <c r="W69" i="30"/>
  <c r="P69" i="30"/>
  <c r="I69" i="30"/>
  <c r="B69" i="30"/>
  <c r="AL65" i="30"/>
  <c r="AK65" i="30"/>
  <c r="AE65" i="30"/>
  <c r="AD65" i="30"/>
  <c r="X65" i="30"/>
  <c r="W65" i="30"/>
  <c r="Q65" i="30"/>
  <c r="P65" i="30"/>
  <c r="J65" i="30"/>
  <c r="I65" i="30"/>
  <c r="C65" i="30"/>
  <c r="B65" i="30"/>
  <c r="AK64" i="30"/>
  <c r="AD64" i="30"/>
  <c r="W64" i="30"/>
  <c r="P64" i="30"/>
  <c r="I64" i="30"/>
  <c r="B64" i="30"/>
  <c r="AL59" i="30"/>
  <c r="AK59" i="30"/>
  <c r="AE59" i="30"/>
  <c r="AD59" i="30"/>
  <c r="X59" i="30"/>
  <c r="X87" i="30" s="1"/>
  <c r="W59" i="30"/>
  <c r="Q59" i="30"/>
  <c r="Q87" i="30" s="1"/>
  <c r="P59" i="30"/>
  <c r="J59" i="30"/>
  <c r="I59" i="30"/>
  <c r="J86" i="30" s="1"/>
  <c r="C59" i="30"/>
  <c r="B59" i="30"/>
  <c r="C86" i="30" s="1"/>
  <c r="AK58" i="30"/>
  <c r="AD58" i="30"/>
  <c r="W58" i="30"/>
  <c r="P58" i="30"/>
  <c r="I58" i="30"/>
  <c r="B58" i="30"/>
  <c r="AL54" i="30"/>
  <c r="AK54" i="30"/>
  <c r="AE54" i="30"/>
  <c r="AD54" i="30"/>
  <c r="X54" i="30"/>
  <c r="X85" i="30" s="1"/>
  <c r="W54" i="30"/>
  <c r="X84" i="30" s="1"/>
  <c r="Q54" i="30"/>
  <c r="Q85" i="30" s="1"/>
  <c r="P54" i="30"/>
  <c r="J54" i="30"/>
  <c r="J85" i="30" s="1"/>
  <c r="I54" i="30"/>
  <c r="J84" i="30" s="1"/>
  <c r="C54" i="30"/>
  <c r="B54" i="30"/>
  <c r="C84" i="30" s="1"/>
  <c r="AK53" i="30"/>
  <c r="AD53" i="30"/>
  <c r="W53" i="30"/>
  <c r="P53" i="30"/>
  <c r="I53" i="30"/>
  <c r="B53" i="30"/>
  <c r="AN40" i="30"/>
  <c r="AM40" i="30"/>
  <c r="AO40" i="30" s="1"/>
  <c r="AG40" i="30"/>
  <c r="AF40" i="30"/>
  <c r="Z40" i="30"/>
  <c r="Y40" i="30"/>
  <c r="AA40" i="30" s="1"/>
  <c r="S40" i="30"/>
  <c r="R40" i="30"/>
  <c r="T40" i="30" s="1"/>
  <c r="Q40" i="30"/>
  <c r="L40" i="30"/>
  <c r="K40" i="30"/>
  <c r="M40" i="30" s="1"/>
  <c r="E40" i="30"/>
  <c r="F40" i="30" s="1"/>
  <c r="D40" i="30"/>
  <c r="AN39" i="30"/>
  <c r="AM39" i="30"/>
  <c r="AG39" i="30"/>
  <c r="AF39" i="30"/>
  <c r="Z39" i="30"/>
  <c r="Y39" i="30"/>
  <c r="AA39" i="30" s="1"/>
  <c r="S39" i="30"/>
  <c r="R39" i="30"/>
  <c r="L39" i="30"/>
  <c r="K39" i="30"/>
  <c r="E39" i="30"/>
  <c r="D39" i="30"/>
  <c r="F39" i="30" s="1"/>
  <c r="AN38" i="30"/>
  <c r="AM38" i="30"/>
  <c r="AO38" i="30" s="1"/>
  <c r="AG38" i="30"/>
  <c r="AH38" i="30" s="1"/>
  <c r="AF38" i="30"/>
  <c r="Z38" i="30"/>
  <c r="Y38" i="30"/>
  <c r="S38" i="30"/>
  <c r="R38" i="30"/>
  <c r="T38" i="30" s="1"/>
  <c r="L38" i="30"/>
  <c r="K38" i="30"/>
  <c r="M38" i="30" s="1"/>
  <c r="J38" i="30"/>
  <c r="E38" i="30"/>
  <c r="D38" i="30"/>
  <c r="AN37" i="30"/>
  <c r="AM37" i="30"/>
  <c r="AO37" i="30" s="1"/>
  <c r="AG37" i="30"/>
  <c r="AF37" i="30"/>
  <c r="AH37" i="30" s="1"/>
  <c r="Z37" i="30"/>
  <c r="Y37" i="30"/>
  <c r="AA37" i="30" s="1"/>
  <c r="S37" i="30"/>
  <c r="R37" i="30"/>
  <c r="L37" i="30"/>
  <c r="K37" i="30"/>
  <c r="M37" i="30" s="1"/>
  <c r="E37" i="30"/>
  <c r="D37" i="30"/>
  <c r="F37" i="30" s="1"/>
  <c r="AL34" i="30"/>
  <c r="AK34" i="30"/>
  <c r="AE34" i="30"/>
  <c r="AD34" i="30"/>
  <c r="X34" i="30"/>
  <c r="W34" i="30"/>
  <c r="Q34" i="30"/>
  <c r="P34" i="30"/>
  <c r="J34" i="30"/>
  <c r="I34" i="30"/>
  <c r="C34" i="30"/>
  <c r="B34" i="30"/>
  <c r="AK33" i="30"/>
  <c r="AD33" i="30"/>
  <c r="W33" i="30"/>
  <c r="P33" i="30"/>
  <c r="I33" i="30"/>
  <c r="B33" i="30"/>
  <c r="AL29" i="30"/>
  <c r="AK29" i="30"/>
  <c r="AE29" i="30"/>
  <c r="AD29" i="30"/>
  <c r="X29" i="30"/>
  <c r="W29" i="30"/>
  <c r="Q29" i="30"/>
  <c r="P29" i="30"/>
  <c r="J29" i="30"/>
  <c r="I29" i="30"/>
  <c r="C29" i="30"/>
  <c r="B29" i="30"/>
  <c r="AK28" i="30"/>
  <c r="AD28" i="30"/>
  <c r="W28" i="30"/>
  <c r="P28" i="30"/>
  <c r="I28" i="30"/>
  <c r="B28" i="30"/>
  <c r="AL23" i="30"/>
  <c r="AK23" i="30"/>
  <c r="AE23" i="30"/>
  <c r="AD23" i="30"/>
  <c r="X23" i="30"/>
  <c r="W23" i="30"/>
  <c r="Q23" i="30"/>
  <c r="P23" i="30"/>
  <c r="J23" i="30"/>
  <c r="I23" i="30"/>
  <c r="C23" i="30"/>
  <c r="B23" i="30"/>
  <c r="AK22" i="30"/>
  <c r="AD22" i="30"/>
  <c r="W22" i="30"/>
  <c r="P22" i="30"/>
  <c r="I22" i="30"/>
  <c r="B22" i="30"/>
  <c r="AL18" i="30"/>
  <c r="AK18" i="30"/>
  <c r="AE18" i="30"/>
  <c r="AD18" i="30"/>
  <c r="AE40" i="30" s="1"/>
  <c r="X18" i="30"/>
  <c r="W18" i="30"/>
  <c r="Q18" i="30"/>
  <c r="P18" i="30"/>
  <c r="J18" i="30"/>
  <c r="I18" i="30"/>
  <c r="C18" i="30"/>
  <c r="B18" i="30"/>
  <c r="AK17" i="30"/>
  <c r="AD17" i="30"/>
  <c r="W17" i="30"/>
  <c r="P17" i="30"/>
  <c r="I17" i="30"/>
  <c r="B17" i="30"/>
  <c r="AL12" i="30"/>
  <c r="AL40" i="30" s="1"/>
  <c r="AK12" i="30"/>
  <c r="AE12" i="30"/>
  <c r="AD12" i="30"/>
  <c r="X12" i="30"/>
  <c r="W12" i="30"/>
  <c r="X39" i="30" s="1"/>
  <c r="Q12" i="30"/>
  <c r="P12" i="30"/>
  <c r="Q39" i="30" s="1"/>
  <c r="J12" i="30"/>
  <c r="J40" i="30" s="1"/>
  <c r="I12" i="30"/>
  <c r="J39" i="30" s="1"/>
  <c r="C12" i="30"/>
  <c r="B12" i="30"/>
  <c r="AK11" i="30"/>
  <c r="AD11" i="30"/>
  <c r="W11" i="30"/>
  <c r="P11" i="30"/>
  <c r="I11" i="30"/>
  <c r="B11" i="30"/>
  <c r="AL7" i="30"/>
  <c r="AL38" i="30" s="1"/>
  <c r="AK7" i="30"/>
  <c r="AE7" i="30"/>
  <c r="AD7" i="30"/>
  <c r="X7" i="30"/>
  <c r="X38" i="30" s="1"/>
  <c r="W7" i="30"/>
  <c r="Q7" i="30"/>
  <c r="Q38" i="30" s="1"/>
  <c r="P7" i="30"/>
  <c r="Q37" i="30" s="1"/>
  <c r="J7" i="30"/>
  <c r="I7" i="30"/>
  <c r="C7" i="30"/>
  <c r="B7" i="30"/>
  <c r="AK6" i="30"/>
  <c r="AD6" i="30"/>
  <c r="W6" i="30"/>
  <c r="P6" i="30"/>
  <c r="I6" i="30"/>
  <c r="B6" i="30"/>
  <c r="M39" i="30" l="1"/>
  <c r="T39" i="30"/>
  <c r="AL37" i="30"/>
  <c r="X40" i="30"/>
  <c r="AH40" i="30"/>
  <c r="T37" i="30"/>
  <c r="AA38" i="30"/>
  <c r="AH39" i="30"/>
  <c r="M85" i="30"/>
  <c r="M86" i="30"/>
  <c r="AE84" i="30"/>
  <c r="AG90" i="30" s="1" a="1"/>
  <c r="X86" i="30"/>
  <c r="Q84" i="30"/>
  <c r="R90" i="30" s="1" a="1"/>
  <c r="J87" i="30"/>
  <c r="I90" i="30" s="1" a="1"/>
  <c r="C87" i="30"/>
  <c r="E90" i="30" s="1" a="1"/>
  <c r="AO39" i="30"/>
  <c r="AK43" i="30" s="1" a="1"/>
  <c r="AE85" i="30"/>
  <c r="Q86" i="30"/>
  <c r="T86" i="30"/>
  <c r="AL84" i="30"/>
  <c r="AE86" i="30"/>
  <c r="C85" i="30"/>
  <c r="B90" i="30" s="1" a="1"/>
  <c r="AL85" i="30"/>
  <c r="AE87" i="30"/>
  <c r="AE38" i="30"/>
  <c r="C38" i="30"/>
  <c r="E43" i="30" s="1" a="1"/>
  <c r="AL39" i="30"/>
  <c r="AL43" i="30" s="1" a="1"/>
  <c r="AE39" i="30"/>
  <c r="AD43" i="30" s="1" a="1"/>
  <c r="X37" i="30"/>
  <c r="AA43" i="30" s="1" a="1"/>
  <c r="AL87" i="30"/>
  <c r="AL90" i="30" s="1" a="1"/>
  <c r="C37" i="30"/>
  <c r="C39" i="30"/>
  <c r="AA84" i="30"/>
  <c r="AH84" i="30"/>
  <c r="J37" i="30"/>
  <c r="C40" i="30"/>
  <c r="AE37" i="30"/>
  <c r="F38" i="30"/>
  <c r="AH85" i="30"/>
  <c r="AO90" i="30" a="1"/>
  <c r="R43" i="30" a="1"/>
  <c r="Q43" i="30" a="1"/>
  <c r="P43" i="30" a="1"/>
  <c r="AM43" i="30" a="1"/>
  <c r="Z90" i="30" a="1"/>
  <c r="X90" i="30" a="1"/>
  <c r="W90" i="30" a="1"/>
  <c r="Y90" i="30" a="1"/>
  <c r="AF90" i="30" a="1"/>
  <c r="AE90" i="30" a="1"/>
  <c r="T43" i="30" a="1"/>
  <c r="S43" i="30" a="1"/>
  <c r="L90" i="30" a="1"/>
  <c r="T90" i="30" a="1"/>
  <c r="AO43" i="30" a="1"/>
  <c r="AN43" i="30" a="1"/>
  <c r="S90" i="30" a="1"/>
  <c r="AA90" i="30" a="1"/>
  <c r="M43" i="30" a="1"/>
  <c r="I43" i="30" a="1"/>
  <c r="AN90" i="30" a="1"/>
  <c r="AM90" i="30" a="1"/>
  <c r="AK90" i="30" a="1"/>
  <c r="D43" i="30" a="1"/>
  <c r="C43" i="30" a="1"/>
  <c r="B43" i="30" a="1"/>
  <c r="L43" i="30" a="1"/>
  <c r="J43" i="30" a="1"/>
  <c r="K43" i="30" a="1"/>
  <c r="AG90" i="30" l="1"/>
  <c r="W102" i="30"/>
  <c r="E43" i="30"/>
  <c r="W104" i="30"/>
  <c r="AH43" i="30" a="1"/>
  <c r="M90" i="30" a="1"/>
  <c r="K90" i="30" a="1"/>
  <c r="K90" i="30" s="1"/>
  <c r="J90" i="30" a="1"/>
  <c r="J90" i="30" s="1"/>
  <c r="F43" i="30" a="1"/>
  <c r="F90" i="30" a="1"/>
  <c r="X98" i="30" s="1"/>
  <c r="P90" i="30" a="1"/>
  <c r="P90" i="30" s="1"/>
  <c r="AE43" i="30" a="1"/>
  <c r="AE43" i="30" s="1"/>
  <c r="Q90" i="30" a="1"/>
  <c r="U100" i="30" s="1"/>
  <c r="AG43" i="30" a="1"/>
  <c r="W108" i="30" s="1"/>
  <c r="AF43" i="30" a="1"/>
  <c r="AF43" i="30" s="1"/>
  <c r="AD90" i="30" a="1"/>
  <c r="R102" i="30" s="1"/>
  <c r="C90" i="30" a="1"/>
  <c r="AH90" i="30" a="1"/>
  <c r="Y43" i="30" a="1"/>
  <c r="Y43" i="30" s="1"/>
  <c r="Z43" i="30" a="1"/>
  <c r="W43" i="30" a="1"/>
  <c r="W43" i="30" s="1"/>
  <c r="D90" i="30" a="1"/>
  <c r="V98" i="30" s="1"/>
  <c r="X43" i="30" a="1"/>
  <c r="X101" i="30"/>
  <c r="AA90" i="30"/>
  <c r="R90" i="30"/>
  <c r="V100" i="30"/>
  <c r="S90" i="30"/>
  <c r="W100" i="30"/>
  <c r="R99" i="30"/>
  <c r="I90" i="30"/>
  <c r="AD43" i="30"/>
  <c r="R108" i="30"/>
  <c r="AN43" i="30"/>
  <c r="W109" i="30"/>
  <c r="U102" i="30"/>
  <c r="AE90" i="30"/>
  <c r="C90" i="30"/>
  <c r="U98" i="30"/>
  <c r="V107" i="30"/>
  <c r="AF90" i="30"/>
  <c r="V102" i="30"/>
  <c r="W98" i="30"/>
  <c r="E90" i="30"/>
  <c r="X105" i="30"/>
  <c r="M43" i="30"/>
  <c r="U105" i="30"/>
  <c r="J43" i="30"/>
  <c r="L43" i="30"/>
  <c r="W105" i="30"/>
  <c r="T90" i="30"/>
  <c r="X100" i="30"/>
  <c r="AA43" i="30"/>
  <c r="X107" i="30"/>
  <c r="P43" i="30"/>
  <c r="R106" i="30"/>
  <c r="R104" i="30"/>
  <c r="B43" i="30"/>
  <c r="U104" i="30"/>
  <c r="C43" i="30"/>
  <c r="AH43" i="30"/>
  <c r="X108" i="30"/>
  <c r="V101" i="30"/>
  <c r="Y90" i="30"/>
  <c r="U106" i="30"/>
  <c r="Q43" i="30"/>
  <c r="Z43" i="30"/>
  <c r="W107" i="30"/>
  <c r="B90" i="30"/>
  <c r="R98" i="30"/>
  <c r="D43" i="30"/>
  <c r="V104" i="30"/>
  <c r="L90" i="30"/>
  <c r="W99" i="30"/>
  <c r="W90" i="30"/>
  <c r="R101" i="30"/>
  <c r="R43" i="30"/>
  <c r="V106" i="30"/>
  <c r="V105" i="30"/>
  <c r="K43" i="30"/>
  <c r="X109" i="30"/>
  <c r="AO43" i="30"/>
  <c r="S43" i="30"/>
  <c r="W106" i="30"/>
  <c r="V103" i="30"/>
  <c r="AM90" i="30"/>
  <c r="T43" i="30"/>
  <c r="X106" i="30"/>
  <c r="W101" i="30"/>
  <c r="Z90" i="30"/>
  <c r="AL90" i="30"/>
  <c r="U103" i="30"/>
  <c r="V109" i="30"/>
  <c r="AM43" i="30"/>
  <c r="R107" i="30"/>
  <c r="AK90" i="30"/>
  <c r="R103" i="30"/>
  <c r="AO90" i="30"/>
  <c r="X103" i="30"/>
  <c r="AN90" i="30"/>
  <c r="W103" i="30"/>
  <c r="M90" i="30"/>
  <c r="X99" i="30"/>
  <c r="AK43" i="30"/>
  <c r="R109" i="30"/>
  <c r="U107" i="30"/>
  <c r="X43" i="30"/>
  <c r="X90" i="30"/>
  <c r="U101" i="30"/>
  <c r="I43" i="30"/>
  <c r="R105" i="30"/>
  <c r="AL43" i="30"/>
  <c r="U109" i="30"/>
  <c r="V108" i="30" l="1"/>
  <c r="F43" i="30"/>
  <c r="X104" i="30"/>
  <c r="Q90" i="30"/>
  <c r="F90" i="30"/>
  <c r="AG43" i="30"/>
  <c r="U108" i="30"/>
  <c r="U99" i="30"/>
  <c r="W112" i="30" s="1" a="1"/>
  <c r="W112" i="30" s="1"/>
  <c r="AD90" i="30"/>
  <c r="R100" i="30"/>
  <c r="D90" i="30"/>
  <c r="AH90" i="30"/>
  <c r="X102" i="30"/>
  <c r="V99" i="30"/>
  <c r="U112" i="30" a="1"/>
  <c r="U112" i="30" s="1"/>
  <c r="R112" i="30" l="1" a="1"/>
  <c r="R112" i="30" s="1"/>
  <c r="X112" i="30" a="1"/>
  <c r="X112" i="30" s="1"/>
  <c r="V112" i="30" a="1"/>
  <c r="V112" i="30" s="1"/>
  <c r="AO90" i="29" a="1"/>
  <c r="AO90" i="29" s="1"/>
  <c r="AN90" i="29" a="1"/>
  <c r="AN90" i="29" s="1"/>
  <c r="AM90" i="29" a="1"/>
  <c r="AM90" i="29" s="1"/>
  <c r="AL90" i="29" a="1"/>
  <c r="AL90" i="29" s="1"/>
  <c r="AK90" i="29" a="1"/>
  <c r="AK90" i="29" s="1"/>
  <c r="Z90" i="29" a="1"/>
  <c r="Z90" i="29" s="1"/>
  <c r="Y90" i="29" a="1"/>
  <c r="Y90" i="29" s="1"/>
  <c r="X90" i="29" a="1"/>
  <c r="X90" i="29" s="1"/>
  <c r="Q90" i="29" a="1"/>
  <c r="Q90" i="29" s="1"/>
  <c r="E90" i="29" a="1"/>
  <c r="E90" i="29" s="1"/>
  <c r="AA43" i="29" a="1"/>
  <c r="AA43" i="29" s="1"/>
  <c r="Z43" i="29" a="1"/>
  <c r="Z43" i="29" s="1"/>
  <c r="Y43" i="29" a="1"/>
  <c r="Y43" i="29" s="1"/>
  <c r="X43" i="29" a="1"/>
  <c r="X43" i="29" s="1"/>
  <c r="W43" i="29" a="1"/>
  <c r="W43" i="29" s="1"/>
  <c r="M43" i="29" a="1"/>
  <c r="M43" i="29" s="1"/>
  <c r="L43" i="29" a="1"/>
  <c r="L43" i="29" s="1"/>
  <c r="K43" i="29" a="1"/>
  <c r="K43" i="29" s="1"/>
  <c r="J43" i="29" a="1"/>
  <c r="J43" i="29" s="1"/>
  <c r="C43" i="29" a="1"/>
  <c r="C43" i="29" s="1"/>
  <c r="B64" i="29"/>
  <c r="I64" i="29"/>
  <c r="P64" i="29"/>
  <c r="W64" i="29"/>
  <c r="AD64" i="29"/>
  <c r="AK64" i="29"/>
  <c r="B65" i="29"/>
  <c r="C65" i="29"/>
  <c r="I65" i="29"/>
  <c r="J65" i="29"/>
  <c r="P65" i="29"/>
  <c r="Q65" i="29"/>
  <c r="W65" i="29"/>
  <c r="X65" i="29"/>
  <c r="AD65" i="29"/>
  <c r="AE65" i="29"/>
  <c r="AK65" i="29"/>
  <c r="AL65" i="29"/>
  <c r="B69" i="29"/>
  <c r="I69" i="29"/>
  <c r="P69" i="29"/>
  <c r="W69" i="29"/>
  <c r="AD69" i="29"/>
  <c r="AK69" i="29"/>
  <c r="B70" i="29"/>
  <c r="C70" i="29"/>
  <c r="I70" i="29"/>
  <c r="J70" i="29"/>
  <c r="P70" i="29"/>
  <c r="Q70" i="29"/>
  <c r="W70" i="29"/>
  <c r="X70" i="29"/>
  <c r="AD70" i="29"/>
  <c r="AE70" i="29"/>
  <c r="AK70" i="29"/>
  <c r="AL70" i="29"/>
  <c r="B75" i="29"/>
  <c r="I75" i="29"/>
  <c r="P75" i="29"/>
  <c r="W75" i="29"/>
  <c r="AD75" i="29"/>
  <c r="AK75" i="29"/>
  <c r="B76" i="29"/>
  <c r="C76" i="29"/>
  <c r="I76" i="29"/>
  <c r="J76" i="29"/>
  <c r="P76" i="29"/>
  <c r="Q76" i="29"/>
  <c r="W76" i="29"/>
  <c r="X76" i="29"/>
  <c r="AD76" i="29"/>
  <c r="AE76" i="29"/>
  <c r="AK76" i="29"/>
  <c r="AL76" i="29"/>
  <c r="B80" i="29"/>
  <c r="I80" i="29"/>
  <c r="P80" i="29"/>
  <c r="W80" i="29"/>
  <c r="AD80" i="29"/>
  <c r="AK80" i="29"/>
  <c r="B81" i="29"/>
  <c r="C81" i="29"/>
  <c r="I81" i="29"/>
  <c r="J81" i="29"/>
  <c r="P81" i="29"/>
  <c r="Q81" i="29"/>
  <c r="W81" i="29"/>
  <c r="X81" i="29"/>
  <c r="AD81" i="29"/>
  <c r="AE81" i="29"/>
  <c r="AK81" i="29"/>
  <c r="AL81" i="29"/>
  <c r="C84" i="29"/>
  <c r="D90" i="29" s="1" a="1"/>
  <c r="D90" i="29" s="1"/>
  <c r="D84" i="29"/>
  <c r="E84" i="29"/>
  <c r="F84" i="29"/>
  <c r="J84" i="29"/>
  <c r="K84" i="29"/>
  <c r="L84" i="29"/>
  <c r="M84" i="29"/>
  <c r="Q84" i="29"/>
  <c r="P90" i="29" s="1" a="1"/>
  <c r="P90" i="29" s="1"/>
  <c r="R84" i="29"/>
  <c r="S84" i="29"/>
  <c r="T84" i="29"/>
  <c r="X84" i="29"/>
  <c r="W90" i="29" s="1" a="1"/>
  <c r="W90" i="29" s="1"/>
  <c r="Y84" i="29"/>
  <c r="Z84" i="29"/>
  <c r="AA84" i="29"/>
  <c r="AE84" i="29"/>
  <c r="AH90" i="29" s="1" a="1"/>
  <c r="AH90" i="29" s="1"/>
  <c r="AF84" i="29"/>
  <c r="AG84" i="29"/>
  <c r="AH84" i="29"/>
  <c r="AL84" i="29"/>
  <c r="AM84" i="29"/>
  <c r="AN84" i="29"/>
  <c r="AO84" i="29"/>
  <c r="C85" i="29"/>
  <c r="C90" i="29" s="1" a="1"/>
  <c r="C90" i="29" s="1"/>
  <c r="D85" i="29"/>
  <c r="E85" i="29"/>
  <c r="F85" i="29"/>
  <c r="J85" i="29"/>
  <c r="K90" i="29" s="1" a="1"/>
  <c r="K90" i="29" s="1"/>
  <c r="K85" i="29"/>
  <c r="L85" i="29"/>
  <c r="M85" i="29"/>
  <c r="Q85" i="29"/>
  <c r="R85" i="29"/>
  <c r="S85" i="29"/>
  <c r="T85" i="29"/>
  <c r="X85" i="29"/>
  <c r="Y85" i="29"/>
  <c r="Z85" i="29"/>
  <c r="AA85" i="29"/>
  <c r="AE85" i="29"/>
  <c r="AF85" i="29"/>
  <c r="AG85" i="29"/>
  <c r="AH85" i="29"/>
  <c r="AL85" i="29"/>
  <c r="AM85" i="29"/>
  <c r="AN85" i="29"/>
  <c r="AO85" i="29"/>
  <c r="C86" i="29"/>
  <c r="D86" i="29"/>
  <c r="E86" i="29"/>
  <c r="F86" i="29"/>
  <c r="J86" i="29"/>
  <c r="M90" i="29" s="1" a="1"/>
  <c r="M90" i="29" s="1"/>
  <c r="K86" i="29"/>
  <c r="L86" i="29"/>
  <c r="M86" i="29"/>
  <c r="Q86" i="29"/>
  <c r="R86" i="29"/>
  <c r="S86" i="29"/>
  <c r="T86" i="29"/>
  <c r="X86" i="29"/>
  <c r="Y86" i="29"/>
  <c r="Z86" i="29"/>
  <c r="AA86" i="29"/>
  <c r="AE86" i="29"/>
  <c r="AF86" i="29"/>
  <c r="AG86" i="29"/>
  <c r="AH86" i="29"/>
  <c r="AL86" i="29"/>
  <c r="AM86" i="29"/>
  <c r="AN86" i="29"/>
  <c r="AO86" i="29"/>
  <c r="C87" i="29"/>
  <c r="D87" i="29"/>
  <c r="E87" i="29"/>
  <c r="F87" i="29"/>
  <c r="J87" i="29"/>
  <c r="K87" i="29"/>
  <c r="L87" i="29"/>
  <c r="M87" i="29"/>
  <c r="Q87" i="29"/>
  <c r="R87" i="29"/>
  <c r="S87" i="29"/>
  <c r="T87" i="29"/>
  <c r="X87" i="29"/>
  <c r="Y87" i="29"/>
  <c r="Z87" i="29"/>
  <c r="AA87" i="29"/>
  <c r="AE87" i="29"/>
  <c r="AF87" i="29"/>
  <c r="AG87" i="29"/>
  <c r="AH87" i="29"/>
  <c r="AL87" i="29"/>
  <c r="AM87" i="29"/>
  <c r="AN87" i="29"/>
  <c r="AO87" i="29"/>
  <c r="R98" i="29"/>
  <c r="U98" i="29"/>
  <c r="W112" i="29" s="1" a="1"/>
  <c r="W112" i="29" s="1"/>
  <c r="V98" i="29"/>
  <c r="W98" i="29"/>
  <c r="X98" i="29"/>
  <c r="R99" i="29"/>
  <c r="U99" i="29"/>
  <c r="X112" i="29" s="1" a="1"/>
  <c r="X112" i="29" s="1"/>
  <c r="V99" i="29"/>
  <c r="W99" i="29"/>
  <c r="X99" i="29"/>
  <c r="R100" i="29"/>
  <c r="U100" i="29"/>
  <c r="V100" i="29"/>
  <c r="W100" i="29"/>
  <c r="X100" i="29"/>
  <c r="R101" i="29"/>
  <c r="U101" i="29"/>
  <c r="V101" i="29"/>
  <c r="W101" i="29"/>
  <c r="X101" i="29"/>
  <c r="R102" i="29"/>
  <c r="U102" i="29"/>
  <c r="V102" i="29"/>
  <c r="W102" i="29"/>
  <c r="X102" i="29"/>
  <c r="R103" i="29"/>
  <c r="U103" i="29"/>
  <c r="V103" i="29"/>
  <c r="W103" i="29"/>
  <c r="X103" i="29"/>
  <c r="R104" i="29"/>
  <c r="U104" i="29"/>
  <c r="V104" i="29"/>
  <c r="W104" i="29"/>
  <c r="X104" i="29"/>
  <c r="R105" i="29"/>
  <c r="U105" i="29"/>
  <c r="V105" i="29"/>
  <c r="W105" i="29"/>
  <c r="X105" i="29"/>
  <c r="R106" i="29"/>
  <c r="U106" i="29"/>
  <c r="V106" i="29"/>
  <c r="W106" i="29"/>
  <c r="X106" i="29"/>
  <c r="R107" i="29"/>
  <c r="U107" i="29"/>
  <c r="V107" i="29"/>
  <c r="W107" i="29"/>
  <c r="X107" i="29"/>
  <c r="R108" i="29"/>
  <c r="U108" i="29"/>
  <c r="V108" i="29"/>
  <c r="W108" i="29"/>
  <c r="X108" i="29"/>
  <c r="R109" i="29"/>
  <c r="U109" i="29"/>
  <c r="V109" i="29"/>
  <c r="W109" i="29"/>
  <c r="X109" i="29"/>
  <c r="B58" i="29"/>
  <c r="I58" i="29"/>
  <c r="P58" i="29"/>
  <c r="W58" i="29"/>
  <c r="AD58" i="29"/>
  <c r="AK58" i="29"/>
  <c r="B59" i="29"/>
  <c r="C59" i="29"/>
  <c r="I59" i="29"/>
  <c r="J59" i="29"/>
  <c r="P59" i="29"/>
  <c r="Q59" i="29"/>
  <c r="W59" i="29"/>
  <c r="X59" i="29"/>
  <c r="AD59" i="29"/>
  <c r="AE59" i="29"/>
  <c r="AK59" i="29"/>
  <c r="AL59" i="29"/>
  <c r="B53" i="29"/>
  <c r="I53" i="29"/>
  <c r="P53" i="29"/>
  <c r="W53" i="29"/>
  <c r="AD53" i="29"/>
  <c r="AK53" i="29"/>
  <c r="B54" i="29"/>
  <c r="C54" i="29"/>
  <c r="I54" i="29"/>
  <c r="J54" i="29"/>
  <c r="P54" i="29"/>
  <c r="Q54" i="29"/>
  <c r="W54" i="29"/>
  <c r="X54" i="29"/>
  <c r="AD54" i="29"/>
  <c r="AE54" i="29"/>
  <c r="AK54" i="29"/>
  <c r="AL54" i="29"/>
  <c r="C37" i="29"/>
  <c r="B43" i="29" s="1" a="1"/>
  <c r="B43" i="29" s="1"/>
  <c r="D37" i="29"/>
  <c r="E37" i="29"/>
  <c r="F37" i="29"/>
  <c r="J37" i="29"/>
  <c r="K37" i="29"/>
  <c r="L37" i="29"/>
  <c r="M37" i="29"/>
  <c r="Q37" i="29"/>
  <c r="T43" i="29" s="1" a="1"/>
  <c r="T43" i="29" s="1"/>
  <c r="R37" i="29"/>
  <c r="S37" i="29"/>
  <c r="T37" i="29"/>
  <c r="X37" i="29"/>
  <c r="Y37" i="29"/>
  <c r="Z37" i="29"/>
  <c r="AA37" i="29"/>
  <c r="AE37" i="29"/>
  <c r="AH43" i="29" s="1" a="1"/>
  <c r="AH43" i="29" s="1"/>
  <c r="AF37" i="29"/>
  <c r="AG37" i="29"/>
  <c r="AH37" i="29"/>
  <c r="AL37" i="29"/>
  <c r="AO43" i="29" s="1" a="1"/>
  <c r="AO43" i="29" s="1"/>
  <c r="AM37" i="29"/>
  <c r="AN37" i="29"/>
  <c r="AO37" i="29"/>
  <c r="C38" i="29"/>
  <c r="D43" i="29" s="1" a="1"/>
  <c r="D43" i="29" s="1"/>
  <c r="D38" i="29"/>
  <c r="E38" i="29"/>
  <c r="F38" i="29"/>
  <c r="J38" i="29"/>
  <c r="I43" i="29" s="1" a="1"/>
  <c r="I43" i="29" s="1"/>
  <c r="K38" i="29"/>
  <c r="L38" i="29"/>
  <c r="M38" i="29"/>
  <c r="Q38" i="29"/>
  <c r="R38" i="29"/>
  <c r="S38" i="29"/>
  <c r="T38" i="29"/>
  <c r="X38" i="29"/>
  <c r="Y38" i="29"/>
  <c r="Z38" i="29"/>
  <c r="AA38" i="29"/>
  <c r="AE38" i="29"/>
  <c r="AG43" i="29" s="1" a="1"/>
  <c r="AG43" i="29" s="1"/>
  <c r="AF38" i="29"/>
  <c r="AG38" i="29"/>
  <c r="AH38" i="29"/>
  <c r="AL38" i="29"/>
  <c r="AM38" i="29"/>
  <c r="AN38" i="29"/>
  <c r="AO38" i="29"/>
  <c r="C39" i="29"/>
  <c r="D39" i="29"/>
  <c r="E39" i="29"/>
  <c r="F39" i="29"/>
  <c r="J39" i="29"/>
  <c r="K39" i="29"/>
  <c r="L39" i="29"/>
  <c r="M39" i="29"/>
  <c r="Q39" i="29"/>
  <c r="R39" i="29"/>
  <c r="S39" i="29"/>
  <c r="T39" i="29"/>
  <c r="X39" i="29"/>
  <c r="Y39" i="29"/>
  <c r="Z39" i="29"/>
  <c r="AA39" i="29"/>
  <c r="AE39" i="29"/>
  <c r="AF39" i="29"/>
  <c r="AG39" i="29"/>
  <c r="AH39" i="29"/>
  <c r="AL39" i="29"/>
  <c r="AM39" i="29"/>
  <c r="AN39" i="29"/>
  <c r="AO39" i="29"/>
  <c r="C40" i="29"/>
  <c r="D40" i="29"/>
  <c r="E40" i="29"/>
  <c r="F40" i="29"/>
  <c r="J40" i="29"/>
  <c r="K40" i="29"/>
  <c r="L40" i="29"/>
  <c r="M40" i="29"/>
  <c r="Q40" i="29"/>
  <c r="R40" i="29"/>
  <c r="S40" i="29"/>
  <c r="T40" i="29"/>
  <c r="X40" i="29"/>
  <c r="Y40" i="29"/>
  <c r="Z40" i="29"/>
  <c r="AA40" i="29"/>
  <c r="AE40" i="29"/>
  <c r="AF40" i="29"/>
  <c r="AG40" i="29"/>
  <c r="AH40" i="29"/>
  <c r="AL40" i="29"/>
  <c r="AM40" i="29"/>
  <c r="AN40" i="29"/>
  <c r="AO40" i="29"/>
  <c r="B33" i="29"/>
  <c r="I33" i="29"/>
  <c r="P33" i="29"/>
  <c r="W33" i="29"/>
  <c r="AD33" i="29"/>
  <c r="AK33" i="29"/>
  <c r="B34" i="29"/>
  <c r="C34" i="29"/>
  <c r="I34" i="29"/>
  <c r="J34" i="29"/>
  <c r="P34" i="29"/>
  <c r="Q34" i="29"/>
  <c r="W34" i="29"/>
  <c r="X34" i="29"/>
  <c r="AD34" i="29"/>
  <c r="AE34" i="29"/>
  <c r="AK34" i="29"/>
  <c r="AL34" i="29"/>
  <c r="B28" i="29"/>
  <c r="I28" i="29"/>
  <c r="P28" i="29"/>
  <c r="W28" i="29"/>
  <c r="AD28" i="29"/>
  <c r="AK28" i="29"/>
  <c r="B29" i="29"/>
  <c r="C29" i="29"/>
  <c r="I29" i="29"/>
  <c r="J29" i="29"/>
  <c r="P29" i="29"/>
  <c r="Q29" i="29"/>
  <c r="W29" i="29"/>
  <c r="X29" i="29"/>
  <c r="AD29" i="29"/>
  <c r="AE29" i="29"/>
  <c r="AK29" i="29"/>
  <c r="AL29" i="29"/>
  <c r="B22" i="29"/>
  <c r="I22" i="29"/>
  <c r="P22" i="29"/>
  <c r="W22" i="29"/>
  <c r="AD22" i="29"/>
  <c r="AK22" i="29"/>
  <c r="B23" i="29"/>
  <c r="C23" i="29"/>
  <c r="I23" i="29"/>
  <c r="J23" i="29"/>
  <c r="P23" i="29"/>
  <c r="Q23" i="29"/>
  <c r="W23" i="29"/>
  <c r="X23" i="29"/>
  <c r="AD23" i="29"/>
  <c r="AE23" i="29"/>
  <c r="AK23" i="29"/>
  <c r="AL23" i="29"/>
  <c r="B17" i="29"/>
  <c r="I17" i="29"/>
  <c r="P17" i="29"/>
  <c r="W17" i="29"/>
  <c r="AD17" i="29"/>
  <c r="AK17" i="29"/>
  <c r="B18" i="29"/>
  <c r="C18" i="29"/>
  <c r="I18" i="29"/>
  <c r="J18" i="29"/>
  <c r="P18" i="29"/>
  <c r="Q18" i="29"/>
  <c r="W18" i="29"/>
  <c r="X18" i="29"/>
  <c r="AD18" i="29"/>
  <c r="AE18" i="29"/>
  <c r="AK18" i="29"/>
  <c r="AL18" i="29"/>
  <c r="B11" i="29"/>
  <c r="I11" i="29"/>
  <c r="P11" i="29"/>
  <c r="W11" i="29"/>
  <c r="AD11" i="29"/>
  <c r="AK11" i="29"/>
  <c r="B12" i="29"/>
  <c r="C12" i="29"/>
  <c r="I12" i="29"/>
  <c r="J12" i="29"/>
  <c r="P12" i="29"/>
  <c r="Q12" i="29"/>
  <c r="W12" i="29"/>
  <c r="X12" i="29"/>
  <c r="AD12" i="29"/>
  <c r="AE12" i="29"/>
  <c r="AK12" i="29"/>
  <c r="AL12" i="29"/>
  <c r="B6" i="29"/>
  <c r="I6" i="29"/>
  <c r="P6" i="29"/>
  <c r="W6" i="29"/>
  <c r="AD6" i="29"/>
  <c r="AK6" i="29"/>
  <c r="B7" i="29"/>
  <c r="C7" i="29"/>
  <c r="I7" i="29"/>
  <c r="J7" i="29"/>
  <c r="P7" i="29"/>
  <c r="Q7" i="29"/>
  <c r="W7" i="29"/>
  <c r="X7" i="29"/>
  <c r="AD7" i="29"/>
  <c r="AE7" i="29"/>
  <c r="AK7" i="29"/>
  <c r="AL7" i="29"/>
  <c r="B6" i="2"/>
  <c r="I6" i="2"/>
  <c r="P6" i="2"/>
  <c r="W6" i="2"/>
  <c r="AD6" i="2"/>
  <c r="AK6" i="2"/>
  <c r="B7" i="2"/>
  <c r="C7" i="2"/>
  <c r="I7" i="2"/>
  <c r="J7" i="2"/>
  <c r="P7" i="2"/>
  <c r="Q7" i="2"/>
  <c r="W7" i="2"/>
  <c r="X7" i="2"/>
  <c r="AD7" i="2"/>
  <c r="AE7" i="2"/>
  <c r="AK7" i="2"/>
  <c r="AL7" i="2"/>
  <c r="B11" i="2"/>
  <c r="I11" i="2"/>
  <c r="P11" i="2"/>
  <c r="W11" i="2"/>
  <c r="AD11" i="2"/>
  <c r="AK11" i="2"/>
  <c r="B12" i="2"/>
  <c r="C12" i="2"/>
  <c r="I12" i="2"/>
  <c r="J12" i="2"/>
  <c r="P12" i="2"/>
  <c r="Q12" i="2"/>
  <c r="W12" i="2"/>
  <c r="X12" i="2"/>
  <c r="AD12" i="2"/>
  <c r="AE12" i="2"/>
  <c r="AK12" i="2"/>
  <c r="AL12" i="2"/>
  <c r="B17" i="2"/>
  <c r="I17" i="2"/>
  <c r="P17" i="2"/>
  <c r="W17" i="2"/>
  <c r="AD17" i="2"/>
  <c r="AK17" i="2"/>
  <c r="B18" i="2"/>
  <c r="C18" i="2"/>
  <c r="I18" i="2"/>
  <c r="J18" i="2"/>
  <c r="P18" i="2"/>
  <c r="Q18" i="2"/>
  <c r="W18" i="2"/>
  <c r="X18" i="2"/>
  <c r="AD18" i="2"/>
  <c r="AE18" i="2"/>
  <c r="AK18" i="2"/>
  <c r="AL18" i="2"/>
  <c r="B22" i="2"/>
  <c r="I22" i="2"/>
  <c r="P22" i="2"/>
  <c r="W22" i="2"/>
  <c r="AD22" i="2"/>
  <c r="AK22" i="2"/>
  <c r="B23" i="2"/>
  <c r="C23" i="2"/>
  <c r="I23" i="2"/>
  <c r="J23" i="2"/>
  <c r="P23" i="2"/>
  <c r="Q23" i="2"/>
  <c r="W23" i="2"/>
  <c r="X23" i="2"/>
  <c r="AD23" i="2"/>
  <c r="AE23" i="2"/>
  <c r="AK23" i="2"/>
  <c r="AL23" i="2"/>
  <c r="B28" i="2"/>
  <c r="I28" i="2"/>
  <c r="P28" i="2"/>
  <c r="W28" i="2"/>
  <c r="AD28" i="2"/>
  <c r="AK28" i="2"/>
  <c r="B29" i="2"/>
  <c r="C29" i="2"/>
  <c r="I29" i="2"/>
  <c r="J29" i="2"/>
  <c r="P29" i="2"/>
  <c r="Q29" i="2"/>
  <c r="W29" i="2"/>
  <c r="X29" i="2"/>
  <c r="AD29" i="2"/>
  <c r="AE29" i="2"/>
  <c r="AK29" i="2"/>
  <c r="AL29" i="2"/>
  <c r="B33" i="2"/>
  <c r="I33" i="2"/>
  <c r="P33" i="2"/>
  <c r="W33" i="2"/>
  <c r="AD33" i="2"/>
  <c r="AK33" i="2"/>
  <c r="B34" i="2"/>
  <c r="C34" i="2"/>
  <c r="I34" i="2"/>
  <c r="J34" i="2"/>
  <c r="P34" i="2"/>
  <c r="Q34" i="2"/>
  <c r="W34" i="2"/>
  <c r="X34" i="2"/>
  <c r="AD34" i="2"/>
  <c r="AE34" i="2"/>
  <c r="AK34" i="2"/>
  <c r="AL34" i="2"/>
  <c r="D37" i="2"/>
  <c r="E37" i="2"/>
  <c r="K37" i="2"/>
  <c r="L37" i="2"/>
  <c r="R37" i="2"/>
  <c r="S37" i="2"/>
  <c r="Y37" i="2"/>
  <c r="Z37" i="2"/>
  <c r="AF37" i="2"/>
  <c r="AG37" i="2"/>
  <c r="AM37" i="2"/>
  <c r="AN37" i="2"/>
  <c r="D38" i="2"/>
  <c r="E38" i="2"/>
  <c r="K38" i="2"/>
  <c r="L38" i="2"/>
  <c r="R38" i="2"/>
  <c r="S38" i="2"/>
  <c r="Y38" i="2"/>
  <c r="Z38" i="2"/>
  <c r="AF38" i="2"/>
  <c r="AG38" i="2"/>
  <c r="AM38" i="2"/>
  <c r="AN38" i="2"/>
  <c r="AO38" i="2" s="1"/>
  <c r="D39" i="2"/>
  <c r="E39" i="2"/>
  <c r="K39" i="2"/>
  <c r="L39" i="2"/>
  <c r="R39" i="2"/>
  <c r="S39" i="2"/>
  <c r="Y39" i="2"/>
  <c r="Z39" i="2"/>
  <c r="AF39" i="2"/>
  <c r="AG39" i="2"/>
  <c r="AM39" i="2"/>
  <c r="AN39" i="2"/>
  <c r="AO39" i="2" s="1"/>
  <c r="D40" i="2"/>
  <c r="E40" i="2"/>
  <c r="K40" i="2"/>
  <c r="L40" i="2"/>
  <c r="R40" i="2"/>
  <c r="S40" i="2"/>
  <c r="Y40" i="2"/>
  <c r="Z40" i="2"/>
  <c r="AF40" i="2"/>
  <c r="AG40" i="2"/>
  <c r="AH40" i="2" s="1"/>
  <c r="AM40" i="2"/>
  <c r="AN40" i="2"/>
  <c r="B53" i="2"/>
  <c r="I53" i="2"/>
  <c r="P53" i="2"/>
  <c r="W53" i="2"/>
  <c r="AD53" i="2"/>
  <c r="AK53" i="2"/>
  <c r="B54" i="2"/>
  <c r="C54" i="2"/>
  <c r="I54" i="2"/>
  <c r="J54" i="2"/>
  <c r="P54" i="2"/>
  <c r="Q54" i="2"/>
  <c r="W54" i="2"/>
  <c r="X54" i="2"/>
  <c r="AD54" i="2"/>
  <c r="AE54" i="2"/>
  <c r="AK54" i="2"/>
  <c r="AL54" i="2"/>
  <c r="B58" i="2"/>
  <c r="I58" i="2"/>
  <c r="P58" i="2"/>
  <c r="W58" i="2"/>
  <c r="AD58" i="2"/>
  <c r="AK58" i="2"/>
  <c r="B59" i="2"/>
  <c r="C86" i="2" s="1"/>
  <c r="C59" i="2"/>
  <c r="I59" i="2"/>
  <c r="J59" i="2"/>
  <c r="P59" i="2"/>
  <c r="Q59" i="2"/>
  <c r="W59" i="2"/>
  <c r="X59" i="2"/>
  <c r="AD59" i="2"/>
  <c r="AE59" i="2"/>
  <c r="AK59" i="2"/>
  <c r="AL59" i="2"/>
  <c r="B64" i="2"/>
  <c r="I64" i="2"/>
  <c r="P64" i="2"/>
  <c r="W64" i="2"/>
  <c r="AD64" i="2"/>
  <c r="AK64" i="2"/>
  <c r="B65" i="2"/>
  <c r="C65" i="2"/>
  <c r="I65" i="2"/>
  <c r="J65" i="2"/>
  <c r="P65" i="2"/>
  <c r="Q65" i="2"/>
  <c r="W65" i="2"/>
  <c r="X65" i="2"/>
  <c r="AD65" i="2"/>
  <c r="AE65" i="2"/>
  <c r="AK65" i="2"/>
  <c r="AL65" i="2"/>
  <c r="B69" i="2"/>
  <c r="I69" i="2"/>
  <c r="P69" i="2"/>
  <c r="W69" i="2"/>
  <c r="AD69" i="2"/>
  <c r="AK69" i="2"/>
  <c r="B70" i="2"/>
  <c r="C70" i="2"/>
  <c r="I70" i="2"/>
  <c r="J70" i="2"/>
  <c r="P70" i="2"/>
  <c r="Q70" i="2"/>
  <c r="W70" i="2"/>
  <c r="X70" i="2"/>
  <c r="AD70" i="2"/>
  <c r="AE70" i="2"/>
  <c r="AK70" i="2"/>
  <c r="AL70" i="2"/>
  <c r="B75" i="2"/>
  <c r="I75" i="2"/>
  <c r="P75" i="2"/>
  <c r="W75" i="2"/>
  <c r="AD75" i="2"/>
  <c r="AK75" i="2"/>
  <c r="B76" i="2"/>
  <c r="C76" i="2"/>
  <c r="I76" i="2"/>
  <c r="J87" i="2" s="1"/>
  <c r="J76" i="2"/>
  <c r="P76" i="2"/>
  <c r="Q76" i="2"/>
  <c r="W76" i="2"/>
  <c r="X76" i="2"/>
  <c r="AD76" i="2"/>
  <c r="AE76" i="2"/>
  <c r="AK76" i="2"/>
  <c r="AL76" i="2"/>
  <c r="B80" i="2"/>
  <c r="I80" i="2"/>
  <c r="P80" i="2"/>
  <c r="W80" i="2"/>
  <c r="AD80" i="2"/>
  <c r="AK80" i="2"/>
  <c r="B81" i="2"/>
  <c r="C81" i="2"/>
  <c r="I81" i="2"/>
  <c r="J81" i="2"/>
  <c r="P81" i="2"/>
  <c r="Q81" i="2"/>
  <c r="W81" i="2"/>
  <c r="X81" i="2"/>
  <c r="X86" i="2" s="1"/>
  <c r="AD81" i="2"/>
  <c r="AE81" i="2"/>
  <c r="AK81" i="2"/>
  <c r="AL81" i="2"/>
  <c r="D84" i="2"/>
  <c r="E84" i="2"/>
  <c r="K84" i="2"/>
  <c r="L84" i="2"/>
  <c r="R84" i="2"/>
  <c r="S84" i="2"/>
  <c r="T84" i="2" s="1"/>
  <c r="Y84" i="2"/>
  <c r="Z84" i="2"/>
  <c r="AF84" i="2"/>
  <c r="AG84" i="2"/>
  <c r="AM84" i="2"/>
  <c r="AN84" i="2"/>
  <c r="D85" i="2"/>
  <c r="E85" i="2"/>
  <c r="K85" i="2"/>
  <c r="L85" i="2"/>
  <c r="R85" i="2"/>
  <c r="S85" i="2"/>
  <c r="Y85" i="2"/>
  <c r="Z85" i="2"/>
  <c r="AF85" i="2"/>
  <c r="AG85" i="2"/>
  <c r="AM85" i="2"/>
  <c r="AN85" i="2"/>
  <c r="D86" i="2"/>
  <c r="E86" i="2"/>
  <c r="K86" i="2"/>
  <c r="L86" i="2"/>
  <c r="R86" i="2"/>
  <c r="S86" i="2"/>
  <c r="Y86" i="2"/>
  <c r="Z86" i="2"/>
  <c r="AF86" i="2"/>
  <c r="AG86" i="2"/>
  <c r="AM86" i="2"/>
  <c r="AN86" i="2"/>
  <c r="D87" i="2"/>
  <c r="E87" i="2"/>
  <c r="K87" i="2"/>
  <c r="L87" i="2"/>
  <c r="R87" i="2"/>
  <c r="S87" i="2"/>
  <c r="Y87" i="2"/>
  <c r="Z87" i="2"/>
  <c r="AF87" i="2"/>
  <c r="AG87" i="2"/>
  <c r="AM87" i="2"/>
  <c r="AN87" i="2"/>
  <c r="A21" i="1"/>
  <c r="C21" i="1"/>
  <c r="D21" i="1"/>
  <c r="E21" i="1"/>
  <c r="F21" i="1"/>
  <c r="A22" i="1"/>
  <c r="C22" i="1"/>
  <c r="D22" i="1"/>
  <c r="E22" i="1"/>
  <c r="F22" i="1"/>
  <c r="A23" i="1"/>
  <c r="C23" i="1"/>
  <c r="D23" i="1"/>
  <c r="E23" i="1"/>
  <c r="F23" i="1"/>
  <c r="A24" i="1"/>
  <c r="C24" i="1"/>
  <c r="D24" i="1"/>
  <c r="E24" i="1"/>
  <c r="F24" i="1"/>
  <c r="A25" i="1"/>
  <c r="C25" i="1"/>
  <c r="D25" i="1"/>
  <c r="E25" i="1"/>
  <c r="F25" i="1"/>
  <c r="A26" i="1"/>
  <c r="C26" i="1"/>
  <c r="D26" i="1"/>
  <c r="E26" i="1"/>
  <c r="F26" i="1"/>
  <c r="A27" i="1"/>
  <c r="C27" i="1"/>
  <c r="D27" i="1"/>
  <c r="E27" i="1"/>
  <c r="F27" i="1"/>
  <c r="A28" i="1"/>
  <c r="C28" i="1"/>
  <c r="D28" i="1"/>
  <c r="E28" i="1"/>
  <c r="F28" i="1"/>
  <c r="A29" i="1"/>
  <c r="C29" i="1"/>
  <c r="D29" i="1"/>
  <c r="E29" i="1"/>
  <c r="F29" i="1"/>
  <c r="A30" i="1"/>
  <c r="C30" i="1"/>
  <c r="D30" i="1"/>
  <c r="E30" i="1"/>
  <c r="F30" i="1"/>
  <c r="A31" i="1"/>
  <c r="C31" i="1"/>
  <c r="D31" i="1"/>
  <c r="E31" i="1"/>
  <c r="F31" i="1"/>
  <c r="A32" i="1"/>
  <c r="C32" i="1"/>
  <c r="D32" i="1"/>
  <c r="E32" i="1"/>
  <c r="F32" i="1"/>
  <c r="A33" i="1"/>
  <c r="C33" i="1"/>
  <c r="D33" i="1"/>
  <c r="E33" i="1"/>
  <c r="F33" i="1"/>
  <c r="A34" i="1"/>
  <c r="C34" i="1"/>
  <c r="D34" i="1"/>
  <c r="E34" i="1"/>
  <c r="F34" i="1"/>
  <c r="A35" i="1"/>
  <c r="C35" i="1"/>
  <c r="D35" i="1"/>
  <c r="E35" i="1"/>
  <c r="F35" i="1"/>
  <c r="A36" i="1"/>
  <c r="C36" i="1"/>
  <c r="D36" i="1"/>
  <c r="E36" i="1"/>
  <c r="F36" i="1"/>
  <c r="A37" i="1"/>
  <c r="C37" i="1"/>
  <c r="D37" i="1"/>
  <c r="E37" i="1"/>
  <c r="F37" i="1"/>
  <c r="A38" i="1"/>
  <c r="C38" i="1"/>
  <c r="D38" i="1"/>
  <c r="E38" i="1"/>
  <c r="F38" i="1"/>
  <c r="A39" i="1"/>
  <c r="C39" i="1"/>
  <c r="D39" i="1"/>
  <c r="E39" i="1"/>
  <c r="F39" i="1"/>
  <c r="A40" i="1"/>
  <c r="C40" i="1"/>
  <c r="D40" i="1"/>
  <c r="E40" i="1"/>
  <c r="F40" i="1"/>
  <c r="A41" i="1"/>
  <c r="C41" i="1"/>
  <c r="D41" i="1"/>
  <c r="E41" i="1"/>
  <c r="F41" i="1"/>
  <c r="A42" i="1"/>
  <c r="C42" i="1"/>
  <c r="D42" i="1"/>
  <c r="E42" i="1"/>
  <c r="F42" i="1"/>
  <c r="A43" i="1"/>
  <c r="C43" i="1"/>
  <c r="D43" i="1"/>
  <c r="E43" i="1"/>
  <c r="F43" i="1"/>
  <c r="H231" i="28"/>
  <c r="G231" i="28"/>
  <c r="F231" i="28"/>
  <c r="E231" i="28"/>
  <c r="H230" i="28"/>
  <c r="G230" i="28"/>
  <c r="F230" i="28"/>
  <c r="E230" i="28"/>
  <c r="H229" i="28"/>
  <c r="G229" i="28"/>
  <c r="F229" i="28"/>
  <c r="E229" i="28"/>
  <c r="H228" i="28"/>
  <c r="G228" i="28"/>
  <c r="F228" i="28"/>
  <c r="E228" i="28"/>
  <c r="H227" i="28"/>
  <c r="G227" i="28"/>
  <c r="F227" i="28"/>
  <c r="E227" i="28"/>
  <c r="H226" i="28"/>
  <c r="G226" i="28"/>
  <c r="F226" i="28"/>
  <c r="E226" i="28"/>
  <c r="H225" i="28"/>
  <c r="G225" i="28"/>
  <c r="F225" i="28"/>
  <c r="E225" i="28"/>
  <c r="H224" i="28"/>
  <c r="G224" i="28"/>
  <c r="F224" i="28"/>
  <c r="E224" i="28"/>
  <c r="H223" i="28"/>
  <c r="G223" i="28"/>
  <c r="F223" i="28"/>
  <c r="E223" i="28"/>
  <c r="H222" i="28"/>
  <c r="G222" i="28"/>
  <c r="F222" i="28"/>
  <c r="E222" i="28"/>
  <c r="H221" i="28"/>
  <c r="G221" i="28"/>
  <c r="F221" i="28"/>
  <c r="E221" i="28"/>
  <c r="H220" i="28"/>
  <c r="G220" i="28"/>
  <c r="F220" i="28"/>
  <c r="E220" i="28"/>
  <c r="H219" i="28"/>
  <c r="G219" i="28"/>
  <c r="F219" i="28"/>
  <c r="E219" i="28"/>
  <c r="H218" i="28"/>
  <c r="G218" i="28"/>
  <c r="F218" i="28"/>
  <c r="E218" i="28"/>
  <c r="H217" i="28"/>
  <c r="G217" i="28"/>
  <c r="F217" i="28"/>
  <c r="E217" i="28"/>
  <c r="H216" i="28"/>
  <c r="G216" i="28"/>
  <c r="F216" i="28"/>
  <c r="E216" i="28"/>
  <c r="H215" i="28"/>
  <c r="G215" i="28"/>
  <c r="F215" i="28"/>
  <c r="E215" i="28"/>
  <c r="H214" i="28"/>
  <c r="G214" i="28"/>
  <c r="F214" i="28"/>
  <c r="E214" i="28"/>
  <c r="H213" i="28"/>
  <c r="G213" i="28"/>
  <c r="F213" i="28"/>
  <c r="E213" i="28"/>
  <c r="H212" i="28"/>
  <c r="G212" i="28"/>
  <c r="F212" i="28"/>
  <c r="E212" i="28"/>
  <c r="H211" i="28"/>
  <c r="G211" i="28"/>
  <c r="F211" i="28"/>
  <c r="E211" i="28"/>
  <c r="H210" i="28"/>
  <c r="G210" i="28"/>
  <c r="F210" i="28"/>
  <c r="E210" i="28"/>
  <c r="H209" i="28"/>
  <c r="G209" i="28"/>
  <c r="F209" i="28"/>
  <c r="E209" i="28"/>
  <c r="H208" i="28"/>
  <c r="G208" i="28"/>
  <c r="F208" i="28"/>
  <c r="E208" i="28"/>
  <c r="H207" i="28"/>
  <c r="G207" i="28"/>
  <c r="F207" i="28"/>
  <c r="E207" i="28"/>
  <c r="H206" i="28"/>
  <c r="G206" i="28"/>
  <c r="F206" i="28"/>
  <c r="E206" i="28"/>
  <c r="H205" i="28"/>
  <c r="G205" i="28"/>
  <c r="F205" i="28"/>
  <c r="E205" i="28"/>
  <c r="H204" i="28"/>
  <c r="G204" i="28"/>
  <c r="F204" i="28"/>
  <c r="E204" i="28"/>
  <c r="H203" i="28"/>
  <c r="G203" i="28"/>
  <c r="F203" i="28"/>
  <c r="E203" i="28"/>
  <c r="H202" i="28"/>
  <c r="G202" i="28"/>
  <c r="F202" i="28"/>
  <c r="E202" i="28"/>
  <c r="H201" i="28"/>
  <c r="G201" i="28"/>
  <c r="F201" i="28"/>
  <c r="E201" i="28"/>
  <c r="H200" i="28"/>
  <c r="G200" i="28"/>
  <c r="F200" i="28"/>
  <c r="E200" i="28"/>
  <c r="H199" i="28"/>
  <c r="G199" i="28"/>
  <c r="F199" i="28"/>
  <c r="E199" i="28"/>
  <c r="H198" i="28"/>
  <c r="G198" i="28"/>
  <c r="F198" i="28"/>
  <c r="E198" i="28"/>
  <c r="H197" i="28"/>
  <c r="G197" i="28"/>
  <c r="F197" i="28"/>
  <c r="E197" i="28"/>
  <c r="H196" i="28"/>
  <c r="G196" i="28"/>
  <c r="F196" i="28"/>
  <c r="E196" i="28"/>
  <c r="H195" i="28"/>
  <c r="G195" i="28"/>
  <c r="F195" i="28"/>
  <c r="E195" i="28"/>
  <c r="H194" i="28"/>
  <c r="G194" i="28"/>
  <c r="F194" i="28"/>
  <c r="E194" i="28"/>
  <c r="H193" i="28"/>
  <c r="G193" i="28"/>
  <c r="F193" i="28"/>
  <c r="E193" i="28"/>
  <c r="H192" i="28"/>
  <c r="G192" i="28"/>
  <c r="F192" i="28"/>
  <c r="E192" i="28"/>
  <c r="H191" i="28"/>
  <c r="G191" i="28"/>
  <c r="F191" i="28"/>
  <c r="E191" i="28"/>
  <c r="H190" i="28"/>
  <c r="G190" i="28"/>
  <c r="F190" i="28"/>
  <c r="E190" i="28"/>
  <c r="H189" i="28"/>
  <c r="G189" i="28"/>
  <c r="F189" i="28"/>
  <c r="E189" i="28"/>
  <c r="H188" i="28"/>
  <c r="G188" i="28"/>
  <c r="F188" i="28"/>
  <c r="E188" i="28"/>
  <c r="H187" i="28"/>
  <c r="G187" i="28"/>
  <c r="F187" i="28"/>
  <c r="E187" i="28"/>
  <c r="H186" i="28"/>
  <c r="G186" i="28"/>
  <c r="F186" i="28"/>
  <c r="E186" i="28"/>
  <c r="H185" i="28"/>
  <c r="G185" i="28"/>
  <c r="F185" i="28"/>
  <c r="E185" i="28"/>
  <c r="H184" i="28"/>
  <c r="G184" i="28"/>
  <c r="F184" i="28"/>
  <c r="E184" i="28"/>
  <c r="H183" i="28"/>
  <c r="G183" i="28"/>
  <c r="F183" i="28"/>
  <c r="E183" i="28"/>
  <c r="H182" i="28"/>
  <c r="G182" i="28"/>
  <c r="F182" i="28"/>
  <c r="E182" i="28"/>
  <c r="H181" i="28"/>
  <c r="G181" i="28"/>
  <c r="F181" i="28"/>
  <c r="E181" i="28"/>
  <c r="H180" i="28"/>
  <c r="G180" i="28"/>
  <c r="F180" i="28"/>
  <c r="E180" i="28"/>
  <c r="H179" i="28"/>
  <c r="G179" i="28"/>
  <c r="F179" i="28"/>
  <c r="E179" i="28"/>
  <c r="H178" i="28"/>
  <c r="G178" i="28"/>
  <c r="F178" i="28"/>
  <c r="E178" i="28"/>
  <c r="H177" i="28"/>
  <c r="G177" i="28"/>
  <c r="F177" i="28"/>
  <c r="E177" i="28"/>
  <c r="H176" i="28"/>
  <c r="G176" i="28"/>
  <c r="F176" i="28"/>
  <c r="E176" i="28"/>
  <c r="H175" i="28"/>
  <c r="G175" i="28"/>
  <c r="F175" i="28"/>
  <c r="E175" i="28"/>
  <c r="H174" i="28"/>
  <c r="G174" i="28"/>
  <c r="F174" i="28"/>
  <c r="E174" i="28"/>
  <c r="H173" i="28"/>
  <c r="G173" i="28"/>
  <c r="F173" i="28"/>
  <c r="E173" i="28"/>
  <c r="H172" i="28"/>
  <c r="G172" i="28"/>
  <c r="F172" i="28"/>
  <c r="E172" i="28"/>
  <c r="H171" i="28"/>
  <c r="G171" i="28"/>
  <c r="F171" i="28"/>
  <c r="E171" i="28"/>
  <c r="H170" i="28"/>
  <c r="G170" i="28"/>
  <c r="F170" i="28"/>
  <c r="E170" i="28"/>
  <c r="H169" i="28"/>
  <c r="G169" i="28"/>
  <c r="F169" i="28"/>
  <c r="E169" i="28"/>
  <c r="H168" i="28"/>
  <c r="G168" i="28"/>
  <c r="F168" i="28"/>
  <c r="E168" i="28"/>
  <c r="H167" i="28"/>
  <c r="G167" i="28"/>
  <c r="F167" i="28"/>
  <c r="E167" i="28"/>
  <c r="H166" i="28"/>
  <c r="G166" i="28"/>
  <c r="F166" i="28"/>
  <c r="E166" i="28"/>
  <c r="H165" i="28"/>
  <c r="G165" i="28"/>
  <c r="F165" i="28"/>
  <c r="E165" i="28"/>
  <c r="H164" i="28"/>
  <c r="G164" i="28"/>
  <c r="F164" i="28"/>
  <c r="E164" i="28"/>
  <c r="H163" i="28"/>
  <c r="G163" i="28"/>
  <c r="F163" i="28"/>
  <c r="E163" i="28"/>
  <c r="H162" i="28"/>
  <c r="G162" i="28"/>
  <c r="F162" i="28"/>
  <c r="E162" i="28"/>
  <c r="H161" i="28"/>
  <c r="G161" i="28"/>
  <c r="F161" i="28"/>
  <c r="E161" i="28"/>
  <c r="H160" i="28"/>
  <c r="G160" i="28"/>
  <c r="F160" i="28"/>
  <c r="E160" i="28"/>
  <c r="H231" i="27"/>
  <c r="G231" i="27"/>
  <c r="F231" i="27"/>
  <c r="E231" i="27"/>
  <c r="H230" i="27"/>
  <c r="G230" i="27"/>
  <c r="F230" i="27"/>
  <c r="E230" i="27"/>
  <c r="H229" i="27"/>
  <c r="G229" i="27"/>
  <c r="F229" i="27"/>
  <c r="E229" i="27"/>
  <c r="H228" i="27"/>
  <c r="G228" i="27"/>
  <c r="F228" i="27"/>
  <c r="E228" i="27"/>
  <c r="H227" i="27"/>
  <c r="G227" i="27"/>
  <c r="F227" i="27"/>
  <c r="E227" i="27"/>
  <c r="H226" i="27"/>
  <c r="G226" i="27"/>
  <c r="F226" i="27"/>
  <c r="E226" i="27"/>
  <c r="H225" i="27"/>
  <c r="G225" i="27"/>
  <c r="F225" i="27"/>
  <c r="E225" i="27"/>
  <c r="H224" i="27"/>
  <c r="G224" i="27"/>
  <c r="F224" i="27"/>
  <c r="E224" i="27"/>
  <c r="H223" i="27"/>
  <c r="G223" i="27"/>
  <c r="F223" i="27"/>
  <c r="E223" i="27"/>
  <c r="H222" i="27"/>
  <c r="G222" i="27"/>
  <c r="F222" i="27"/>
  <c r="E222" i="27"/>
  <c r="H221" i="27"/>
  <c r="G221" i="27"/>
  <c r="F221" i="27"/>
  <c r="E221" i="27"/>
  <c r="H220" i="27"/>
  <c r="G220" i="27"/>
  <c r="F220" i="27"/>
  <c r="E220" i="27"/>
  <c r="H219" i="27"/>
  <c r="G219" i="27"/>
  <c r="F219" i="27"/>
  <c r="E219" i="27"/>
  <c r="H218" i="27"/>
  <c r="G218" i="27"/>
  <c r="F218" i="27"/>
  <c r="E218" i="27"/>
  <c r="H217" i="27"/>
  <c r="G217" i="27"/>
  <c r="F217" i="27"/>
  <c r="E217" i="27"/>
  <c r="H216" i="27"/>
  <c r="G216" i="27"/>
  <c r="F216" i="27"/>
  <c r="E216" i="27"/>
  <c r="H215" i="27"/>
  <c r="G215" i="27"/>
  <c r="F215" i="27"/>
  <c r="E215" i="27"/>
  <c r="H214" i="27"/>
  <c r="G214" i="27"/>
  <c r="F214" i="27"/>
  <c r="E214" i="27"/>
  <c r="H213" i="27"/>
  <c r="G213" i="27"/>
  <c r="F213" i="27"/>
  <c r="E213" i="27"/>
  <c r="H212" i="27"/>
  <c r="G212" i="27"/>
  <c r="F212" i="27"/>
  <c r="E212" i="27"/>
  <c r="H211" i="27"/>
  <c r="G211" i="27"/>
  <c r="F211" i="27"/>
  <c r="E211" i="27"/>
  <c r="H210" i="27"/>
  <c r="G210" i="27"/>
  <c r="F210" i="27"/>
  <c r="E210" i="27"/>
  <c r="H209" i="27"/>
  <c r="G209" i="27"/>
  <c r="F209" i="27"/>
  <c r="E209" i="27"/>
  <c r="H208" i="27"/>
  <c r="G208" i="27"/>
  <c r="F208" i="27"/>
  <c r="E208" i="27"/>
  <c r="H207" i="27"/>
  <c r="G207" i="27"/>
  <c r="F207" i="27"/>
  <c r="E207" i="27"/>
  <c r="H206" i="27"/>
  <c r="G206" i="27"/>
  <c r="F206" i="27"/>
  <c r="E206" i="27"/>
  <c r="H205" i="27"/>
  <c r="G205" i="27"/>
  <c r="F205" i="27"/>
  <c r="E205" i="27"/>
  <c r="H204" i="27"/>
  <c r="G204" i="27"/>
  <c r="F204" i="27"/>
  <c r="E204" i="27"/>
  <c r="H203" i="27"/>
  <c r="G203" i="27"/>
  <c r="F203" i="27"/>
  <c r="E203" i="27"/>
  <c r="H202" i="27"/>
  <c r="G202" i="27"/>
  <c r="F202" i="27"/>
  <c r="E202" i="27"/>
  <c r="H201" i="27"/>
  <c r="G201" i="27"/>
  <c r="F201" i="27"/>
  <c r="E201" i="27"/>
  <c r="H200" i="27"/>
  <c r="G200" i="27"/>
  <c r="F200" i="27"/>
  <c r="E200" i="27"/>
  <c r="H199" i="27"/>
  <c r="G199" i="27"/>
  <c r="F199" i="27"/>
  <c r="E199" i="27"/>
  <c r="H198" i="27"/>
  <c r="G198" i="27"/>
  <c r="F198" i="27"/>
  <c r="E198" i="27"/>
  <c r="H197" i="27"/>
  <c r="G197" i="27"/>
  <c r="F197" i="27"/>
  <c r="E197" i="27"/>
  <c r="H196" i="27"/>
  <c r="G196" i="27"/>
  <c r="F196" i="27"/>
  <c r="E196" i="27"/>
  <c r="H195" i="27"/>
  <c r="G195" i="27"/>
  <c r="F195" i="27"/>
  <c r="E195" i="27"/>
  <c r="H194" i="27"/>
  <c r="G194" i="27"/>
  <c r="F194" i="27"/>
  <c r="E194" i="27"/>
  <c r="H193" i="27"/>
  <c r="G193" i="27"/>
  <c r="F193" i="27"/>
  <c r="E193" i="27"/>
  <c r="H192" i="27"/>
  <c r="G192" i="27"/>
  <c r="F192" i="27"/>
  <c r="E192" i="27"/>
  <c r="H191" i="27"/>
  <c r="G191" i="27"/>
  <c r="F191" i="27"/>
  <c r="E191" i="27"/>
  <c r="H190" i="27"/>
  <c r="G190" i="27"/>
  <c r="F190" i="27"/>
  <c r="E190" i="27"/>
  <c r="H189" i="27"/>
  <c r="G189" i="27"/>
  <c r="F189" i="27"/>
  <c r="E189" i="27"/>
  <c r="H188" i="27"/>
  <c r="G188" i="27"/>
  <c r="F188" i="27"/>
  <c r="E188" i="27"/>
  <c r="H187" i="27"/>
  <c r="G187" i="27"/>
  <c r="F187" i="27"/>
  <c r="E187" i="27"/>
  <c r="H186" i="27"/>
  <c r="G186" i="27"/>
  <c r="F186" i="27"/>
  <c r="E186" i="27"/>
  <c r="H185" i="27"/>
  <c r="G185" i="27"/>
  <c r="F185" i="27"/>
  <c r="E185" i="27"/>
  <c r="H184" i="27"/>
  <c r="G184" i="27"/>
  <c r="F184" i="27"/>
  <c r="E184" i="27"/>
  <c r="H183" i="27"/>
  <c r="G183" i="27"/>
  <c r="F183" i="27"/>
  <c r="E183" i="27"/>
  <c r="H182" i="27"/>
  <c r="G182" i="27"/>
  <c r="F182" i="27"/>
  <c r="E182" i="27"/>
  <c r="H181" i="27"/>
  <c r="G181" i="27"/>
  <c r="F181" i="27"/>
  <c r="E181" i="27"/>
  <c r="H180" i="27"/>
  <c r="G180" i="27"/>
  <c r="F180" i="27"/>
  <c r="E180" i="27"/>
  <c r="H179" i="27"/>
  <c r="G179" i="27"/>
  <c r="F179" i="27"/>
  <c r="E179" i="27"/>
  <c r="H178" i="27"/>
  <c r="G178" i="27"/>
  <c r="F178" i="27"/>
  <c r="E178" i="27"/>
  <c r="H177" i="27"/>
  <c r="G177" i="27"/>
  <c r="F177" i="27"/>
  <c r="E177" i="27"/>
  <c r="H176" i="27"/>
  <c r="G176" i="27"/>
  <c r="F176" i="27"/>
  <c r="E176" i="27"/>
  <c r="H175" i="27"/>
  <c r="G175" i="27"/>
  <c r="F175" i="27"/>
  <c r="E175" i="27"/>
  <c r="H174" i="27"/>
  <c r="G174" i="27"/>
  <c r="F174" i="27"/>
  <c r="E174" i="27"/>
  <c r="H173" i="27"/>
  <c r="G173" i="27"/>
  <c r="F173" i="27"/>
  <c r="E173" i="27"/>
  <c r="H172" i="27"/>
  <c r="G172" i="27"/>
  <c r="F172" i="27"/>
  <c r="E172" i="27"/>
  <c r="H171" i="27"/>
  <c r="G171" i="27"/>
  <c r="F171" i="27"/>
  <c r="E171" i="27"/>
  <c r="H170" i="27"/>
  <c r="G170" i="27"/>
  <c r="F170" i="27"/>
  <c r="E170" i="27"/>
  <c r="H169" i="27"/>
  <c r="G169" i="27"/>
  <c r="F169" i="27"/>
  <c r="E169" i="27"/>
  <c r="H168" i="27"/>
  <c r="G168" i="27"/>
  <c r="F168" i="27"/>
  <c r="E168" i="27"/>
  <c r="H167" i="27"/>
  <c r="G167" i="27"/>
  <c r="F167" i="27"/>
  <c r="E167" i="27"/>
  <c r="H166" i="27"/>
  <c r="G166" i="27"/>
  <c r="F166" i="27"/>
  <c r="E166" i="27"/>
  <c r="H165" i="27"/>
  <c r="G165" i="27"/>
  <c r="F165" i="27"/>
  <c r="E165" i="27"/>
  <c r="H164" i="27"/>
  <c r="G164" i="27"/>
  <c r="F164" i="27"/>
  <c r="E164" i="27"/>
  <c r="H163" i="27"/>
  <c r="G163" i="27"/>
  <c r="F163" i="27"/>
  <c r="E163" i="27"/>
  <c r="H162" i="27"/>
  <c r="G162" i="27"/>
  <c r="F162" i="27"/>
  <c r="E162" i="27"/>
  <c r="H161" i="27"/>
  <c r="G161" i="27"/>
  <c r="F161" i="27"/>
  <c r="E161" i="27"/>
  <c r="H160" i="27"/>
  <c r="G160" i="27"/>
  <c r="F160" i="27"/>
  <c r="E160" i="27"/>
  <c r="H231" i="25"/>
  <c r="G231" i="25"/>
  <c r="F231" i="25"/>
  <c r="E231" i="25"/>
  <c r="H230" i="25"/>
  <c r="G230" i="25"/>
  <c r="F230" i="25"/>
  <c r="E230" i="25"/>
  <c r="H229" i="25"/>
  <c r="G229" i="25"/>
  <c r="F229" i="25"/>
  <c r="E229" i="25"/>
  <c r="H228" i="25"/>
  <c r="G228" i="25"/>
  <c r="F228" i="25"/>
  <c r="E228" i="25"/>
  <c r="H227" i="25"/>
  <c r="G227" i="25"/>
  <c r="F227" i="25"/>
  <c r="E227" i="25"/>
  <c r="H226" i="25"/>
  <c r="G226" i="25"/>
  <c r="F226" i="25"/>
  <c r="E226" i="25"/>
  <c r="H225" i="25"/>
  <c r="G225" i="25"/>
  <c r="F225" i="25"/>
  <c r="E225" i="25"/>
  <c r="H224" i="25"/>
  <c r="G224" i="25"/>
  <c r="F224" i="25"/>
  <c r="E224" i="25"/>
  <c r="H223" i="25"/>
  <c r="G223" i="25"/>
  <c r="F223" i="25"/>
  <c r="E223" i="25"/>
  <c r="H222" i="25"/>
  <c r="G222" i="25"/>
  <c r="F222" i="25"/>
  <c r="E222" i="25"/>
  <c r="H221" i="25"/>
  <c r="G221" i="25"/>
  <c r="F221" i="25"/>
  <c r="E221" i="25"/>
  <c r="H220" i="25"/>
  <c r="G220" i="25"/>
  <c r="F220" i="25"/>
  <c r="E220" i="25"/>
  <c r="H219" i="25"/>
  <c r="G219" i="25"/>
  <c r="F219" i="25"/>
  <c r="E219" i="25"/>
  <c r="H218" i="25"/>
  <c r="G218" i="25"/>
  <c r="F218" i="25"/>
  <c r="E218" i="25"/>
  <c r="H217" i="25"/>
  <c r="G217" i="25"/>
  <c r="F217" i="25"/>
  <c r="E217" i="25"/>
  <c r="H216" i="25"/>
  <c r="G216" i="25"/>
  <c r="F216" i="25"/>
  <c r="E216" i="25"/>
  <c r="H215" i="25"/>
  <c r="G215" i="25"/>
  <c r="F215" i="25"/>
  <c r="E215" i="25"/>
  <c r="H214" i="25"/>
  <c r="G214" i="25"/>
  <c r="F214" i="25"/>
  <c r="E214" i="25"/>
  <c r="H213" i="25"/>
  <c r="G213" i="25"/>
  <c r="F213" i="25"/>
  <c r="E213" i="25"/>
  <c r="H212" i="25"/>
  <c r="G212" i="25"/>
  <c r="F212" i="25"/>
  <c r="E212" i="25"/>
  <c r="H211" i="25"/>
  <c r="G211" i="25"/>
  <c r="F211" i="25"/>
  <c r="E211" i="25"/>
  <c r="H210" i="25"/>
  <c r="G210" i="25"/>
  <c r="F210" i="25"/>
  <c r="E210" i="25"/>
  <c r="H209" i="25"/>
  <c r="G209" i="25"/>
  <c r="F209" i="25"/>
  <c r="E209" i="25"/>
  <c r="H208" i="25"/>
  <c r="G208" i="25"/>
  <c r="F208" i="25"/>
  <c r="E208" i="25"/>
  <c r="H207" i="25"/>
  <c r="G207" i="25"/>
  <c r="F207" i="25"/>
  <c r="E207" i="25"/>
  <c r="H206" i="25"/>
  <c r="G206" i="25"/>
  <c r="F206" i="25"/>
  <c r="E206" i="25"/>
  <c r="H205" i="25"/>
  <c r="G205" i="25"/>
  <c r="F205" i="25"/>
  <c r="E205" i="25"/>
  <c r="H204" i="25"/>
  <c r="G204" i="25"/>
  <c r="F204" i="25"/>
  <c r="E204" i="25"/>
  <c r="H203" i="25"/>
  <c r="G203" i="25"/>
  <c r="F203" i="25"/>
  <c r="E203" i="25"/>
  <c r="H202" i="25"/>
  <c r="G202" i="25"/>
  <c r="F202" i="25"/>
  <c r="E202" i="25"/>
  <c r="H201" i="25"/>
  <c r="G201" i="25"/>
  <c r="F201" i="25"/>
  <c r="E201" i="25"/>
  <c r="H200" i="25"/>
  <c r="G200" i="25"/>
  <c r="F200" i="25"/>
  <c r="E200" i="25"/>
  <c r="H199" i="25"/>
  <c r="G199" i="25"/>
  <c r="F199" i="25"/>
  <c r="E199" i="25"/>
  <c r="H198" i="25"/>
  <c r="G198" i="25"/>
  <c r="F198" i="25"/>
  <c r="E198" i="25"/>
  <c r="H197" i="25"/>
  <c r="G197" i="25"/>
  <c r="F197" i="25"/>
  <c r="E197" i="25"/>
  <c r="H196" i="25"/>
  <c r="G196" i="25"/>
  <c r="F196" i="25"/>
  <c r="E196" i="25"/>
  <c r="H195" i="25"/>
  <c r="G195" i="25"/>
  <c r="F195" i="25"/>
  <c r="E195" i="25"/>
  <c r="H194" i="25"/>
  <c r="G194" i="25"/>
  <c r="F194" i="25"/>
  <c r="E194" i="25"/>
  <c r="H193" i="25"/>
  <c r="G193" i="25"/>
  <c r="F193" i="25"/>
  <c r="E193" i="25"/>
  <c r="H192" i="25"/>
  <c r="G192" i="25"/>
  <c r="F192" i="25"/>
  <c r="E192" i="25"/>
  <c r="H191" i="25"/>
  <c r="G191" i="25"/>
  <c r="F191" i="25"/>
  <c r="E191" i="25"/>
  <c r="H190" i="25"/>
  <c r="G190" i="25"/>
  <c r="F190" i="25"/>
  <c r="E190" i="25"/>
  <c r="H189" i="25"/>
  <c r="G189" i="25"/>
  <c r="F189" i="25"/>
  <c r="E189" i="25"/>
  <c r="H188" i="25"/>
  <c r="G188" i="25"/>
  <c r="F188" i="25"/>
  <c r="E188" i="25"/>
  <c r="H187" i="25"/>
  <c r="G187" i="25"/>
  <c r="F187" i="25"/>
  <c r="E187" i="25"/>
  <c r="H186" i="25"/>
  <c r="G186" i="25"/>
  <c r="F186" i="25"/>
  <c r="E186" i="25"/>
  <c r="H185" i="25"/>
  <c r="G185" i="25"/>
  <c r="F185" i="25"/>
  <c r="E185" i="25"/>
  <c r="H184" i="25"/>
  <c r="G184" i="25"/>
  <c r="F184" i="25"/>
  <c r="E184" i="25"/>
  <c r="H183" i="25"/>
  <c r="G183" i="25"/>
  <c r="F183" i="25"/>
  <c r="E183" i="25"/>
  <c r="H182" i="25"/>
  <c r="G182" i="25"/>
  <c r="F182" i="25"/>
  <c r="E182" i="25"/>
  <c r="H181" i="25"/>
  <c r="G181" i="25"/>
  <c r="F181" i="25"/>
  <c r="E181" i="25"/>
  <c r="H180" i="25"/>
  <c r="G180" i="25"/>
  <c r="F180" i="25"/>
  <c r="E180" i="25"/>
  <c r="H179" i="25"/>
  <c r="G179" i="25"/>
  <c r="F179" i="25"/>
  <c r="E179" i="25"/>
  <c r="H178" i="25"/>
  <c r="G178" i="25"/>
  <c r="F178" i="25"/>
  <c r="E178" i="25"/>
  <c r="H177" i="25"/>
  <c r="G177" i="25"/>
  <c r="F177" i="25"/>
  <c r="E177" i="25"/>
  <c r="H176" i="25"/>
  <c r="G176" i="25"/>
  <c r="F176" i="25"/>
  <c r="E176" i="25"/>
  <c r="H175" i="25"/>
  <c r="G175" i="25"/>
  <c r="F175" i="25"/>
  <c r="E175" i="25"/>
  <c r="H174" i="25"/>
  <c r="G174" i="25"/>
  <c r="F174" i="25"/>
  <c r="E174" i="25"/>
  <c r="H173" i="25"/>
  <c r="G173" i="25"/>
  <c r="F173" i="25"/>
  <c r="E173" i="25"/>
  <c r="H172" i="25"/>
  <c r="G172" i="25"/>
  <c r="F172" i="25"/>
  <c r="E172" i="25"/>
  <c r="H171" i="25"/>
  <c r="G171" i="25"/>
  <c r="F171" i="25"/>
  <c r="E171" i="25"/>
  <c r="H170" i="25"/>
  <c r="G170" i="25"/>
  <c r="F170" i="25"/>
  <c r="E170" i="25"/>
  <c r="H169" i="25"/>
  <c r="G169" i="25"/>
  <c r="F169" i="25"/>
  <c r="E169" i="25"/>
  <c r="H168" i="25"/>
  <c r="G168" i="25"/>
  <c r="F168" i="25"/>
  <c r="E168" i="25"/>
  <c r="H167" i="25"/>
  <c r="G167" i="25"/>
  <c r="F167" i="25"/>
  <c r="E167" i="25"/>
  <c r="H166" i="25"/>
  <c r="G166" i="25"/>
  <c r="F166" i="25"/>
  <c r="E166" i="25"/>
  <c r="H165" i="25"/>
  <c r="G165" i="25"/>
  <c r="F165" i="25"/>
  <c r="E165" i="25"/>
  <c r="H164" i="25"/>
  <c r="G164" i="25"/>
  <c r="F164" i="25"/>
  <c r="E164" i="25"/>
  <c r="H163" i="25"/>
  <c r="G163" i="25"/>
  <c r="F163" i="25"/>
  <c r="E163" i="25"/>
  <c r="H162" i="25"/>
  <c r="G162" i="25"/>
  <c r="F162" i="25"/>
  <c r="E162" i="25"/>
  <c r="H161" i="25"/>
  <c r="G161" i="25"/>
  <c r="F161" i="25"/>
  <c r="E161" i="25"/>
  <c r="H160" i="25"/>
  <c r="G160" i="25"/>
  <c r="F160" i="25"/>
  <c r="E160" i="25"/>
  <c r="H231" i="24"/>
  <c r="G231" i="24"/>
  <c r="F231" i="24"/>
  <c r="E231" i="24"/>
  <c r="H230" i="24"/>
  <c r="G230" i="24"/>
  <c r="F230" i="24"/>
  <c r="E230" i="24"/>
  <c r="H229" i="24"/>
  <c r="G229" i="24"/>
  <c r="F229" i="24"/>
  <c r="E229" i="24"/>
  <c r="H228" i="24"/>
  <c r="G228" i="24"/>
  <c r="F228" i="24"/>
  <c r="E228" i="24"/>
  <c r="H227" i="24"/>
  <c r="G227" i="24"/>
  <c r="F227" i="24"/>
  <c r="E227" i="24"/>
  <c r="H226" i="24"/>
  <c r="G226" i="24"/>
  <c r="F226" i="24"/>
  <c r="E226" i="24"/>
  <c r="H225" i="24"/>
  <c r="G225" i="24"/>
  <c r="F225" i="24"/>
  <c r="E225" i="24"/>
  <c r="H224" i="24"/>
  <c r="G224" i="24"/>
  <c r="F224" i="24"/>
  <c r="E224" i="24"/>
  <c r="H223" i="24"/>
  <c r="G223" i="24"/>
  <c r="F223" i="24"/>
  <c r="E223" i="24"/>
  <c r="H222" i="24"/>
  <c r="G222" i="24"/>
  <c r="F222" i="24"/>
  <c r="E222" i="24"/>
  <c r="H221" i="24"/>
  <c r="G221" i="24"/>
  <c r="F221" i="24"/>
  <c r="E221" i="24"/>
  <c r="H220" i="24"/>
  <c r="G220" i="24"/>
  <c r="F220" i="24"/>
  <c r="E220" i="24"/>
  <c r="H219" i="24"/>
  <c r="G219" i="24"/>
  <c r="F219" i="24"/>
  <c r="E219" i="24"/>
  <c r="H218" i="24"/>
  <c r="G218" i="24"/>
  <c r="F218" i="24"/>
  <c r="E218" i="24"/>
  <c r="H217" i="24"/>
  <c r="G217" i="24"/>
  <c r="F217" i="24"/>
  <c r="E217" i="24"/>
  <c r="H216" i="24"/>
  <c r="G216" i="24"/>
  <c r="F216" i="24"/>
  <c r="E216" i="24"/>
  <c r="H215" i="24"/>
  <c r="G215" i="24"/>
  <c r="F215" i="24"/>
  <c r="E215" i="24"/>
  <c r="H214" i="24"/>
  <c r="G214" i="24"/>
  <c r="F214" i="24"/>
  <c r="E214" i="24"/>
  <c r="H213" i="24"/>
  <c r="G213" i="24"/>
  <c r="F213" i="24"/>
  <c r="E213" i="24"/>
  <c r="H212" i="24"/>
  <c r="G212" i="24"/>
  <c r="F212" i="24"/>
  <c r="E212" i="24"/>
  <c r="H211" i="24"/>
  <c r="G211" i="24"/>
  <c r="F211" i="24"/>
  <c r="E211" i="24"/>
  <c r="H210" i="24"/>
  <c r="G210" i="24"/>
  <c r="F210" i="24"/>
  <c r="E210" i="24"/>
  <c r="H209" i="24"/>
  <c r="G209" i="24"/>
  <c r="F209" i="24"/>
  <c r="E209" i="24"/>
  <c r="H208" i="24"/>
  <c r="G208" i="24"/>
  <c r="F208" i="24"/>
  <c r="E208" i="24"/>
  <c r="H207" i="24"/>
  <c r="G207" i="24"/>
  <c r="F207" i="24"/>
  <c r="E207" i="24"/>
  <c r="H206" i="24"/>
  <c r="G206" i="24"/>
  <c r="F206" i="24"/>
  <c r="E206" i="24"/>
  <c r="H205" i="24"/>
  <c r="G205" i="24"/>
  <c r="F205" i="24"/>
  <c r="E205" i="24"/>
  <c r="H204" i="24"/>
  <c r="G204" i="24"/>
  <c r="F204" i="24"/>
  <c r="E204" i="24"/>
  <c r="H203" i="24"/>
  <c r="G203" i="24"/>
  <c r="F203" i="24"/>
  <c r="E203" i="24"/>
  <c r="H202" i="24"/>
  <c r="G202" i="24"/>
  <c r="F202" i="24"/>
  <c r="E202" i="24"/>
  <c r="H201" i="24"/>
  <c r="G201" i="24"/>
  <c r="F201" i="24"/>
  <c r="E201" i="24"/>
  <c r="H200" i="24"/>
  <c r="G200" i="24"/>
  <c r="F200" i="24"/>
  <c r="E200" i="24"/>
  <c r="H199" i="24"/>
  <c r="G199" i="24"/>
  <c r="F199" i="24"/>
  <c r="E199" i="24"/>
  <c r="H198" i="24"/>
  <c r="G198" i="24"/>
  <c r="F198" i="24"/>
  <c r="E198" i="24"/>
  <c r="H197" i="24"/>
  <c r="G197" i="24"/>
  <c r="F197" i="24"/>
  <c r="E197" i="24"/>
  <c r="H196" i="24"/>
  <c r="G196" i="24"/>
  <c r="F196" i="24"/>
  <c r="E196" i="24"/>
  <c r="H195" i="24"/>
  <c r="G195" i="24"/>
  <c r="F195" i="24"/>
  <c r="E195" i="24"/>
  <c r="H194" i="24"/>
  <c r="G194" i="24"/>
  <c r="F194" i="24"/>
  <c r="E194" i="24"/>
  <c r="H193" i="24"/>
  <c r="G193" i="24"/>
  <c r="F193" i="24"/>
  <c r="E193" i="24"/>
  <c r="H192" i="24"/>
  <c r="G192" i="24"/>
  <c r="F192" i="24"/>
  <c r="E192" i="24"/>
  <c r="H191" i="24"/>
  <c r="G191" i="24"/>
  <c r="F191" i="24"/>
  <c r="E191" i="24"/>
  <c r="H190" i="24"/>
  <c r="G190" i="24"/>
  <c r="F190" i="24"/>
  <c r="E190" i="24"/>
  <c r="H189" i="24"/>
  <c r="G189" i="24"/>
  <c r="F189" i="24"/>
  <c r="E189" i="24"/>
  <c r="H188" i="24"/>
  <c r="G188" i="24"/>
  <c r="F188" i="24"/>
  <c r="E188" i="24"/>
  <c r="H187" i="24"/>
  <c r="G187" i="24"/>
  <c r="F187" i="24"/>
  <c r="E187" i="24"/>
  <c r="H186" i="24"/>
  <c r="G186" i="24"/>
  <c r="F186" i="24"/>
  <c r="E186" i="24"/>
  <c r="H185" i="24"/>
  <c r="G185" i="24"/>
  <c r="F185" i="24"/>
  <c r="E185" i="24"/>
  <c r="H184" i="24"/>
  <c r="G184" i="24"/>
  <c r="F184" i="24"/>
  <c r="E184" i="24"/>
  <c r="H183" i="24"/>
  <c r="G183" i="24"/>
  <c r="F183" i="24"/>
  <c r="E183" i="24"/>
  <c r="H182" i="24"/>
  <c r="G182" i="24"/>
  <c r="F182" i="24"/>
  <c r="E182" i="24"/>
  <c r="H181" i="24"/>
  <c r="G181" i="24"/>
  <c r="F181" i="24"/>
  <c r="E181" i="24"/>
  <c r="H180" i="24"/>
  <c r="G180" i="24"/>
  <c r="F180" i="24"/>
  <c r="E180" i="24"/>
  <c r="H179" i="24"/>
  <c r="G179" i="24"/>
  <c r="F179" i="24"/>
  <c r="E179" i="24"/>
  <c r="H178" i="24"/>
  <c r="G178" i="24"/>
  <c r="F178" i="24"/>
  <c r="E178" i="24"/>
  <c r="H177" i="24"/>
  <c r="G177" i="24"/>
  <c r="F177" i="24"/>
  <c r="E177" i="24"/>
  <c r="H176" i="24"/>
  <c r="G176" i="24"/>
  <c r="F176" i="24"/>
  <c r="E176" i="24"/>
  <c r="H175" i="24"/>
  <c r="G175" i="24"/>
  <c r="F175" i="24"/>
  <c r="E175" i="24"/>
  <c r="H174" i="24"/>
  <c r="G174" i="24"/>
  <c r="F174" i="24"/>
  <c r="E174" i="24"/>
  <c r="H173" i="24"/>
  <c r="G173" i="24"/>
  <c r="F173" i="24"/>
  <c r="E173" i="24"/>
  <c r="H172" i="24"/>
  <c r="G172" i="24"/>
  <c r="F172" i="24"/>
  <c r="E172" i="24"/>
  <c r="H171" i="24"/>
  <c r="G171" i="24"/>
  <c r="F171" i="24"/>
  <c r="E171" i="24"/>
  <c r="H170" i="24"/>
  <c r="G170" i="24"/>
  <c r="F170" i="24"/>
  <c r="E170" i="24"/>
  <c r="H169" i="24"/>
  <c r="G169" i="24"/>
  <c r="F169" i="24"/>
  <c r="E169" i="24"/>
  <c r="H168" i="24"/>
  <c r="G168" i="24"/>
  <c r="F168" i="24"/>
  <c r="E168" i="24"/>
  <c r="H167" i="24"/>
  <c r="G167" i="24"/>
  <c r="F167" i="24"/>
  <c r="E167" i="24"/>
  <c r="H166" i="24"/>
  <c r="G166" i="24"/>
  <c r="F166" i="24"/>
  <c r="E166" i="24"/>
  <c r="H165" i="24"/>
  <c r="G165" i="24"/>
  <c r="F165" i="24"/>
  <c r="E165" i="24"/>
  <c r="H164" i="24"/>
  <c r="G164" i="24"/>
  <c r="F164" i="24"/>
  <c r="E164" i="24"/>
  <c r="H163" i="24"/>
  <c r="G163" i="24"/>
  <c r="F163" i="24"/>
  <c r="E163" i="24"/>
  <c r="H162" i="24"/>
  <c r="G162" i="24"/>
  <c r="F162" i="24"/>
  <c r="E162" i="24"/>
  <c r="H161" i="24"/>
  <c r="G161" i="24"/>
  <c r="F161" i="24"/>
  <c r="E161" i="24"/>
  <c r="H160" i="24"/>
  <c r="G160" i="24"/>
  <c r="F160" i="24"/>
  <c r="E160" i="24"/>
  <c r="D19" i="1"/>
  <c r="D18" i="1"/>
  <c r="C16" i="1"/>
  <c r="C14" i="1"/>
  <c r="C19" i="1"/>
  <c r="C15" i="1"/>
  <c r="D16" i="1"/>
  <c r="C18" i="1"/>
  <c r="C13" i="1"/>
  <c r="C20" i="1"/>
  <c r="D20" i="1"/>
  <c r="D12" i="1"/>
  <c r="C9" i="1"/>
  <c r="D10" i="1"/>
  <c r="C17" i="1"/>
  <c r="D15" i="1"/>
  <c r="D13" i="1"/>
  <c r="C12" i="1"/>
  <c r="C11" i="1"/>
  <c r="D9" i="1"/>
  <c r="D17" i="1"/>
  <c r="C10" i="1"/>
  <c r="D14" i="1"/>
  <c r="D11" i="1"/>
  <c r="AH87" i="2" l="1"/>
  <c r="AH38" i="2"/>
  <c r="Q40" i="2"/>
  <c r="Q87" i="2"/>
  <c r="J85" i="2"/>
  <c r="X38" i="2"/>
  <c r="AA37" i="2"/>
  <c r="X39" i="2"/>
  <c r="Q39" i="2"/>
  <c r="F37" i="2"/>
  <c r="C37" i="2"/>
  <c r="AH84" i="2"/>
  <c r="AE84" i="2"/>
  <c r="AA87" i="2"/>
  <c r="X87" i="2"/>
  <c r="AA85" i="2"/>
  <c r="M86" i="2"/>
  <c r="F40" i="2"/>
  <c r="AE40" i="2"/>
  <c r="T39" i="2"/>
  <c r="AA39" i="2"/>
  <c r="T38" i="2"/>
  <c r="M37" i="2"/>
  <c r="C40" i="2"/>
  <c r="F38" i="2"/>
  <c r="V112" i="29" a="1"/>
  <c r="V112" i="29" s="1"/>
  <c r="R112" i="29" a="1"/>
  <c r="R112" i="29" s="1"/>
  <c r="U112" i="29" a="1"/>
  <c r="U112" i="29" s="1"/>
  <c r="AA90" i="29" a="1"/>
  <c r="AA90" i="29" s="1"/>
  <c r="P43" i="29" a="1"/>
  <c r="P43" i="29" s="1"/>
  <c r="AL43" i="29" a="1"/>
  <c r="AL43" i="29" s="1"/>
  <c r="F90" i="29" a="1"/>
  <c r="F90" i="29" s="1"/>
  <c r="R90" i="29" a="1"/>
  <c r="R90" i="29" s="1"/>
  <c r="AD90" i="29" a="1"/>
  <c r="AD90" i="29" s="1"/>
  <c r="E43" i="29" a="1"/>
  <c r="E43" i="29" s="1"/>
  <c r="AM43" i="29" a="1"/>
  <c r="AM43" i="29" s="1"/>
  <c r="I90" i="29" a="1"/>
  <c r="I90" i="29" s="1"/>
  <c r="S90" i="29" a="1"/>
  <c r="S90" i="29" s="1"/>
  <c r="Q43" i="29" a="1"/>
  <c r="Q43" i="29" s="1"/>
  <c r="AE90" i="29" a="1"/>
  <c r="AE90" i="29" s="1"/>
  <c r="AK43" i="29" a="1"/>
  <c r="AK43" i="29" s="1"/>
  <c r="F43" i="29" a="1"/>
  <c r="F43" i="29" s="1"/>
  <c r="R43" i="29" a="1"/>
  <c r="R43" i="29" s="1"/>
  <c r="AN43" i="29" a="1"/>
  <c r="AN43" i="29" s="1"/>
  <c r="J90" i="29" a="1"/>
  <c r="J90" i="29" s="1"/>
  <c r="T90" i="29" a="1"/>
  <c r="T90" i="29" s="1"/>
  <c r="AF90" i="29" a="1"/>
  <c r="AF90" i="29" s="1"/>
  <c r="AD43" i="29" a="1"/>
  <c r="AD43" i="29" s="1"/>
  <c r="S43" i="29" a="1"/>
  <c r="S43" i="29" s="1"/>
  <c r="AE43" i="29" a="1"/>
  <c r="AE43" i="29" s="1"/>
  <c r="AG90" i="29" a="1"/>
  <c r="AG90" i="29" s="1"/>
  <c r="AF43" i="29" a="1"/>
  <c r="AF43" i="29" s="1"/>
  <c r="B90" i="29" a="1"/>
  <c r="B90" i="29" s="1"/>
  <c r="L90" i="29" a="1"/>
  <c r="L90" i="29" s="1"/>
  <c r="AE85" i="2"/>
  <c r="M39" i="2"/>
  <c r="F86" i="2"/>
  <c r="AE87" i="2"/>
  <c r="F39" i="2"/>
  <c r="AO37" i="2"/>
  <c r="C39" i="2"/>
  <c r="AO85" i="2"/>
  <c r="AL84" i="2"/>
  <c r="AE86" i="2"/>
  <c r="AL87" i="2"/>
  <c r="AE39" i="2"/>
  <c r="AL38" i="2"/>
  <c r="Q85" i="2"/>
  <c r="AH39" i="2"/>
  <c r="X84" i="2"/>
  <c r="AE37" i="2"/>
  <c r="T86" i="2"/>
  <c r="M38" i="2"/>
  <c r="J38" i="2"/>
  <c r="F85" i="2"/>
  <c r="AA40" i="2"/>
  <c r="X37" i="2"/>
  <c r="Q38" i="2"/>
  <c r="AH86" i="2"/>
  <c r="AL40" i="2"/>
  <c r="J39" i="2"/>
  <c r="Q37" i="2"/>
  <c r="T85" i="2"/>
  <c r="J37" i="2"/>
  <c r="AA86" i="2"/>
  <c r="M84" i="2"/>
  <c r="AO40" i="2"/>
  <c r="AH37" i="2"/>
  <c r="AL39" i="2"/>
  <c r="AL37" i="2"/>
  <c r="M85" i="2"/>
  <c r="C85" i="2"/>
  <c r="X85" i="2"/>
  <c r="T87" i="2"/>
  <c r="F84" i="2"/>
  <c r="Q86" i="2"/>
  <c r="AL86" i="2"/>
  <c r="AA38" i="2"/>
  <c r="W43" i="2" s="1" a="1"/>
  <c r="AL85" i="2"/>
  <c r="C84" i="2"/>
  <c r="J86" i="2"/>
  <c r="Q84" i="2"/>
  <c r="M87" i="2"/>
  <c r="AO84" i="2"/>
  <c r="C87" i="2"/>
  <c r="J84" i="2"/>
  <c r="T40" i="2"/>
  <c r="F87" i="2"/>
  <c r="X40" i="2"/>
  <c r="AE38" i="2"/>
  <c r="AO86" i="2"/>
  <c r="AH85" i="2"/>
  <c r="M40" i="2"/>
  <c r="AO87" i="2"/>
  <c r="AA84" i="2"/>
  <c r="C38" i="2"/>
  <c r="J40" i="2"/>
  <c r="G232" i="28"/>
  <c r="G232" i="25"/>
  <c r="H232" i="27"/>
  <c r="T37" i="2"/>
  <c r="B155" i="24"/>
  <c r="H232" i="28"/>
  <c r="B154" i="27"/>
  <c r="B154" i="28"/>
  <c r="G232" i="24"/>
  <c r="H232" i="25"/>
  <c r="G232" i="27"/>
  <c r="B155" i="28"/>
  <c r="B155" i="27"/>
  <c r="B154" i="25"/>
  <c r="B155" i="25"/>
  <c r="B154" i="24"/>
  <c r="H232" i="24"/>
  <c r="B6" i="28"/>
  <c r="I6" i="28"/>
  <c r="P6" i="28"/>
  <c r="W6" i="28"/>
  <c r="AD6" i="28"/>
  <c r="AK6" i="28"/>
  <c r="B7" i="28"/>
  <c r="C37" i="28" s="1"/>
  <c r="C7" i="28"/>
  <c r="I7" i="28"/>
  <c r="J7" i="28"/>
  <c r="P7" i="28"/>
  <c r="Q7" i="28"/>
  <c r="W7" i="28"/>
  <c r="X7" i="28"/>
  <c r="AD7" i="28"/>
  <c r="AE37" i="28" s="1"/>
  <c r="AE7" i="28"/>
  <c r="AE38" i="28" s="1"/>
  <c r="AK7" i="28"/>
  <c r="AL7" i="28"/>
  <c r="AL38" i="28" s="1"/>
  <c r="B11" i="28"/>
  <c r="I11" i="28"/>
  <c r="P11" i="28"/>
  <c r="W11" i="28"/>
  <c r="AD11" i="28"/>
  <c r="AK11" i="28"/>
  <c r="B12" i="28"/>
  <c r="C12" i="28"/>
  <c r="I12" i="28"/>
  <c r="J12" i="28"/>
  <c r="P12" i="28"/>
  <c r="Q12" i="28"/>
  <c r="W12" i="28"/>
  <c r="X39" i="28" s="1"/>
  <c r="X12" i="28"/>
  <c r="AD12" i="28"/>
  <c r="AE12" i="28"/>
  <c r="AK12" i="28"/>
  <c r="AL12" i="28"/>
  <c r="B17" i="28"/>
  <c r="I17" i="28"/>
  <c r="P17" i="28"/>
  <c r="W17" i="28"/>
  <c r="AD17" i="28"/>
  <c r="AK17" i="28"/>
  <c r="B18" i="28"/>
  <c r="C18" i="28"/>
  <c r="I18" i="28"/>
  <c r="J18" i="28"/>
  <c r="P18" i="28"/>
  <c r="Q18" i="28"/>
  <c r="W18" i="28"/>
  <c r="X18" i="28"/>
  <c r="AD18" i="28"/>
  <c r="AE18" i="28"/>
  <c r="AK18" i="28"/>
  <c r="AL18" i="28"/>
  <c r="B22" i="28"/>
  <c r="I22" i="28"/>
  <c r="P22" i="28"/>
  <c r="W22" i="28"/>
  <c r="AD22" i="28"/>
  <c r="AK22" i="28"/>
  <c r="B23" i="28"/>
  <c r="C23" i="28"/>
  <c r="I23" i="28"/>
  <c r="J23" i="28"/>
  <c r="P23" i="28"/>
  <c r="Q23" i="28"/>
  <c r="W23" i="28"/>
  <c r="X23" i="28"/>
  <c r="AD23" i="28"/>
  <c r="AE23" i="28"/>
  <c r="AK23" i="28"/>
  <c r="AL23" i="28"/>
  <c r="AL39" i="28" s="1"/>
  <c r="B28" i="28"/>
  <c r="I28" i="28"/>
  <c r="P28" i="28"/>
  <c r="W28" i="28"/>
  <c r="AD28" i="28"/>
  <c r="AK28" i="28"/>
  <c r="B29" i="28"/>
  <c r="C29" i="28"/>
  <c r="I29" i="28"/>
  <c r="J29" i="28"/>
  <c r="P29" i="28"/>
  <c r="Q29" i="28"/>
  <c r="W29" i="28"/>
  <c r="X29" i="28"/>
  <c r="AD29" i="28"/>
  <c r="AE29" i="28"/>
  <c r="AK29" i="28"/>
  <c r="AL29" i="28"/>
  <c r="B33" i="28"/>
  <c r="I33" i="28"/>
  <c r="P33" i="28"/>
  <c r="W33" i="28"/>
  <c r="AD33" i="28"/>
  <c r="AK33" i="28"/>
  <c r="B34" i="28"/>
  <c r="C34" i="28"/>
  <c r="I34" i="28"/>
  <c r="J34" i="28"/>
  <c r="P34" i="28"/>
  <c r="Q34" i="28"/>
  <c r="W34" i="28"/>
  <c r="X34" i="28"/>
  <c r="AD34" i="28"/>
  <c r="AE40" i="28" s="1"/>
  <c r="AE34" i="28"/>
  <c r="AK34" i="28"/>
  <c r="AL40" i="28" s="1"/>
  <c r="AL34" i="28"/>
  <c r="D37" i="28"/>
  <c r="E37" i="28"/>
  <c r="K37" i="28"/>
  <c r="L37" i="28"/>
  <c r="R37" i="28"/>
  <c r="S37" i="28"/>
  <c r="T37" i="28" s="1"/>
  <c r="Y37" i="28"/>
  <c r="AA37" i="28" s="1"/>
  <c r="Z37" i="28"/>
  <c r="AF37" i="28"/>
  <c r="AG37" i="28"/>
  <c r="AM37" i="28"/>
  <c r="AN37" i="28"/>
  <c r="D38" i="28"/>
  <c r="E38" i="28"/>
  <c r="K38" i="28"/>
  <c r="M38" i="28" s="1"/>
  <c r="L38" i="28"/>
  <c r="R38" i="28"/>
  <c r="S38" i="28"/>
  <c r="Y38" i="28"/>
  <c r="AA38" i="28" s="1"/>
  <c r="Z38" i="28"/>
  <c r="AF38" i="28"/>
  <c r="AG38" i="28"/>
  <c r="AM38" i="28"/>
  <c r="AO38" i="28" s="1"/>
  <c r="AN38" i="28"/>
  <c r="D39" i="28"/>
  <c r="E39" i="28"/>
  <c r="F39" i="28" s="1"/>
  <c r="K39" i="28"/>
  <c r="L39" i="28"/>
  <c r="M39" i="28"/>
  <c r="R39" i="28"/>
  <c r="S39" i="28"/>
  <c r="Y39" i="28"/>
  <c r="AA39" i="28" s="1"/>
  <c r="Z39" i="28"/>
  <c r="AF39" i="28"/>
  <c r="AG39" i="28"/>
  <c r="AM39" i="28"/>
  <c r="AO39" i="28" s="1"/>
  <c r="AN39" i="28"/>
  <c r="D40" i="28"/>
  <c r="E40" i="28"/>
  <c r="F40" i="28" s="1"/>
  <c r="K40" i="28"/>
  <c r="L40" i="28"/>
  <c r="M40" i="28"/>
  <c r="R40" i="28"/>
  <c r="S40" i="28"/>
  <c r="Y40" i="28"/>
  <c r="AA40" i="28" s="1"/>
  <c r="Z40" i="28"/>
  <c r="AF40" i="28"/>
  <c r="AG40" i="28"/>
  <c r="AH40" i="28" s="1"/>
  <c r="AM40" i="28"/>
  <c r="AN40" i="28"/>
  <c r="B53" i="28"/>
  <c r="I53" i="28"/>
  <c r="P53" i="28"/>
  <c r="W53" i="28"/>
  <c r="AD53" i="28"/>
  <c r="AK53" i="28"/>
  <c r="B54" i="28"/>
  <c r="C54" i="28"/>
  <c r="I54" i="28"/>
  <c r="J54" i="28"/>
  <c r="P54" i="28"/>
  <c r="Q84" i="28" s="1"/>
  <c r="Q54" i="28"/>
  <c r="W54" i="28"/>
  <c r="X54" i="28"/>
  <c r="AD54" i="28"/>
  <c r="AE54" i="28"/>
  <c r="AK54" i="28"/>
  <c r="AL54" i="28"/>
  <c r="B58" i="28"/>
  <c r="I58" i="28"/>
  <c r="P58" i="28"/>
  <c r="W58" i="28"/>
  <c r="AD58" i="28"/>
  <c r="AK58" i="28"/>
  <c r="B59" i="28"/>
  <c r="C59" i="28"/>
  <c r="I59" i="28"/>
  <c r="J59" i="28"/>
  <c r="P59" i="28"/>
  <c r="Q59" i="28"/>
  <c r="Q87" i="28" s="1"/>
  <c r="W59" i="28"/>
  <c r="X59" i="28"/>
  <c r="AD59" i="28"/>
  <c r="AE59" i="28"/>
  <c r="AK59" i="28"/>
  <c r="AL59" i="28"/>
  <c r="B64" i="28"/>
  <c r="I64" i="28"/>
  <c r="P64" i="28"/>
  <c r="W64" i="28"/>
  <c r="AD64" i="28"/>
  <c r="AK64" i="28"/>
  <c r="B65" i="28"/>
  <c r="C65" i="28"/>
  <c r="I65" i="28"/>
  <c r="J65" i="28"/>
  <c r="P65" i="28"/>
  <c r="Q65" i="28"/>
  <c r="W65" i="28"/>
  <c r="X65" i="28"/>
  <c r="AD65" i="28"/>
  <c r="AE65" i="28"/>
  <c r="AK65" i="28"/>
  <c r="AL84" i="28" s="1"/>
  <c r="AL65" i="28"/>
  <c r="B69" i="28"/>
  <c r="I69" i="28"/>
  <c r="P69" i="28"/>
  <c r="W69" i="28"/>
  <c r="AD69" i="28"/>
  <c r="AK69" i="28"/>
  <c r="B70" i="28"/>
  <c r="C70" i="28"/>
  <c r="I70" i="28"/>
  <c r="J70" i="28"/>
  <c r="P70" i="28"/>
  <c r="Q70" i="28"/>
  <c r="W70" i="28"/>
  <c r="X70" i="28"/>
  <c r="AD70" i="28"/>
  <c r="AE70" i="28"/>
  <c r="AK70" i="28"/>
  <c r="AL70" i="28"/>
  <c r="B75" i="28"/>
  <c r="I75" i="28"/>
  <c r="P75" i="28"/>
  <c r="W75" i="28"/>
  <c r="AD75" i="28"/>
  <c r="AK75" i="28"/>
  <c r="B76" i="28"/>
  <c r="C76" i="28"/>
  <c r="I76" i="28"/>
  <c r="J76" i="28"/>
  <c r="P76" i="28"/>
  <c r="Q76" i="28"/>
  <c r="W76" i="28"/>
  <c r="X76" i="28"/>
  <c r="AD76" i="28"/>
  <c r="AE76" i="28"/>
  <c r="AK76" i="28"/>
  <c r="AL76" i="28"/>
  <c r="B80" i="28"/>
  <c r="I80" i="28"/>
  <c r="P80" i="28"/>
  <c r="W80" i="28"/>
  <c r="AD80" i="28"/>
  <c r="AK80" i="28"/>
  <c r="B81" i="28"/>
  <c r="C81" i="28"/>
  <c r="I81" i="28"/>
  <c r="J81" i="28"/>
  <c r="P81" i="28"/>
  <c r="Q81" i="28"/>
  <c r="W81" i="28"/>
  <c r="X81" i="28"/>
  <c r="AD81" i="28"/>
  <c r="AE81" i="28"/>
  <c r="AK81" i="28"/>
  <c r="AL81" i="28"/>
  <c r="D84" i="28"/>
  <c r="E84" i="28"/>
  <c r="K84" i="28"/>
  <c r="L84" i="28"/>
  <c r="R84" i="28"/>
  <c r="S84" i="28"/>
  <c r="T84" i="28" s="1"/>
  <c r="Y84" i="28"/>
  <c r="Z84" i="28"/>
  <c r="AA84" i="28" s="1"/>
  <c r="AF84" i="28"/>
  <c r="AH84" i="28" s="1"/>
  <c r="AG84" i="28"/>
  <c r="AM84" i="28"/>
  <c r="AN84" i="28"/>
  <c r="AO84" i="28" s="1"/>
  <c r="D85" i="28"/>
  <c r="E85" i="28"/>
  <c r="K85" i="28"/>
  <c r="L85" i="28"/>
  <c r="R85" i="28"/>
  <c r="S85" i="28"/>
  <c r="Y85" i="28"/>
  <c r="Z85" i="28"/>
  <c r="AF85" i="28"/>
  <c r="AG85" i="28"/>
  <c r="AM85" i="28"/>
  <c r="AN85" i="28"/>
  <c r="AO85" i="28" s="1"/>
  <c r="D86" i="28"/>
  <c r="E86" i="28"/>
  <c r="K86" i="28"/>
  <c r="L86" i="28"/>
  <c r="M86" i="28" s="1"/>
  <c r="R86" i="28"/>
  <c r="S86" i="28"/>
  <c r="Y86" i="28"/>
  <c r="Z86" i="28"/>
  <c r="AF86" i="28"/>
  <c r="AG86" i="28"/>
  <c r="AM86" i="28"/>
  <c r="AO86" i="28" s="1"/>
  <c r="AN86" i="28"/>
  <c r="D87" i="28"/>
  <c r="E87" i="28"/>
  <c r="K87" i="28"/>
  <c r="L87" i="28"/>
  <c r="M87" i="28" s="1"/>
  <c r="R87" i="28"/>
  <c r="S87" i="28"/>
  <c r="Y87" i="28"/>
  <c r="AA87" i="28" s="1"/>
  <c r="Z87" i="28"/>
  <c r="AF87" i="28"/>
  <c r="AG87" i="28"/>
  <c r="AH87" i="28" s="1"/>
  <c r="AM87" i="28"/>
  <c r="AN87" i="28"/>
  <c r="AO87" i="28" s="1"/>
  <c r="B6" i="27"/>
  <c r="I6" i="27"/>
  <c r="P6" i="27"/>
  <c r="W6" i="27"/>
  <c r="AD6" i="27"/>
  <c r="AK6" i="27"/>
  <c r="B7" i="27"/>
  <c r="C7" i="27"/>
  <c r="I7" i="27"/>
  <c r="J7" i="27"/>
  <c r="P7" i="27"/>
  <c r="Q7" i="27"/>
  <c r="W7" i="27"/>
  <c r="X7" i="27"/>
  <c r="X38" i="27" s="1"/>
  <c r="AD7" i="27"/>
  <c r="AE7" i="27"/>
  <c r="AK7" i="27"/>
  <c r="AL7" i="27"/>
  <c r="AL38" i="27" s="1"/>
  <c r="B11" i="27"/>
  <c r="I11" i="27"/>
  <c r="P11" i="27"/>
  <c r="W11" i="27"/>
  <c r="AD11" i="27"/>
  <c r="AK11" i="27"/>
  <c r="B12" i="27"/>
  <c r="C12" i="27"/>
  <c r="I12" i="27"/>
  <c r="J12" i="27"/>
  <c r="P12" i="27"/>
  <c r="Q12" i="27"/>
  <c r="Q40" i="27" s="1"/>
  <c r="W12" i="27"/>
  <c r="X12" i="27"/>
  <c r="AD12" i="27"/>
  <c r="AE39" i="27" s="1"/>
  <c r="AE12" i="27"/>
  <c r="AK12" i="27"/>
  <c r="AL12" i="27"/>
  <c r="B17" i="27"/>
  <c r="I17" i="27"/>
  <c r="P17" i="27"/>
  <c r="W17" i="27"/>
  <c r="AD17" i="27"/>
  <c r="AK17" i="27"/>
  <c r="B18" i="27"/>
  <c r="C18" i="27"/>
  <c r="I18" i="27"/>
  <c r="J18" i="27"/>
  <c r="P18" i="27"/>
  <c r="Q18" i="27"/>
  <c r="W18" i="27"/>
  <c r="X18" i="27"/>
  <c r="AD18" i="27"/>
  <c r="AE18" i="27"/>
  <c r="AK18" i="27"/>
  <c r="AL18" i="27"/>
  <c r="B22" i="27"/>
  <c r="I22" i="27"/>
  <c r="P22" i="27"/>
  <c r="W22" i="27"/>
  <c r="AD22" i="27"/>
  <c r="AK22" i="27"/>
  <c r="B23" i="27"/>
  <c r="C23" i="27"/>
  <c r="I23" i="27"/>
  <c r="J23" i="27"/>
  <c r="P23" i="27"/>
  <c r="Q23" i="27"/>
  <c r="W23" i="27"/>
  <c r="X23" i="27"/>
  <c r="AD23" i="27"/>
  <c r="AE23" i="27"/>
  <c r="AK23" i="27"/>
  <c r="AL23" i="27"/>
  <c r="B28" i="27"/>
  <c r="I28" i="27"/>
  <c r="P28" i="27"/>
  <c r="W28" i="27"/>
  <c r="AD28" i="27"/>
  <c r="AK28" i="27"/>
  <c r="B29" i="27"/>
  <c r="C29" i="27"/>
  <c r="I29" i="27"/>
  <c r="J29" i="27"/>
  <c r="P29" i="27"/>
  <c r="Q29" i="27"/>
  <c r="W29" i="27"/>
  <c r="X29" i="27"/>
  <c r="AD29" i="27"/>
  <c r="AE29" i="27"/>
  <c r="AK29" i="27"/>
  <c r="AL29" i="27"/>
  <c r="B33" i="27"/>
  <c r="I33" i="27"/>
  <c r="P33" i="27"/>
  <c r="W33" i="27"/>
  <c r="AD33" i="27"/>
  <c r="AK33" i="27"/>
  <c r="B34" i="27"/>
  <c r="C34" i="27"/>
  <c r="C37" i="27" s="1"/>
  <c r="I34" i="27"/>
  <c r="J34" i="27"/>
  <c r="P34" i="27"/>
  <c r="Q34" i="27"/>
  <c r="W34" i="27"/>
  <c r="X34" i="27"/>
  <c r="AD34" i="27"/>
  <c r="AE34" i="27"/>
  <c r="AK34" i="27"/>
  <c r="AL40" i="27" s="1"/>
  <c r="AL34" i="27"/>
  <c r="D37" i="27"/>
  <c r="E37" i="27"/>
  <c r="K37" i="27"/>
  <c r="L37" i="27"/>
  <c r="R37" i="27"/>
  <c r="S37" i="27"/>
  <c r="Y37" i="27"/>
  <c r="AA37" i="27" s="1"/>
  <c r="Z37" i="27"/>
  <c r="AF37" i="27"/>
  <c r="AG37" i="27"/>
  <c r="AM37" i="27"/>
  <c r="AN37" i="27"/>
  <c r="D38" i="27"/>
  <c r="F38" i="27" s="1"/>
  <c r="E38" i="27"/>
  <c r="K38" i="27"/>
  <c r="M38" i="27" s="1"/>
  <c r="L38" i="27"/>
  <c r="R38" i="27"/>
  <c r="S38" i="27"/>
  <c r="Y38" i="27"/>
  <c r="AA38" i="27" s="1"/>
  <c r="Z38" i="27"/>
  <c r="AF38" i="27"/>
  <c r="AH38" i="27" s="1"/>
  <c r="AG38" i="27"/>
  <c r="AM38" i="27"/>
  <c r="AN38" i="27"/>
  <c r="AO38" i="27" s="1"/>
  <c r="D39" i="27"/>
  <c r="E39" i="27"/>
  <c r="K39" i="27"/>
  <c r="M39" i="27" s="1"/>
  <c r="L39" i="27"/>
  <c r="R39" i="27"/>
  <c r="T39" i="27" s="1"/>
  <c r="S39" i="27"/>
  <c r="Y39" i="27"/>
  <c r="Z39" i="27"/>
  <c r="AF39" i="27"/>
  <c r="AG39" i="27"/>
  <c r="AM39" i="27"/>
  <c r="AO39" i="27" s="1"/>
  <c r="AN39" i="27"/>
  <c r="D40" i="27"/>
  <c r="E40" i="27"/>
  <c r="K40" i="27"/>
  <c r="L40" i="27"/>
  <c r="R40" i="27"/>
  <c r="S40" i="27"/>
  <c r="Y40" i="27"/>
  <c r="Z40" i="27"/>
  <c r="AF40" i="27"/>
  <c r="AG40" i="27"/>
  <c r="AH40" i="27"/>
  <c r="AM40" i="27"/>
  <c r="AO40" i="27" s="1"/>
  <c r="AN40" i="27"/>
  <c r="B53" i="27"/>
  <c r="I53" i="27"/>
  <c r="P53" i="27"/>
  <c r="W53" i="27"/>
  <c r="AD53" i="27"/>
  <c r="AK53" i="27"/>
  <c r="B54" i="27"/>
  <c r="C54" i="27"/>
  <c r="I54" i="27"/>
  <c r="J54" i="27"/>
  <c r="P54" i="27"/>
  <c r="Q54" i="27"/>
  <c r="W54" i="27"/>
  <c r="X54" i="27"/>
  <c r="AD54" i="27"/>
  <c r="AE54" i="27"/>
  <c r="AK54" i="27"/>
  <c r="AL54" i="27"/>
  <c r="B58" i="27"/>
  <c r="I58" i="27"/>
  <c r="P58" i="27"/>
  <c r="W58" i="27"/>
  <c r="AD58" i="27"/>
  <c r="AK58" i="27"/>
  <c r="B59" i="27"/>
  <c r="C59" i="27"/>
  <c r="I59" i="27"/>
  <c r="J59" i="27"/>
  <c r="P59" i="27"/>
  <c r="Q59" i="27"/>
  <c r="W59" i="27"/>
  <c r="X86" i="27" s="1"/>
  <c r="X59" i="27"/>
  <c r="AD59" i="27"/>
  <c r="AE59" i="27"/>
  <c r="AK59" i="27"/>
  <c r="AL59" i="27"/>
  <c r="B64" i="27"/>
  <c r="I64" i="27"/>
  <c r="P64" i="27"/>
  <c r="W64" i="27"/>
  <c r="AD64" i="27"/>
  <c r="AK64" i="27"/>
  <c r="B65" i="27"/>
  <c r="C65" i="27"/>
  <c r="I65" i="27"/>
  <c r="J65" i="27"/>
  <c r="P65" i="27"/>
  <c r="Q65" i="27"/>
  <c r="W65" i="27"/>
  <c r="X65" i="27"/>
  <c r="AD65" i="27"/>
  <c r="AE65" i="27"/>
  <c r="AK65" i="27"/>
  <c r="AL65" i="27"/>
  <c r="B69" i="27"/>
  <c r="I69" i="27"/>
  <c r="P69" i="27"/>
  <c r="W69" i="27"/>
  <c r="AD69" i="27"/>
  <c r="AK69" i="27"/>
  <c r="B70" i="27"/>
  <c r="C70" i="27"/>
  <c r="I70" i="27"/>
  <c r="J70" i="27"/>
  <c r="P70" i="27"/>
  <c r="Q70" i="27"/>
  <c r="W70" i="27"/>
  <c r="X70" i="27"/>
  <c r="AD70" i="27"/>
  <c r="AE70" i="27"/>
  <c r="AK70" i="27"/>
  <c r="AL70" i="27"/>
  <c r="B75" i="27"/>
  <c r="I75" i="27"/>
  <c r="P75" i="27"/>
  <c r="W75" i="27"/>
  <c r="AD75" i="27"/>
  <c r="AK75" i="27"/>
  <c r="B76" i="27"/>
  <c r="C76" i="27"/>
  <c r="I76" i="27"/>
  <c r="J76" i="27"/>
  <c r="P76" i="27"/>
  <c r="Q76" i="27"/>
  <c r="W76" i="27"/>
  <c r="X76" i="27"/>
  <c r="AD76" i="27"/>
  <c r="AE87" i="27" s="1"/>
  <c r="AE76" i="27"/>
  <c r="AK76" i="27"/>
  <c r="AL76" i="27"/>
  <c r="B80" i="27"/>
  <c r="I80" i="27"/>
  <c r="P80" i="27"/>
  <c r="W80" i="27"/>
  <c r="AD80" i="27"/>
  <c r="AK80" i="27"/>
  <c r="B81" i="27"/>
  <c r="C81" i="27"/>
  <c r="I81" i="27"/>
  <c r="J81" i="27"/>
  <c r="P81" i="27"/>
  <c r="Q81" i="27"/>
  <c r="W81" i="27"/>
  <c r="X81" i="27"/>
  <c r="AD81" i="27"/>
  <c r="AE81" i="27"/>
  <c r="AK81" i="27"/>
  <c r="AL81" i="27"/>
  <c r="D84" i="27"/>
  <c r="E84" i="27"/>
  <c r="K84" i="27"/>
  <c r="M84" i="27" s="1"/>
  <c r="L84" i="27"/>
  <c r="R84" i="27"/>
  <c r="S84" i="27"/>
  <c r="Y84" i="27"/>
  <c r="Z84" i="27"/>
  <c r="AA84" i="27" s="1"/>
  <c r="AF84" i="27"/>
  <c r="AG84" i="27"/>
  <c r="AM84" i="27"/>
  <c r="AO84" i="27" s="1"/>
  <c r="AN84" i="27"/>
  <c r="D85" i="27"/>
  <c r="E85" i="27"/>
  <c r="K85" i="27"/>
  <c r="L85" i="27"/>
  <c r="M85" i="27" s="1"/>
  <c r="R85" i="27"/>
  <c r="S85" i="27"/>
  <c r="Y85" i="27"/>
  <c r="Z85" i="27"/>
  <c r="AF85" i="27"/>
  <c r="AG85" i="27"/>
  <c r="AM85" i="27"/>
  <c r="AN85" i="27"/>
  <c r="D86" i="27"/>
  <c r="E86" i="27"/>
  <c r="F86" i="27" s="1"/>
  <c r="K86" i="27"/>
  <c r="M86" i="27" s="1"/>
  <c r="L86" i="27"/>
  <c r="R86" i="27"/>
  <c r="S86" i="27"/>
  <c r="Y86" i="27"/>
  <c r="Z86" i="27"/>
  <c r="AF86" i="27"/>
  <c r="AG86" i="27"/>
  <c r="AM86" i="27"/>
  <c r="AN86" i="27"/>
  <c r="D87" i="27"/>
  <c r="E87" i="27"/>
  <c r="K87" i="27"/>
  <c r="L87" i="27"/>
  <c r="R87" i="27"/>
  <c r="S87" i="27"/>
  <c r="T87" i="27" s="1"/>
  <c r="Y87" i="27"/>
  <c r="Z87" i="27"/>
  <c r="AA87" i="27"/>
  <c r="AF87" i="27"/>
  <c r="AG87" i="27"/>
  <c r="AM87" i="27"/>
  <c r="AN87" i="27"/>
  <c r="B6" i="25"/>
  <c r="I6" i="25"/>
  <c r="P6" i="25"/>
  <c r="W6" i="25"/>
  <c r="AD6" i="25"/>
  <c r="AK6" i="25"/>
  <c r="B7" i="25"/>
  <c r="C37" i="25" s="1"/>
  <c r="C7" i="25"/>
  <c r="I7" i="25"/>
  <c r="J7" i="25"/>
  <c r="P7" i="25"/>
  <c r="Q7" i="25"/>
  <c r="W7" i="25"/>
  <c r="X7" i="25"/>
  <c r="AD7" i="25"/>
  <c r="AE7" i="25"/>
  <c r="AK7" i="25"/>
  <c r="AL7" i="25"/>
  <c r="B11" i="25"/>
  <c r="I11" i="25"/>
  <c r="P11" i="25"/>
  <c r="W11" i="25"/>
  <c r="AD11" i="25"/>
  <c r="AK11" i="25"/>
  <c r="B12" i="25"/>
  <c r="C12" i="25"/>
  <c r="I12" i="25"/>
  <c r="J12" i="25"/>
  <c r="P12" i="25"/>
  <c r="Q12" i="25"/>
  <c r="W12" i="25"/>
  <c r="X12" i="25"/>
  <c r="AD12" i="25"/>
  <c r="AE39" i="25" s="1"/>
  <c r="AE12" i="25"/>
  <c r="AK12" i="25"/>
  <c r="AL12" i="25"/>
  <c r="B17" i="25"/>
  <c r="I17" i="25"/>
  <c r="P17" i="25"/>
  <c r="W17" i="25"/>
  <c r="AD17" i="25"/>
  <c r="AK17" i="25"/>
  <c r="B18" i="25"/>
  <c r="C18" i="25"/>
  <c r="I18" i="25"/>
  <c r="J18" i="25"/>
  <c r="P18" i="25"/>
  <c r="Q18" i="25"/>
  <c r="W18" i="25"/>
  <c r="X18" i="25"/>
  <c r="AD18" i="25"/>
  <c r="AE18" i="25"/>
  <c r="AK18" i="25"/>
  <c r="AL18" i="25"/>
  <c r="B22" i="25"/>
  <c r="I22" i="25"/>
  <c r="P22" i="25"/>
  <c r="W22" i="25"/>
  <c r="AD22" i="25"/>
  <c r="AK22" i="25"/>
  <c r="B23" i="25"/>
  <c r="C23" i="25"/>
  <c r="I23" i="25"/>
  <c r="J23" i="25"/>
  <c r="P23" i="25"/>
  <c r="Q23" i="25"/>
  <c r="W23" i="25"/>
  <c r="X23" i="25"/>
  <c r="AD23" i="25"/>
  <c r="AE23" i="25"/>
  <c r="AK23" i="25"/>
  <c r="AL23" i="25"/>
  <c r="B28" i="25"/>
  <c r="I28" i="25"/>
  <c r="P28" i="25"/>
  <c r="W28" i="25"/>
  <c r="AD28" i="25"/>
  <c r="AK28" i="25"/>
  <c r="B29" i="25"/>
  <c r="C29" i="25"/>
  <c r="I29" i="25"/>
  <c r="J29" i="25"/>
  <c r="P29" i="25"/>
  <c r="Q29" i="25"/>
  <c r="W29" i="25"/>
  <c r="X29" i="25"/>
  <c r="AD29" i="25"/>
  <c r="AE29" i="25"/>
  <c r="AK29" i="25"/>
  <c r="AL29" i="25"/>
  <c r="B33" i="25"/>
  <c r="I33" i="25"/>
  <c r="P33" i="25"/>
  <c r="W33" i="25"/>
  <c r="AD33" i="25"/>
  <c r="AK33" i="25"/>
  <c r="B34" i="25"/>
  <c r="C34" i="25"/>
  <c r="I34" i="25"/>
  <c r="J34" i="25"/>
  <c r="P34" i="25"/>
  <c r="Q34" i="25"/>
  <c r="W34" i="25"/>
  <c r="X34" i="25"/>
  <c r="AD34" i="25"/>
  <c r="AE34" i="25"/>
  <c r="AK34" i="25"/>
  <c r="AL34" i="25"/>
  <c r="D37" i="25"/>
  <c r="E37" i="25"/>
  <c r="K37" i="25"/>
  <c r="L37" i="25"/>
  <c r="R37" i="25"/>
  <c r="S37" i="25"/>
  <c r="Y37" i="25"/>
  <c r="AA37" i="25" s="1"/>
  <c r="Z37" i="25"/>
  <c r="AF37" i="25"/>
  <c r="AG37" i="25"/>
  <c r="AH37" i="25" s="1"/>
  <c r="AM37" i="25"/>
  <c r="AO37" i="25" s="1"/>
  <c r="AN37" i="25"/>
  <c r="D38" i="25"/>
  <c r="F38" i="25" s="1"/>
  <c r="E38" i="25"/>
  <c r="K38" i="25"/>
  <c r="M38" i="25" s="1"/>
  <c r="L38" i="25"/>
  <c r="R38" i="25"/>
  <c r="S38" i="25"/>
  <c r="T38" i="25" s="1"/>
  <c r="Y38" i="25"/>
  <c r="AA38" i="25" s="1"/>
  <c r="Z38" i="25"/>
  <c r="AF38" i="25"/>
  <c r="AG38" i="25"/>
  <c r="AM38" i="25"/>
  <c r="AN38" i="25"/>
  <c r="D39" i="25"/>
  <c r="E39" i="25"/>
  <c r="K39" i="25"/>
  <c r="M39" i="25" s="1"/>
  <c r="L39" i="25"/>
  <c r="R39" i="25"/>
  <c r="S39" i="25"/>
  <c r="Y39" i="25"/>
  <c r="Z39" i="25"/>
  <c r="AA39" i="25"/>
  <c r="AF39" i="25"/>
  <c r="AG39" i="25"/>
  <c r="AH39" i="25" s="1"/>
  <c r="AM39" i="25"/>
  <c r="AN39" i="25"/>
  <c r="AO39" i="25"/>
  <c r="D40" i="25"/>
  <c r="F40" i="25" s="1"/>
  <c r="E40" i="25"/>
  <c r="K40" i="25"/>
  <c r="L40" i="25"/>
  <c r="R40" i="25"/>
  <c r="S40" i="25"/>
  <c r="Y40" i="25"/>
  <c r="Z40" i="25"/>
  <c r="AF40" i="25"/>
  <c r="AG40" i="25"/>
  <c r="AM40" i="25"/>
  <c r="AN40" i="25"/>
  <c r="B53" i="25"/>
  <c r="I53" i="25"/>
  <c r="P53" i="25"/>
  <c r="W53" i="25"/>
  <c r="AD53" i="25"/>
  <c r="AK53" i="25"/>
  <c r="B54" i="25"/>
  <c r="C54" i="25"/>
  <c r="C85" i="25" s="1"/>
  <c r="I54" i="25"/>
  <c r="J54" i="25"/>
  <c r="P54" i="25"/>
  <c r="Q54" i="25"/>
  <c r="W54" i="25"/>
  <c r="X54" i="25"/>
  <c r="AD54" i="25"/>
  <c r="AE54" i="25"/>
  <c r="AK54" i="25"/>
  <c r="AL54" i="25"/>
  <c r="B58" i="25"/>
  <c r="I58" i="25"/>
  <c r="P58" i="25"/>
  <c r="W58" i="25"/>
  <c r="AD58" i="25"/>
  <c r="AK58" i="25"/>
  <c r="B59" i="25"/>
  <c r="C59" i="25"/>
  <c r="I59" i="25"/>
  <c r="J59" i="25"/>
  <c r="P59" i="25"/>
  <c r="Q59" i="25"/>
  <c r="W59" i="25"/>
  <c r="X59" i="25"/>
  <c r="AD59" i="25"/>
  <c r="AE86" i="25" s="1"/>
  <c r="AE59" i="25"/>
  <c r="AK59" i="25"/>
  <c r="AL59" i="25"/>
  <c r="B64" i="25"/>
  <c r="I64" i="25"/>
  <c r="P64" i="25"/>
  <c r="W64" i="25"/>
  <c r="AD64" i="25"/>
  <c r="AK64" i="25"/>
  <c r="B65" i="25"/>
  <c r="C65" i="25"/>
  <c r="I65" i="25"/>
  <c r="J65" i="25"/>
  <c r="P65" i="25"/>
  <c r="Q65" i="25"/>
  <c r="W65" i="25"/>
  <c r="X65" i="25"/>
  <c r="AD65" i="25"/>
  <c r="AE65" i="25"/>
  <c r="AK65" i="25"/>
  <c r="AL65" i="25"/>
  <c r="B69" i="25"/>
  <c r="I69" i="25"/>
  <c r="P69" i="25"/>
  <c r="W69" i="25"/>
  <c r="AD69" i="25"/>
  <c r="AK69" i="25"/>
  <c r="B70" i="25"/>
  <c r="C70" i="25"/>
  <c r="I70" i="25"/>
  <c r="J70" i="25"/>
  <c r="P70" i="25"/>
  <c r="Q70" i="25"/>
  <c r="W70" i="25"/>
  <c r="X70" i="25"/>
  <c r="AD70" i="25"/>
  <c r="AE70" i="25"/>
  <c r="AK70" i="25"/>
  <c r="AL70" i="25"/>
  <c r="B75" i="25"/>
  <c r="I75" i="25"/>
  <c r="P75" i="25"/>
  <c r="W75" i="25"/>
  <c r="AD75" i="25"/>
  <c r="AK75" i="25"/>
  <c r="B76" i="25"/>
  <c r="C76" i="25"/>
  <c r="I76" i="25"/>
  <c r="J76" i="25"/>
  <c r="P76" i="25"/>
  <c r="Q76" i="25"/>
  <c r="W76" i="25"/>
  <c r="X76" i="25"/>
  <c r="AD76" i="25"/>
  <c r="AE76" i="25"/>
  <c r="AK76" i="25"/>
  <c r="AL76" i="25"/>
  <c r="B80" i="25"/>
  <c r="I80" i="25"/>
  <c r="P80" i="25"/>
  <c r="W80" i="25"/>
  <c r="AD80" i="25"/>
  <c r="AK80" i="25"/>
  <c r="B81" i="25"/>
  <c r="C81" i="25"/>
  <c r="I81" i="25"/>
  <c r="J81" i="25"/>
  <c r="P81" i="25"/>
  <c r="Q81" i="25"/>
  <c r="W81" i="25"/>
  <c r="X81" i="25"/>
  <c r="AD81" i="25"/>
  <c r="AE81" i="25"/>
  <c r="AK81" i="25"/>
  <c r="AL81" i="25"/>
  <c r="D84" i="25"/>
  <c r="E84" i="25"/>
  <c r="K84" i="25"/>
  <c r="L84" i="25"/>
  <c r="R84" i="25"/>
  <c r="S84" i="25"/>
  <c r="Y84" i="25"/>
  <c r="Z84" i="25"/>
  <c r="AF84" i="25"/>
  <c r="AH84" i="25" s="1"/>
  <c r="AG84" i="25"/>
  <c r="AM84" i="25"/>
  <c r="AN84" i="25"/>
  <c r="AO84" i="25" s="1"/>
  <c r="D85" i="25"/>
  <c r="E85" i="25"/>
  <c r="F85" i="25" s="1"/>
  <c r="K85" i="25"/>
  <c r="L85" i="25"/>
  <c r="M85" i="25" s="1"/>
  <c r="R85" i="25"/>
  <c r="T85" i="25" s="1"/>
  <c r="S85" i="25"/>
  <c r="Y85" i="25"/>
  <c r="Z85" i="25"/>
  <c r="AF85" i="25"/>
  <c r="AG85" i="25"/>
  <c r="AM85" i="25"/>
  <c r="AN85" i="25"/>
  <c r="D86" i="25"/>
  <c r="F86" i="25" s="1"/>
  <c r="E86" i="25"/>
  <c r="K86" i="25"/>
  <c r="L86" i="25"/>
  <c r="R86" i="25"/>
  <c r="S86" i="25"/>
  <c r="T86" i="25" s="1"/>
  <c r="Y86" i="25"/>
  <c r="Z86" i="25"/>
  <c r="AF86" i="25"/>
  <c r="AG86" i="25"/>
  <c r="AM86" i="25"/>
  <c r="AN86" i="25"/>
  <c r="AO86" i="25" s="1"/>
  <c r="D87" i="25"/>
  <c r="E87" i="25"/>
  <c r="F87" i="25" s="1"/>
  <c r="K87" i="25"/>
  <c r="L87" i="25"/>
  <c r="R87" i="25"/>
  <c r="T87" i="25" s="1"/>
  <c r="S87" i="25"/>
  <c r="Y87" i="25"/>
  <c r="Z87" i="25"/>
  <c r="AF87" i="25"/>
  <c r="AG87" i="25"/>
  <c r="AH87" i="25" s="1"/>
  <c r="AM87" i="25"/>
  <c r="AN87" i="25"/>
  <c r="AO87" i="25" s="1"/>
  <c r="B6" i="24"/>
  <c r="I6" i="24"/>
  <c r="P6" i="24"/>
  <c r="W6" i="24"/>
  <c r="AD6" i="24"/>
  <c r="AK6" i="24"/>
  <c r="B7" i="24"/>
  <c r="C7" i="24"/>
  <c r="I7" i="24"/>
  <c r="J7" i="24"/>
  <c r="P7" i="24"/>
  <c r="Q7" i="24"/>
  <c r="W7" i="24"/>
  <c r="X7" i="24"/>
  <c r="AD7" i="24"/>
  <c r="AE7" i="24"/>
  <c r="AK7" i="24"/>
  <c r="AL7" i="24"/>
  <c r="AL38" i="24" s="1"/>
  <c r="B11" i="24"/>
  <c r="I11" i="24"/>
  <c r="P11" i="24"/>
  <c r="W11" i="24"/>
  <c r="AD11" i="24"/>
  <c r="AK11" i="24"/>
  <c r="B12" i="24"/>
  <c r="C12" i="24"/>
  <c r="I12" i="24"/>
  <c r="J12" i="24"/>
  <c r="P12" i="24"/>
  <c r="Q12" i="24"/>
  <c r="W12" i="24"/>
  <c r="X12" i="24"/>
  <c r="AD12" i="24"/>
  <c r="AE12" i="24"/>
  <c r="AK12" i="24"/>
  <c r="AL12" i="24"/>
  <c r="AL40" i="24" s="1"/>
  <c r="B17" i="24"/>
  <c r="I17" i="24"/>
  <c r="P17" i="24"/>
  <c r="W17" i="24"/>
  <c r="AD17" i="24"/>
  <c r="AK17" i="24"/>
  <c r="B18" i="24"/>
  <c r="C18" i="24"/>
  <c r="I18" i="24"/>
  <c r="J18" i="24"/>
  <c r="P18" i="24"/>
  <c r="Q18" i="24"/>
  <c r="Q38" i="24" s="1"/>
  <c r="W18" i="24"/>
  <c r="X18" i="24"/>
  <c r="AD18" i="24"/>
  <c r="AE18" i="24"/>
  <c r="AK18" i="24"/>
  <c r="AL18" i="24"/>
  <c r="B22" i="24"/>
  <c r="I22" i="24"/>
  <c r="P22" i="24"/>
  <c r="W22" i="24"/>
  <c r="AD22" i="24"/>
  <c r="AK22" i="24"/>
  <c r="B23" i="24"/>
  <c r="C23" i="24"/>
  <c r="I23" i="24"/>
  <c r="J23" i="24"/>
  <c r="P23" i="24"/>
  <c r="Q23" i="24"/>
  <c r="W23" i="24"/>
  <c r="X23" i="24"/>
  <c r="AD23" i="24"/>
  <c r="AE23" i="24"/>
  <c r="AK23" i="24"/>
  <c r="AL23" i="24"/>
  <c r="AL39" i="24" s="1"/>
  <c r="B28" i="24"/>
  <c r="I28" i="24"/>
  <c r="P28" i="24"/>
  <c r="W28" i="24"/>
  <c r="AD28" i="24"/>
  <c r="AK28" i="24"/>
  <c r="B29" i="24"/>
  <c r="C29" i="24"/>
  <c r="I29" i="24"/>
  <c r="J29" i="24"/>
  <c r="P29" i="24"/>
  <c r="Q29" i="24"/>
  <c r="W29" i="24"/>
  <c r="X29" i="24"/>
  <c r="AD29" i="24"/>
  <c r="AE29" i="24"/>
  <c r="AK29" i="24"/>
  <c r="AL29" i="24"/>
  <c r="B33" i="24"/>
  <c r="I33" i="24"/>
  <c r="P33" i="24"/>
  <c r="W33" i="24"/>
  <c r="AD33" i="24"/>
  <c r="AK33" i="24"/>
  <c r="B34" i="24"/>
  <c r="C34" i="24"/>
  <c r="I34" i="24"/>
  <c r="J34" i="24"/>
  <c r="P34" i="24"/>
  <c r="Q34" i="24"/>
  <c r="W34" i="24"/>
  <c r="X34" i="24"/>
  <c r="AD34" i="24"/>
  <c r="AE34" i="24"/>
  <c r="AK34" i="24"/>
  <c r="AL34" i="24"/>
  <c r="D37" i="24"/>
  <c r="E37" i="24"/>
  <c r="K37" i="24"/>
  <c r="L37" i="24"/>
  <c r="R37" i="24"/>
  <c r="S37" i="24"/>
  <c r="Y37" i="24"/>
  <c r="Z37" i="24"/>
  <c r="AA37" i="24" s="1"/>
  <c r="AF37" i="24"/>
  <c r="AG37" i="24"/>
  <c r="AM37" i="24"/>
  <c r="AO37" i="24" s="1"/>
  <c r="AN37" i="24"/>
  <c r="D38" i="24"/>
  <c r="E38" i="24"/>
  <c r="F38" i="24" s="1"/>
  <c r="K38" i="24"/>
  <c r="L38" i="24"/>
  <c r="M38" i="24"/>
  <c r="R38" i="24"/>
  <c r="S38" i="24"/>
  <c r="Y38" i="24"/>
  <c r="AA38" i="24" s="1"/>
  <c r="Z38" i="24"/>
  <c r="AF38" i="24"/>
  <c r="AG38" i="24"/>
  <c r="AM38" i="24"/>
  <c r="AO38" i="24" s="1"/>
  <c r="AN38" i="24"/>
  <c r="D39" i="24"/>
  <c r="E39" i="24"/>
  <c r="K39" i="24"/>
  <c r="L39" i="24"/>
  <c r="M39" i="24"/>
  <c r="R39" i="24"/>
  <c r="S39" i="24"/>
  <c r="T39" i="24" s="1"/>
  <c r="Y39" i="24"/>
  <c r="AA39" i="24" s="1"/>
  <c r="Z39" i="24"/>
  <c r="AF39" i="24"/>
  <c r="AG39" i="24"/>
  <c r="AM39" i="24"/>
  <c r="AN39" i="24"/>
  <c r="AO39" i="24" s="1"/>
  <c r="D40" i="24"/>
  <c r="E40" i="24"/>
  <c r="K40" i="24"/>
  <c r="M40" i="24" s="1"/>
  <c r="L40" i="24"/>
  <c r="R40" i="24"/>
  <c r="S40" i="24"/>
  <c r="Y40" i="24"/>
  <c r="Z40" i="24"/>
  <c r="AA40" i="24"/>
  <c r="AF40" i="24"/>
  <c r="AG40" i="24"/>
  <c r="AH40" i="24" s="1"/>
  <c r="AM40" i="24"/>
  <c r="AN40" i="24"/>
  <c r="AO40" i="24" s="1"/>
  <c r="B53" i="24"/>
  <c r="I53" i="24"/>
  <c r="P53" i="24"/>
  <c r="W53" i="24"/>
  <c r="AD53" i="24"/>
  <c r="AK53" i="24"/>
  <c r="B54" i="24"/>
  <c r="C54" i="24"/>
  <c r="I54" i="24"/>
  <c r="J84" i="24" s="1"/>
  <c r="J54" i="24"/>
  <c r="P54" i="24"/>
  <c r="Q54" i="24"/>
  <c r="W54" i="24"/>
  <c r="X54" i="24"/>
  <c r="AD54" i="24"/>
  <c r="AE54" i="24"/>
  <c r="AK54" i="24"/>
  <c r="AL54" i="24"/>
  <c r="B58" i="24"/>
  <c r="I58" i="24"/>
  <c r="P58" i="24"/>
  <c r="W58" i="24"/>
  <c r="AD58" i="24"/>
  <c r="AK58" i="24"/>
  <c r="B59" i="24"/>
  <c r="C59" i="24"/>
  <c r="I59" i="24"/>
  <c r="J59" i="24"/>
  <c r="P59" i="24"/>
  <c r="Q59" i="24"/>
  <c r="W59" i="24"/>
  <c r="X59" i="24"/>
  <c r="AD59" i="24"/>
  <c r="AE59" i="24"/>
  <c r="AK59" i="24"/>
  <c r="AL59" i="24"/>
  <c r="B64" i="24"/>
  <c r="I64" i="24"/>
  <c r="P64" i="24"/>
  <c r="W64" i="24"/>
  <c r="AD64" i="24"/>
  <c r="AK64" i="24"/>
  <c r="B65" i="24"/>
  <c r="C65" i="24"/>
  <c r="I65" i="24"/>
  <c r="J65" i="24"/>
  <c r="P65" i="24"/>
  <c r="Q65" i="24"/>
  <c r="W65" i="24"/>
  <c r="X65" i="24"/>
  <c r="AD65" i="24"/>
  <c r="AE65" i="24"/>
  <c r="AK65" i="24"/>
  <c r="AL65" i="24"/>
  <c r="B69" i="24"/>
  <c r="I69" i="24"/>
  <c r="P69" i="24"/>
  <c r="W69" i="24"/>
  <c r="AD69" i="24"/>
  <c r="AK69" i="24"/>
  <c r="B70" i="24"/>
  <c r="C70" i="24"/>
  <c r="I70" i="24"/>
  <c r="J70" i="24"/>
  <c r="P70" i="24"/>
  <c r="Q70" i="24"/>
  <c r="W70" i="24"/>
  <c r="X70" i="24"/>
  <c r="AD70" i="24"/>
  <c r="AE70" i="24"/>
  <c r="AK70" i="24"/>
  <c r="AL70" i="24"/>
  <c r="B75" i="24"/>
  <c r="I75" i="24"/>
  <c r="P75" i="24"/>
  <c r="W75" i="24"/>
  <c r="AD75" i="24"/>
  <c r="AK75" i="24"/>
  <c r="B76" i="24"/>
  <c r="C76" i="24"/>
  <c r="I76" i="24"/>
  <c r="J76" i="24"/>
  <c r="P76" i="24"/>
  <c r="Q76" i="24"/>
  <c r="W76" i="24"/>
  <c r="X76" i="24"/>
  <c r="AD76" i="24"/>
  <c r="AE76" i="24"/>
  <c r="AK76" i="24"/>
  <c r="AL76" i="24"/>
  <c r="B80" i="24"/>
  <c r="I80" i="24"/>
  <c r="P80" i="24"/>
  <c r="W80" i="24"/>
  <c r="AD80" i="24"/>
  <c r="AK80" i="24"/>
  <c r="B81" i="24"/>
  <c r="C81" i="24"/>
  <c r="I81" i="24"/>
  <c r="J81" i="24"/>
  <c r="P81" i="24"/>
  <c r="Q81" i="24"/>
  <c r="W81" i="24"/>
  <c r="X81" i="24"/>
  <c r="AD81" i="24"/>
  <c r="AE81" i="24"/>
  <c r="AK81" i="24"/>
  <c r="AL81" i="24"/>
  <c r="D84" i="24"/>
  <c r="E84" i="24"/>
  <c r="K84" i="24"/>
  <c r="M84" i="24" s="1"/>
  <c r="L84" i="24"/>
  <c r="R84" i="24"/>
  <c r="S84" i="24"/>
  <c r="Y84" i="24"/>
  <c r="Z84" i="24"/>
  <c r="AF84" i="24"/>
  <c r="AG84" i="24"/>
  <c r="AM84" i="24"/>
  <c r="AN84" i="24"/>
  <c r="AO84" i="24" s="1"/>
  <c r="C85" i="24"/>
  <c r="D85" i="24"/>
  <c r="F85" i="24" s="1"/>
  <c r="E85" i="24"/>
  <c r="K85" i="24"/>
  <c r="L85" i="24"/>
  <c r="R85" i="24"/>
  <c r="S85" i="24"/>
  <c r="Y85" i="24"/>
  <c r="AA85" i="24" s="1"/>
  <c r="Z85" i="24"/>
  <c r="AF85" i="24"/>
  <c r="AG85" i="24"/>
  <c r="AM85" i="24"/>
  <c r="AN85" i="24"/>
  <c r="AO85" i="24" s="1"/>
  <c r="D86" i="24"/>
  <c r="E86" i="24"/>
  <c r="J86" i="24"/>
  <c r="K86" i="24"/>
  <c r="M86" i="24" s="1"/>
  <c r="L86" i="24"/>
  <c r="R86" i="24"/>
  <c r="T86" i="24" s="1"/>
  <c r="S86" i="24"/>
  <c r="Y86" i="24"/>
  <c r="Z86" i="24"/>
  <c r="AF86" i="24"/>
  <c r="AG86" i="24"/>
  <c r="AM86" i="24"/>
  <c r="AN86" i="24"/>
  <c r="D87" i="24"/>
  <c r="E87" i="24"/>
  <c r="K87" i="24"/>
  <c r="L87" i="24"/>
  <c r="R87" i="24"/>
  <c r="S87" i="24"/>
  <c r="Y87" i="24"/>
  <c r="Z87" i="24"/>
  <c r="AF87" i="24"/>
  <c r="AH87" i="24" s="1"/>
  <c r="AG87" i="24"/>
  <c r="AM87" i="24"/>
  <c r="AN87" i="24"/>
  <c r="AO87" i="24" s="1"/>
  <c r="H231" i="2"/>
  <c r="G231" i="2"/>
  <c r="F231" i="2"/>
  <c r="E231" i="2"/>
  <c r="H230" i="2"/>
  <c r="G230" i="2"/>
  <c r="F230" i="2"/>
  <c r="E230" i="2"/>
  <c r="H229" i="2"/>
  <c r="G229" i="2"/>
  <c r="F229" i="2"/>
  <c r="E229" i="2"/>
  <c r="H228" i="2"/>
  <c r="G228" i="2"/>
  <c r="F228" i="2"/>
  <c r="E228" i="2"/>
  <c r="H227" i="2"/>
  <c r="G227" i="2"/>
  <c r="F227" i="2"/>
  <c r="E227" i="2"/>
  <c r="H226" i="2"/>
  <c r="G226" i="2"/>
  <c r="F226" i="2"/>
  <c r="E226" i="2"/>
  <c r="H225" i="2"/>
  <c r="G225" i="2"/>
  <c r="F225" i="2"/>
  <c r="E225" i="2"/>
  <c r="H224" i="2"/>
  <c r="G224" i="2"/>
  <c r="F224" i="2"/>
  <c r="E224" i="2"/>
  <c r="H223" i="2"/>
  <c r="G223" i="2"/>
  <c r="F223" i="2"/>
  <c r="E223" i="2"/>
  <c r="H222" i="2"/>
  <c r="G222" i="2"/>
  <c r="F222" i="2"/>
  <c r="E222" i="2"/>
  <c r="H221" i="2"/>
  <c r="G221" i="2"/>
  <c r="F221" i="2"/>
  <c r="E221" i="2"/>
  <c r="H220" i="2"/>
  <c r="G220" i="2"/>
  <c r="F220" i="2"/>
  <c r="E220" i="2"/>
  <c r="H219" i="2"/>
  <c r="G219" i="2"/>
  <c r="F219" i="2"/>
  <c r="E219" i="2"/>
  <c r="H218" i="2"/>
  <c r="G218" i="2"/>
  <c r="F218" i="2"/>
  <c r="E218" i="2"/>
  <c r="H217" i="2"/>
  <c r="G217" i="2"/>
  <c r="F217" i="2"/>
  <c r="E217" i="2"/>
  <c r="H216" i="2"/>
  <c r="G216" i="2"/>
  <c r="F216" i="2"/>
  <c r="E216" i="2"/>
  <c r="H215" i="2"/>
  <c r="G215" i="2"/>
  <c r="F215" i="2"/>
  <c r="E215" i="2"/>
  <c r="H214" i="2"/>
  <c r="G214" i="2"/>
  <c r="F214" i="2"/>
  <c r="E214" i="2"/>
  <c r="H213" i="2"/>
  <c r="G213" i="2"/>
  <c r="F213" i="2"/>
  <c r="E213" i="2"/>
  <c r="H212" i="2"/>
  <c r="G212" i="2"/>
  <c r="F212" i="2"/>
  <c r="E212" i="2"/>
  <c r="H211" i="2"/>
  <c r="G211" i="2"/>
  <c r="F211" i="2"/>
  <c r="E211" i="2"/>
  <c r="H210" i="2"/>
  <c r="G210" i="2"/>
  <c r="F210" i="2"/>
  <c r="E210" i="2"/>
  <c r="H209" i="2"/>
  <c r="G209" i="2"/>
  <c r="F209" i="2"/>
  <c r="E209" i="2"/>
  <c r="H208" i="2"/>
  <c r="G208" i="2"/>
  <c r="F208" i="2"/>
  <c r="E208" i="2"/>
  <c r="H207" i="2"/>
  <c r="G207" i="2"/>
  <c r="F207" i="2"/>
  <c r="E207" i="2"/>
  <c r="H206" i="2"/>
  <c r="G206" i="2"/>
  <c r="F206" i="2"/>
  <c r="E206" i="2"/>
  <c r="H205" i="2"/>
  <c r="G205" i="2"/>
  <c r="F205" i="2"/>
  <c r="E205" i="2"/>
  <c r="H204" i="2"/>
  <c r="G204" i="2"/>
  <c r="F204" i="2"/>
  <c r="E204" i="2"/>
  <c r="H203" i="2"/>
  <c r="G203" i="2"/>
  <c r="F203" i="2"/>
  <c r="E203" i="2"/>
  <c r="H202" i="2"/>
  <c r="G202" i="2"/>
  <c r="F202" i="2"/>
  <c r="E202" i="2"/>
  <c r="H201" i="2"/>
  <c r="G201" i="2"/>
  <c r="F201" i="2"/>
  <c r="E201" i="2"/>
  <c r="H200" i="2"/>
  <c r="G200" i="2"/>
  <c r="F200" i="2"/>
  <c r="E200" i="2"/>
  <c r="H199" i="2"/>
  <c r="G199" i="2"/>
  <c r="F199" i="2"/>
  <c r="E199" i="2"/>
  <c r="H198" i="2"/>
  <c r="G198" i="2"/>
  <c r="F198" i="2"/>
  <c r="E198" i="2"/>
  <c r="H197" i="2"/>
  <c r="G197" i="2"/>
  <c r="F197" i="2"/>
  <c r="E197" i="2"/>
  <c r="H196" i="2"/>
  <c r="G196" i="2"/>
  <c r="F196" i="2"/>
  <c r="E196" i="2"/>
  <c r="H195" i="2"/>
  <c r="G195" i="2"/>
  <c r="F195" i="2"/>
  <c r="E195" i="2"/>
  <c r="H194" i="2"/>
  <c r="G194" i="2"/>
  <c r="F194" i="2"/>
  <c r="E194" i="2"/>
  <c r="H193" i="2"/>
  <c r="G193" i="2"/>
  <c r="F193" i="2"/>
  <c r="E193" i="2"/>
  <c r="H192" i="2"/>
  <c r="G192" i="2"/>
  <c r="F192" i="2"/>
  <c r="E192" i="2"/>
  <c r="H191" i="2"/>
  <c r="G191" i="2"/>
  <c r="F191" i="2"/>
  <c r="E191" i="2"/>
  <c r="H190" i="2"/>
  <c r="G190" i="2"/>
  <c r="F190" i="2"/>
  <c r="E190" i="2"/>
  <c r="H189" i="2"/>
  <c r="G189" i="2"/>
  <c r="F189" i="2"/>
  <c r="E189" i="2"/>
  <c r="H188" i="2"/>
  <c r="G188" i="2"/>
  <c r="F188" i="2"/>
  <c r="E188" i="2"/>
  <c r="H187" i="2"/>
  <c r="G187" i="2"/>
  <c r="F187" i="2"/>
  <c r="E187" i="2"/>
  <c r="H186" i="2"/>
  <c r="G186" i="2"/>
  <c r="F186" i="2"/>
  <c r="E186" i="2"/>
  <c r="H185" i="2"/>
  <c r="G185" i="2"/>
  <c r="F185" i="2"/>
  <c r="E185" i="2"/>
  <c r="H184" i="2"/>
  <c r="G184" i="2"/>
  <c r="F184" i="2"/>
  <c r="E184" i="2"/>
  <c r="H183" i="2"/>
  <c r="G183" i="2"/>
  <c r="F183" i="2"/>
  <c r="E183" i="2"/>
  <c r="H182" i="2"/>
  <c r="G182" i="2"/>
  <c r="F182" i="2"/>
  <c r="E182" i="2"/>
  <c r="H181" i="2"/>
  <c r="G181" i="2"/>
  <c r="F181" i="2"/>
  <c r="E181" i="2"/>
  <c r="H180" i="2"/>
  <c r="G180" i="2"/>
  <c r="F180" i="2"/>
  <c r="E180" i="2"/>
  <c r="H179" i="2"/>
  <c r="G179" i="2"/>
  <c r="F179" i="2"/>
  <c r="E179" i="2"/>
  <c r="H178" i="2"/>
  <c r="G178" i="2"/>
  <c r="F178" i="2"/>
  <c r="E178" i="2"/>
  <c r="H177" i="2"/>
  <c r="G177" i="2"/>
  <c r="F177" i="2"/>
  <c r="E177" i="2"/>
  <c r="H176" i="2"/>
  <c r="G176" i="2"/>
  <c r="F176" i="2"/>
  <c r="E176" i="2"/>
  <c r="H175" i="2"/>
  <c r="G175" i="2"/>
  <c r="F175" i="2"/>
  <c r="E175" i="2"/>
  <c r="H174" i="2"/>
  <c r="G174" i="2"/>
  <c r="F174" i="2"/>
  <c r="E174" i="2"/>
  <c r="H173" i="2"/>
  <c r="G173" i="2"/>
  <c r="F173" i="2"/>
  <c r="E173" i="2"/>
  <c r="H172" i="2"/>
  <c r="G172" i="2"/>
  <c r="F172" i="2"/>
  <c r="E172" i="2"/>
  <c r="H171" i="2"/>
  <c r="G171" i="2"/>
  <c r="F171" i="2"/>
  <c r="E171" i="2"/>
  <c r="H170" i="2"/>
  <c r="G170" i="2"/>
  <c r="F170" i="2"/>
  <c r="E170" i="2"/>
  <c r="H169" i="2"/>
  <c r="G169" i="2"/>
  <c r="F169" i="2"/>
  <c r="E169" i="2"/>
  <c r="H168" i="2"/>
  <c r="G168" i="2"/>
  <c r="F168" i="2"/>
  <c r="E168" i="2"/>
  <c r="H167" i="2"/>
  <c r="G167" i="2"/>
  <c r="F167" i="2"/>
  <c r="E167" i="2"/>
  <c r="H166" i="2"/>
  <c r="G166" i="2"/>
  <c r="F166" i="2"/>
  <c r="E166" i="2"/>
  <c r="H165" i="2"/>
  <c r="G165" i="2"/>
  <c r="F165" i="2"/>
  <c r="E165" i="2"/>
  <c r="H164" i="2"/>
  <c r="G164" i="2"/>
  <c r="F164" i="2"/>
  <c r="E164" i="2"/>
  <c r="H163" i="2"/>
  <c r="G163" i="2"/>
  <c r="F163" i="2"/>
  <c r="E163" i="2"/>
  <c r="H162" i="2"/>
  <c r="G162" i="2"/>
  <c r="F162" i="2"/>
  <c r="E162" i="2"/>
  <c r="H161" i="2"/>
  <c r="G161" i="2"/>
  <c r="F161" i="2"/>
  <c r="E161" i="2"/>
  <c r="H160" i="2"/>
  <c r="G160" i="2"/>
  <c r="F160" i="2"/>
  <c r="E160" i="2"/>
  <c r="C7" i="1"/>
  <c r="C4" i="1"/>
  <c r="C6" i="1"/>
  <c r="D7" i="1"/>
  <c r="C5" i="1"/>
  <c r="C8" i="1"/>
  <c r="D5" i="1"/>
  <c r="D6" i="1"/>
  <c r="D8" i="1"/>
  <c r="AH85" i="27" l="1"/>
  <c r="AA86" i="25"/>
  <c r="X86" i="25"/>
  <c r="AG43" i="2" a="1"/>
  <c r="AG45" i="2" s="1"/>
  <c r="W108" i="2" s="1"/>
  <c r="M43" i="2" a="1"/>
  <c r="M45" i="2" s="1"/>
  <c r="X105" i="2" s="1"/>
  <c r="L43" i="2" a="1"/>
  <c r="L44" i="2" s="1"/>
  <c r="E43" i="2" a="1"/>
  <c r="E45" i="2" s="1"/>
  <c r="W104" i="2" s="1"/>
  <c r="AM90" i="2" a="1"/>
  <c r="AM92" i="2" s="1"/>
  <c r="V103" i="2" s="1"/>
  <c r="AN90" i="2" a="1"/>
  <c r="AN91" i="2" s="1"/>
  <c r="AG90" i="2" a="1"/>
  <c r="AG92" i="2" s="1"/>
  <c r="W102" i="2" s="1"/>
  <c r="AE90" i="2" a="1"/>
  <c r="AE91" i="2" s="1"/>
  <c r="AF90" i="2" a="1"/>
  <c r="AF92" i="2" s="1"/>
  <c r="V102" i="2" s="1"/>
  <c r="AH90" i="2" a="1"/>
  <c r="AH92" i="2" s="1"/>
  <c r="X102" i="2" s="1"/>
  <c r="X90" i="2" a="1"/>
  <c r="X91" i="2" s="1"/>
  <c r="T90" i="2" a="1"/>
  <c r="T91" i="2" s="1"/>
  <c r="B43" i="2" a="1"/>
  <c r="B46" i="2" s="1"/>
  <c r="C90" i="2" a="1"/>
  <c r="C92" i="2" s="1"/>
  <c r="U98" i="2" s="1"/>
  <c r="F90" i="2" a="1"/>
  <c r="F91" i="2" s="1"/>
  <c r="AK43" i="2" a="1"/>
  <c r="AK45" i="2" s="1"/>
  <c r="R109" i="2" s="1"/>
  <c r="AA43" i="2" a="1"/>
  <c r="AA45" i="2" s="1"/>
  <c r="X107" i="2" s="1"/>
  <c r="I43" i="2" a="1"/>
  <c r="I43" i="2" s="1"/>
  <c r="C236" i="39" s="1"/>
  <c r="K43" i="2" a="1"/>
  <c r="K44" i="2" s="1"/>
  <c r="J43" i="2" a="1"/>
  <c r="J44" i="2" s="1"/>
  <c r="C43" i="2" a="1"/>
  <c r="C45" i="2" s="1"/>
  <c r="U104" i="2" s="1"/>
  <c r="D43" i="2" a="1"/>
  <c r="D45" i="2" s="1"/>
  <c r="V104" i="2" s="1"/>
  <c r="F43" i="2" a="1"/>
  <c r="F45" i="2" s="1"/>
  <c r="X104" i="2" s="1"/>
  <c r="AA87" i="24"/>
  <c r="AO40" i="25"/>
  <c r="AA40" i="27"/>
  <c r="F85" i="28"/>
  <c r="T40" i="28"/>
  <c r="F38" i="28"/>
  <c r="AE43" i="2" a="1"/>
  <c r="AE46" i="2" s="1"/>
  <c r="C85" i="27"/>
  <c r="C86" i="28"/>
  <c r="T43" i="2" a="1"/>
  <c r="T43" i="2" s="1"/>
  <c r="AH40" i="25"/>
  <c r="M87" i="24"/>
  <c r="F86" i="24"/>
  <c r="M37" i="24"/>
  <c r="AA40" i="25"/>
  <c r="Q40" i="25"/>
  <c r="M40" i="27"/>
  <c r="AO37" i="27"/>
  <c r="AE40" i="27"/>
  <c r="T87" i="28"/>
  <c r="AE85" i="28"/>
  <c r="AO37" i="28"/>
  <c r="Q84" i="25"/>
  <c r="X38" i="25"/>
  <c r="AL39" i="27"/>
  <c r="Q85" i="28"/>
  <c r="AL43" i="2" a="1"/>
  <c r="AL45" i="2" s="1"/>
  <c r="U109" i="2" s="1"/>
  <c r="T87" i="24"/>
  <c r="AH84" i="24"/>
  <c r="X87" i="24"/>
  <c r="Q39" i="24"/>
  <c r="C87" i="25"/>
  <c r="B90" i="25" s="1" a="1"/>
  <c r="D247" i="25" s="1"/>
  <c r="T39" i="25"/>
  <c r="F40" i="27"/>
  <c r="AH37" i="27"/>
  <c r="J86" i="28"/>
  <c r="X85" i="28"/>
  <c r="AE86" i="28"/>
  <c r="AL87" i="28"/>
  <c r="AL87" i="24"/>
  <c r="AA87" i="25"/>
  <c r="M86" i="25"/>
  <c r="AE85" i="25"/>
  <c r="C86" i="25"/>
  <c r="C38" i="25"/>
  <c r="J40" i="25"/>
  <c r="F87" i="27"/>
  <c r="F87" i="28"/>
  <c r="B90" i="28" s="1" a="1"/>
  <c r="D247" i="28" s="1"/>
  <c r="J85" i="28"/>
  <c r="AH38" i="28"/>
  <c r="Q90" i="2" a="1"/>
  <c r="Q90" i="2" s="1"/>
  <c r="AH43" i="2" a="1"/>
  <c r="AH43" i="2" s="1"/>
  <c r="R90" i="2" a="1"/>
  <c r="R90" i="2" s="1"/>
  <c r="AL40" i="25"/>
  <c r="J39" i="25"/>
  <c r="Q37" i="25"/>
  <c r="P90" i="2" a="1"/>
  <c r="P91" i="2" s="1"/>
  <c r="X43" i="2" a="1"/>
  <c r="X43" i="2" s="1"/>
  <c r="Y90" i="2" a="1"/>
  <c r="Y92" i="2" s="1"/>
  <c r="V101" i="2" s="1"/>
  <c r="AO86" i="24"/>
  <c r="F40" i="24"/>
  <c r="M40" i="25"/>
  <c r="AO86" i="27"/>
  <c r="AA85" i="27"/>
  <c r="AD43" i="2" a="1"/>
  <c r="AD43" i="2" s="1"/>
  <c r="C242" i="39" s="1"/>
  <c r="Q87" i="24"/>
  <c r="AE40" i="24"/>
  <c r="J37" i="24"/>
  <c r="Q86" i="25"/>
  <c r="AE40" i="25"/>
  <c r="AL38" i="25"/>
  <c r="J37" i="25"/>
  <c r="AH86" i="27"/>
  <c r="J87" i="27"/>
  <c r="I90" i="27" s="1" a="1"/>
  <c r="D249" i="27" s="1"/>
  <c r="AE84" i="27"/>
  <c r="T37" i="27"/>
  <c r="M84" i="28"/>
  <c r="AE39" i="28"/>
  <c r="AL90" i="2" a="1"/>
  <c r="AL92" i="2" s="1"/>
  <c r="U103" i="2" s="1"/>
  <c r="I90" i="2" a="1"/>
  <c r="I91" i="2" s="1"/>
  <c r="C249" i="39" s="1"/>
  <c r="M87" i="25"/>
  <c r="AO40" i="28"/>
  <c r="T38" i="28"/>
  <c r="M37" i="28"/>
  <c r="C39" i="28"/>
  <c r="Q38" i="28"/>
  <c r="AF43" i="2" a="1"/>
  <c r="AF44" i="2" s="1"/>
  <c r="AK90" i="2" a="1"/>
  <c r="AK93" i="2" s="1"/>
  <c r="C37" i="24"/>
  <c r="X85" i="25"/>
  <c r="C87" i="27"/>
  <c r="AO90" i="2" a="1"/>
  <c r="AO91" i="2" s="1"/>
  <c r="AM43" i="2" a="1"/>
  <c r="AM43" i="2" s="1"/>
  <c r="M37" i="25"/>
  <c r="AE84" i="24"/>
  <c r="AE39" i="24"/>
  <c r="Q87" i="25"/>
  <c r="X87" i="25"/>
  <c r="AE84" i="25"/>
  <c r="AG90" i="25" s="1" a="1"/>
  <c r="AO38" i="25"/>
  <c r="AA39" i="27"/>
  <c r="T38" i="27"/>
  <c r="M37" i="27"/>
  <c r="AE38" i="27"/>
  <c r="AG43" i="27" s="1" a="1"/>
  <c r="T85" i="28"/>
  <c r="F84" i="28"/>
  <c r="C87" i="28"/>
  <c r="J84" i="28"/>
  <c r="Q86" i="28"/>
  <c r="T39" i="28"/>
  <c r="X38" i="28"/>
  <c r="E90" i="2" a="1"/>
  <c r="E90" i="2" s="1"/>
  <c r="M85" i="24"/>
  <c r="F84" i="24"/>
  <c r="X84" i="24"/>
  <c r="AH38" i="24"/>
  <c r="T84" i="25"/>
  <c r="AH38" i="25"/>
  <c r="AH43" i="25" s="1" a="1"/>
  <c r="X39" i="27"/>
  <c r="Z43" i="27" s="1" a="1"/>
  <c r="AE37" i="27"/>
  <c r="AA86" i="28"/>
  <c r="M85" i="28"/>
  <c r="AD90" i="2" a="1"/>
  <c r="AD93" i="2" s="1"/>
  <c r="J86" i="25"/>
  <c r="AL87" i="25"/>
  <c r="T37" i="25"/>
  <c r="AO85" i="27"/>
  <c r="AO90" i="27" s="1" a="1"/>
  <c r="J37" i="27"/>
  <c r="T86" i="28"/>
  <c r="T90" i="28" s="1" a="1"/>
  <c r="AH39" i="28"/>
  <c r="AH43" i="28" s="1" a="1"/>
  <c r="AH37" i="28"/>
  <c r="J37" i="28"/>
  <c r="X40" i="24"/>
  <c r="AE38" i="24"/>
  <c r="AH86" i="25"/>
  <c r="AL86" i="25"/>
  <c r="C84" i="27"/>
  <c r="X84" i="28"/>
  <c r="AH86" i="24"/>
  <c r="AA86" i="24"/>
  <c r="T84" i="24"/>
  <c r="X39" i="24"/>
  <c r="AE37" i="24"/>
  <c r="AD43" i="24" s="1" a="1"/>
  <c r="D243" i="24" s="1"/>
  <c r="AA85" i="25"/>
  <c r="AL85" i="25"/>
  <c r="AN90" i="25" s="1" a="1"/>
  <c r="Q86" i="27"/>
  <c r="AE85" i="27"/>
  <c r="T40" i="27"/>
  <c r="AL37" i="27"/>
  <c r="AL37" i="28"/>
  <c r="D90" i="2" a="1"/>
  <c r="D92" i="2" s="1"/>
  <c r="V98" i="2" s="1"/>
  <c r="AO43" i="2" a="1"/>
  <c r="AO46" i="2" s="1"/>
  <c r="AL84" i="24"/>
  <c r="C86" i="24"/>
  <c r="Q85" i="24"/>
  <c r="AL85" i="24"/>
  <c r="C39" i="24"/>
  <c r="J38" i="24"/>
  <c r="Q40" i="24"/>
  <c r="T43" i="24" s="1" a="1"/>
  <c r="X38" i="24"/>
  <c r="AL84" i="27"/>
  <c r="AH37" i="24"/>
  <c r="C39" i="27"/>
  <c r="T85" i="24"/>
  <c r="AE86" i="24"/>
  <c r="F39" i="24"/>
  <c r="J40" i="24"/>
  <c r="X37" i="24"/>
  <c r="M84" i="25"/>
  <c r="J85" i="25"/>
  <c r="F39" i="25"/>
  <c r="C39" i="25"/>
  <c r="Q38" i="25"/>
  <c r="S43" i="25" s="1" a="1"/>
  <c r="X40" i="25"/>
  <c r="AE38" i="25"/>
  <c r="AO87" i="27"/>
  <c r="J86" i="27"/>
  <c r="Q84" i="27"/>
  <c r="X85" i="27"/>
  <c r="AL87" i="27"/>
  <c r="AN90" i="27" s="1" a="1"/>
  <c r="B90" i="2" a="1"/>
  <c r="B92" i="2" s="1"/>
  <c r="R98" i="2" s="1"/>
  <c r="J85" i="24"/>
  <c r="C38" i="24"/>
  <c r="J87" i="25"/>
  <c r="X39" i="25"/>
  <c r="W43" i="25" s="1" a="1"/>
  <c r="D241" i="25" s="1"/>
  <c r="AE37" i="25"/>
  <c r="J85" i="27"/>
  <c r="X87" i="27"/>
  <c r="AL86" i="27"/>
  <c r="C87" i="24"/>
  <c r="J87" i="24"/>
  <c r="Q84" i="24"/>
  <c r="X86" i="24"/>
  <c r="J39" i="24"/>
  <c r="Q37" i="24"/>
  <c r="J38" i="25"/>
  <c r="J43" i="25" s="1" a="1"/>
  <c r="T84" i="27"/>
  <c r="C86" i="27"/>
  <c r="J84" i="27"/>
  <c r="Q85" i="27"/>
  <c r="AL85" i="27"/>
  <c r="F86" i="28"/>
  <c r="AE84" i="28"/>
  <c r="C85" i="28"/>
  <c r="W90" i="2" a="1"/>
  <c r="W90" i="2" s="1"/>
  <c r="C40" i="24"/>
  <c r="F84" i="25"/>
  <c r="J84" i="25"/>
  <c r="X84" i="25"/>
  <c r="Q39" i="25"/>
  <c r="X37" i="25"/>
  <c r="AH87" i="27"/>
  <c r="AA86" i="27"/>
  <c r="T85" i="27"/>
  <c r="Q87" i="27"/>
  <c r="X84" i="27"/>
  <c r="AE86" i="27"/>
  <c r="AE87" i="28"/>
  <c r="AF90" i="28" s="1" a="1"/>
  <c r="C84" i="28"/>
  <c r="M90" i="2" a="1"/>
  <c r="M92" i="2" s="1"/>
  <c r="X99" i="2" s="1"/>
  <c r="AA90" i="2" a="1"/>
  <c r="AA91" i="2" s="1"/>
  <c r="L90" i="2" a="1"/>
  <c r="L92" i="2" s="1"/>
  <c r="W99" i="2" s="1"/>
  <c r="Z90" i="2" a="1"/>
  <c r="Z91" i="2" s="1"/>
  <c r="X40" i="27"/>
  <c r="X40" i="28"/>
  <c r="AL37" i="24"/>
  <c r="C40" i="25"/>
  <c r="T86" i="27"/>
  <c r="F84" i="27"/>
  <c r="F90" i="27" s="1" a="1"/>
  <c r="AH85" i="28"/>
  <c r="Q40" i="28"/>
  <c r="P43" i="28" s="1" a="1"/>
  <c r="D239" i="28" s="1"/>
  <c r="K90" i="2" a="1"/>
  <c r="K92" i="2" s="1"/>
  <c r="V99" i="2" s="1"/>
  <c r="J90" i="2" a="1"/>
  <c r="J92" i="2" s="1"/>
  <c r="U99" i="2" s="1"/>
  <c r="Z43" i="2" a="1"/>
  <c r="Z44" i="2" s="1"/>
  <c r="J38" i="27"/>
  <c r="I43" i="27" s="1" a="1"/>
  <c r="D237" i="27" s="1"/>
  <c r="X87" i="28"/>
  <c r="AL39" i="25"/>
  <c r="F85" i="27"/>
  <c r="Q39" i="27"/>
  <c r="X37" i="27"/>
  <c r="AH86" i="28"/>
  <c r="AL85" i="28"/>
  <c r="Q39" i="28"/>
  <c r="X37" i="28"/>
  <c r="Z43" i="28" s="1" a="1"/>
  <c r="Y43" i="2" a="1"/>
  <c r="Y45" i="2" s="1"/>
  <c r="V107" i="2" s="1"/>
  <c r="AH39" i="24"/>
  <c r="AL86" i="28"/>
  <c r="AN90" i="28" s="1" a="1"/>
  <c r="J38" i="28"/>
  <c r="F87" i="24"/>
  <c r="T37" i="24"/>
  <c r="AO85" i="25"/>
  <c r="AE87" i="25"/>
  <c r="C84" i="25"/>
  <c r="T40" i="25"/>
  <c r="AL37" i="25"/>
  <c r="M87" i="27"/>
  <c r="AH39" i="27"/>
  <c r="C38" i="27"/>
  <c r="E43" i="27" s="1" a="1"/>
  <c r="J40" i="27"/>
  <c r="Q38" i="27"/>
  <c r="AA85" i="28"/>
  <c r="C38" i="28"/>
  <c r="D43" i="28" s="1" a="1"/>
  <c r="J40" i="28"/>
  <c r="S90" i="2" a="1"/>
  <c r="S91" i="2" s="1"/>
  <c r="X85" i="24"/>
  <c r="AE87" i="24"/>
  <c r="C84" i="24"/>
  <c r="J39" i="27"/>
  <c r="Q37" i="27"/>
  <c r="J39" i="28"/>
  <c r="Q37" i="28"/>
  <c r="AN43" i="2" a="1"/>
  <c r="AN45" i="2" s="1"/>
  <c r="W109" i="2" s="1"/>
  <c r="F39" i="27"/>
  <c r="AH85" i="24"/>
  <c r="AA84" i="24"/>
  <c r="Q86" i="24"/>
  <c r="AE85" i="24"/>
  <c r="AG90" i="24" s="1" a="1"/>
  <c r="AL86" i="24"/>
  <c r="T40" i="24"/>
  <c r="T38" i="24"/>
  <c r="AH85" i="25"/>
  <c r="AA84" i="25"/>
  <c r="Q85" i="25"/>
  <c r="AL84" i="25"/>
  <c r="C40" i="27"/>
  <c r="J87" i="28"/>
  <c r="X86" i="28"/>
  <c r="C40" i="28"/>
  <c r="W46" i="2"/>
  <c r="W45" i="2"/>
  <c r="R107" i="2" s="1"/>
  <c r="W44" i="2"/>
  <c r="C241" i="39" s="1"/>
  <c r="W43" i="2"/>
  <c r="C240" i="39" s="1"/>
  <c r="S43" i="2" a="1"/>
  <c r="R43" i="2" a="1"/>
  <c r="Q43" i="2" a="1"/>
  <c r="P43" i="2" a="1"/>
  <c r="B154" i="2"/>
  <c r="AD43" i="28" a="1"/>
  <c r="D243" i="28" s="1"/>
  <c r="AE43" i="28" a="1"/>
  <c r="AF43" i="28" a="1"/>
  <c r="AG43" i="28" a="1"/>
  <c r="R90" i="28" a="1"/>
  <c r="S90" i="28" a="1"/>
  <c r="P90" i="28" a="1"/>
  <c r="D251" i="28" s="1"/>
  <c r="M90" i="28" a="1"/>
  <c r="E43" i="28" a="1"/>
  <c r="J90" i="28" a="1"/>
  <c r="K90" i="28" a="1"/>
  <c r="L90" i="28" a="1"/>
  <c r="I90" i="28" a="1"/>
  <c r="D249" i="28" s="1"/>
  <c r="AL43" i="28" a="1"/>
  <c r="AM43" i="28" a="1"/>
  <c r="AN43" i="28" a="1"/>
  <c r="AO43" i="28" a="1"/>
  <c r="AK43" i="28" a="1"/>
  <c r="D245" i="28" s="1"/>
  <c r="AK90" i="28" a="1"/>
  <c r="D257" i="28" s="1"/>
  <c r="AL90" i="28" a="1"/>
  <c r="AM90" i="28" a="1"/>
  <c r="T43" i="28" a="1"/>
  <c r="AG90" i="28" a="1"/>
  <c r="AH90" i="28" a="1"/>
  <c r="AE90" i="28" a="1"/>
  <c r="AD90" i="28" a="1"/>
  <c r="D255" i="28" s="1"/>
  <c r="F37" i="28"/>
  <c r="Q90" i="28" a="1"/>
  <c r="AF90" i="27" a="1"/>
  <c r="P43" i="27" a="1"/>
  <c r="D239" i="27" s="1"/>
  <c r="Q43" i="27" a="1"/>
  <c r="R43" i="27" a="1"/>
  <c r="S43" i="27" a="1"/>
  <c r="T43" i="27" a="1"/>
  <c r="AE43" i="27" a="1"/>
  <c r="B90" i="27" a="1"/>
  <c r="D247" i="27" s="1"/>
  <c r="C90" i="27" a="1"/>
  <c r="D90" i="27" a="1"/>
  <c r="E90" i="27" a="1"/>
  <c r="AL43" i="27" a="1"/>
  <c r="AM43" i="27" a="1"/>
  <c r="AN43" i="27" a="1"/>
  <c r="AO43" i="27" a="1"/>
  <c r="AK43" i="27" a="1"/>
  <c r="D245" i="27" s="1"/>
  <c r="AA90" i="27" a="1"/>
  <c r="AK90" i="27" a="1"/>
  <c r="D257" i="27" s="1"/>
  <c r="AM90" i="27" a="1"/>
  <c r="X98" i="27"/>
  <c r="F90" i="27"/>
  <c r="S90" i="27" a="1"/>
  <c r="P90" i="27" a="1"/>
  <c r="D251" i="27" s="1"/>
  <c r="Q90" i="27" a="1"/>
  <c r="R90" i="27" a="1"/>
  <c r="T90" i="27" a="1"/>
  <c r="W90" i="27" a="1"/>
  <c r="D253" i="27" s="1"/>
  <c r="X90" i="27" a="1"/>
  <c r="Y90" i="27" a="1"/>
  <c r="Z90" i="27" a="1"/>
  <c r="F37" i="27"/>
  <c r="AH84" i="27"/>
  <c r="M90" i="25" a="1"/>
  <c r="AD43" i="25" a="1"/>
  <c r="D243" i="25" s="1"/>
  <c r="AE43" i="25" a="1"/>
  <c r="AF43" i="25" a="1"/>
  <c r="AG43" i="25" a="1"/>
  <c r="AO90" i="25" a="1"/>
  <c r="K43" i="25" a="1"/>
  <c r="L43" i="25" a="1"/>
  <c r="AL43" i="25" a="1"/>
  <c r="AM43" i="25" a="1"/>
  <c r="AN43" i="25" a="1"/>
  <c r="AK43" i="25" a="1"/>
  <c r="D245" i="25" s="1"/>
  <c r="AO43" i="25" a="1"/>
  <c r="AE90" i="25" a="1"/>
  <c r="AH90" i="25" a="1"/>
  <c r="AD90" i="25" a="1"/>
  <c r="D255" i="25" s="1"/>
  <c r="AL90" i="25" a="1"/>
  <c r="AF90" i="25" a="1"/>
  <c r="T90" i="25" a="1"/>
  <c r="R90" i="25" a="1"/>
  <c r="S90" i="25" a="1"/>
  <c r="P90" i="25" a="1"/>
  <c r="D251" i="25" s="1"/>
  <c r="F37" i="25"/>
  <c r="Q90" i="25" a="1"/>
  <c r="I90" i="24" a="1"/>
  <c r="D249" i="24" s="1"/>
  <c r="M90" i="24" a="1"/>
  <c r="J90" i="24" a="1"/>
  <c r="P90" i="24" a="1"/>
  <c r="D251" i="24" s="1"/>
  <c r="S90" i="24" a="1"/>
  <c r="Q90" i="24" a="1"/>
  <c r="R90" i="24" a="1"/>
  <c r="E90" i="24" a="1"/>
  <c r="C90" i="24" a="1"/>
  <c r="F90" i="24" a="1"/>
  <c r="L43" i="24" a="1"/>
  <c r="AL43" i="24" a="1"/>
  <c r="AM43" i="24" a="1"/>
  <c r="AN43" i="24" a="1"/>
  <c r="AO43" i="24" a="1"/>
  <c r="AK43" i="24" a="1"/>
  <c r="D245" i="24" s="1"/>
  <c r="B90" i="24" a="1"/>
  <c r="D247" i="24" s="1"/>
  <c r="D90" i="24" a="1"/>
  <c r="AK90" i="24" a="1"/>
  <c r="D257" i="24" s="1"/>
  <c r="AO90" i="24" a="1"/>
  <c r="AL90" i="24" a="1"/>
  <c r="AM90" i="24" a="1"/>
  <c r="AN90" i="24" a="1"/>
  <c r="F37" i="24"/>
  <c r="L90" i="24" a="1"/>
  <c r="K90" i="24" a="1"/>
  <c r="G232" i="2"/>
  <c r="B155" i="2"/>
  <c r="H232" i="2"/>
  <c r="D4" i="1"/>
  <c r="AD90" i="27" l="1" a="1"/>
  <c r="D255" i="27" s="1"/>
  <c r="L45" i="2"/>
  <c r="W105" i="2" s="1"/>
  <c r="T90" i="2"/>
  <c r="T92" i="2"/>
  <c r="X100" i="2" s="1"/>
  <c r="C91" i="2"/>
  <c r="C90" i="2"/>
  <c r="AG46" i="2"/>
  <c r="AG43" i="2"/>
  <c r="AG44" i="2"/>
  <c r="M46" i="2"/>
  <c r="M43" i="2"/>
  <c r="M44" i="2"/>
  <c r="L46" i="2"/>
  <c r="L43" i="2"/>
  <c r="K45" i="2"/>
  <c r="V105" i="2" s="1"/>
  <c r="I44" i="2"/>
  <c r="C237" i="39" s="1"/>
  <c r="E43" i="2"/>
  <c r="E46" i="2"/>
  <c r="E44" i="2"/>
  <c r="B43" i="2"/>
  <c r="C234" i="39" s="1"/>
  <c r="B44" i="2"/>
  <c r="C235" i="32" s="1"/>
  <c r="AN92" i="2"/>
  <c r="W103" i="2" s="1"/>
  <c r="AN90" i="2"/>
  <c r="AN93" i="2"/>
  <c r="AM90" i="2"/>
  <c r="AM93" i="2"/>
  <c r="AM91" i="2"/>
  <c r="AL93" i="2"/>
  <c r="AL90" i="2"/>
  <c r="AL91" i="2"/>
  <c r="AK91" i="2"/>
  <c r="C257" i="28" s="1"/>
  <c r="AK90" i="2"/>
  <c r="C256" i="28" s="1"/>
  <c r="AK92" i="2"/>
  <c r="R103" i="2" s="1"/>
  <c r="AO92" i="2"/>
  <c r="X103" i="2" s="1"/>
  <c r="AO93" i="2"/>
  <c r="AO90" i="2"/>
  <c r="AE92" i="2"/>
  <c r="U102" i="2" s="1"/>
  <c r="AE93" i="2"/>
  <c r="AF93" i="2"/>
  <c r="AF90" i="2"/>
  <c r="AG93" i="2"/>
  <c r="AG90" i="2"/>
  <c r="AH93" i="2"/>
  <c r="AH90" i="2"/>
  <c r="AF91" i="2"/>
  <c r="AG91" i="2"/>
  <c r="AH91" i="2"/>
  <c r="AE90" i="2"/>
  <c r="AD91" i="2"/>
  <c r="C255" i="27" s="1"/>
  <c r="AD92" i="2"/>
  <c r="R102" i="2" s="1"/>
  <c r="AD90" i="2"/>
  <c r="C254" i="27" s="1"/>
  <c r="X90" i="2"/>
  <c r="X92" i="2"/>
  <c r="U101" i="2" s="1"/>
  <c r="X93" i="2"/>
  <c r="Y90" i="2"/>
  <c r="Y93" i="2"/>
  <c r="W91" i="2"/>
  <c r="Z93" i="2"/>
  <c r="Z92" i="2"/>
  <c r="W101" i="2" s="1"/>
  <c r="C252" i="41"/>
  <c r="C252" i="40"/>
  <c r="C252" i="39"/>
  <c r="C252" i="37"/>
  <c r="C252" i="36"/>
  <c r="C252" i="38"/>
  <c r="C252" i="34"/>
  <c r="C252" i="35"/>
  <c r="C252" i="31"/>
  <c r="C252" i="29"/>
  <c r="C252" i="32"/>
  <c r="C252" i="30"/>
  <c r="C252" i="33"/>
  <c r="Y91" i="2"/>
  <c r="W92" i="2"/>
  <c r="R101" i="2" s="1"/>
  <c r="Z90" i="2"/>
  <c r="Q92" i="2"/>
  <c r="U100" i="2" s="1"/>
  <c r="T93" i="2"/>
  <c r="Q91" i="2"/>
  <c r="R93" i="2"/>
  <c r="Q93" i="2"/>
  <c r="C251" i="24"/>
  <c r="C251" i="39"/>
  <c r="C251" i="41"/>
  <c r="C251" i="40"/>
  <c r="C251" i="37"/>
  <c r="C251" i="36"/>
  <c r="C251" i="38"/>
  <c r="C251" i="34"/>
  <c r="C251" i="35"/>
  <c r="C251" i="33"/>
  <c r="C251" i="29"/>
  <c r="C251" i="30"/>
  <c r="C251" i="32"/>
  <c r="C251" i="31"/>
  <c r="C251" i="25"/>
  <c r="P92" i="2"/>
  <c r="R100" i="2" s="1"/>
  <c r="S90" i="2"/>
  <c r="S92" i="2"/>
  <c r="W100" i="2" s="1"/>
  <c r="S93" i="2"/>
  <c r="P93" i="2"/>
  <c r="R92" i="2"/>
  <c r="V100" i="2" s="1"/>
  <c r="P90" i="2"/>
  <c r="R91" i="2"/>
  <c r="F92" i="2"/>
  <c r="X98" i="2" s="1"/>
  <c r="F90" i="2"/>
  <c r="F93" i="2"/>
  <c r="D43" i="2"/>
  <c r="C234" i="41"/>
  <c r="D44" i="2"/>
  <c r="B45" i="2"/>
  <c r="R104" i="2" s="1"/>
  <c r="D46" i="2"/>
  <c r="E93" i="2"/>
  <c r="E91" i="2"/>
  <c r="C93" i="2"/>
  <c r="D93" i="2"/>
  <c r="E92" i="2"/>
  <c r="W98" i="2" s="1"/>
  <c r="D90" i="2"/>
  <c r="D91" i="2"/>
  <c r="J93" i="2"/>
  <c r="J91" i="2"/>
  <c r="C249" i="40"/>
  <c r="C249" i="41"/>
  <c r="C249" i="38"/>
  <c r="C249" i="37"/>
  <c r="C249" i="36"/>
  <c r="C249" i="34"/>
  <c r="C249" i="35"/>
  <c r="C249" i="32"/>
  <c r="C249" i="31"/>
  <c r="C249" i="33"/>
  <c r="C249" i="30"/>
  <c r="C249" i="29"/>
  <c r="I92" i="2"/>
  <c r="R99" i="2" s="1"/>
  <c r="I93" i="2"/>
  <c r="J90" i="2"/>
  <c r="I90" i="2"/>
  <c r="AM44" i="2"/>
  <c r="AK46" i="2"/>
  <c r="AK43" i="2"/>
  <c r="C244" i="33" s="1"/>
  <c r="AK44" i="2"/>
  <c r="C245" i="37" s="1"/>
  <c r="AM45" i="2"/>
  <c r="V109" i="2" s="1"/>
  <c r="C245" i="25"/>
  <c r="C245" i="41"/>
  <c r="C245" i="40"/>
  <c r="C245" i="36"/>
  <c r="AO45" i="2"/>
  <c r="X109" i="2" s="1"/>
  <c r="AL46" i="2"/>
  <c r="AL43" i="2"/>
  <c r="AL44" i="2"/>
  <c r="AM46" i="2"/>
  <c r="C242" i="40"/>
  <c r="C242" i="41"/>
  <c r="C242" i="38"/>
  <c r="C242" i="37"/>
  <c r="C242" i="36"/>
  <c r="C242" i="34"/>
  <c r="C242" i="35"/>
  <c r="C242" i="29"/>
  <c r="C242" i="30"/>
  <c r="C242" i="33"/>
  <c r="C242" i="32"/>
  <c r="C242" i="31"/>
  <c r="AE44" i="2"/>
  <c r="AE45" i="2"/>
  <c r="U108" i="2" s="1"/>
  <c r="AH46" i="2"/>
  <c r="AE43" i="2"/>
  <c r="AH44" i="2"/>
  <c r="AD46" i="2"/>
  <c r="AH45" i="2"/>
  <c r="X108" i="2" s="1"/>
  <c r="AD44" i="2"/>
  <c r="C243" i="39" s="1"/>
  <c r="AD45" i="2"/>
  <c r="R108" i="2" s="1"/>
  <c r="AA43" i="2"/>
  <c r="AA46" i="2"/>
  <c r="AA44" i="2"/>
  <c r="X46" i="2"/>
  <c r="C240" i="40"/>
  <c r="C240" i="41"/>
  <c r="C240" i="38"/>
  <c r="C240" i="37"/>
  <c r="C240" i="36"/>
  <c r="C240" i="35"/>
  <c r="C240" i="34"/>
  <c r="C240" i="31"/>
  <c r="C240" i="29"/>
  <c r="C240" i="33"/>
  <c r="C240" i="32"/>
  <c r="C240" i="30"/>
  <c r="C241" i="27"/>
  <c r="C241" i="41"/>
  <c r="C241" i="40"/>
  <c r="C241" i="38"/>
  <c r="C241" i="37"/>
  <c r="C241" i="36"/>
  <c r="C241" i="34"/>
  <c r="C241" i="35"/>
  <c r="C241" i="29"/>
  <c r="C241" i="32"/>
  <c r="C241" i="30"/>
  <c r="C241" i="33"/>
  <c r="C241" i="31"/>
  <c r="C241" i="25"/>
  <c r="C241" i="28"/>
  <c r="X44" i="2"/>
  <c r="X45" i="2"/>
  <c r="U107" i="2" s="1"/>
  <c r="C241" i="24"/>
  <c r="Y44" i="2"/>
  <c r="T45" i="2"/>
  <c r="X106" i="2" s="1"/>
  <c r="T46" i="2"/>
  <c r="T44" i="2"/>
  <c r="I45" i="2"/>
  <c r="R105" i="2" s="1"/>
  <c r="I46" i="2"/>
  <c r="K46" i="2"/>
  <c r="K43" i="2"/>
  <c r="J45" i="2"/>
  <c r="U105" i="2" s="1"/>
  <c r="C236" i="41"/>
  <c r="C236" i="40"/>
  <c r="C236" i="36"/>
  <c r="C236" i="38"/>
  <c r="C236" i="37"/>
  <c r="C236" i="35"/>
  <c r="C236" i="34"/>
  <c r="C236" i="30"/>
  <c r="C236" i="31"/>
  <c r="C236" i="29"/>
  <c r="C236" i="33"/>
  <c r="C236" i="32"/>
  <c r="J46" i="2"/>
  <c r="J43" i="2"/>
  <c r="F43" i="2"/>
  <c r="C46" i="2"/>
  <c r="C43" i="2"/>
  <c r="C44" i="2"/>
  <c r="F46" i="2"/>
  <c r="C234" i="40"/>
  <c r="C234" i="38"/>
  <c r="C234" i="30"/>
  <c r="C234" i="33"/>
  <c r="C234" i="29"/>
  <c r="C235" i="34"/>
  <c r="C235" i="33"/>
  <c r="F44" i="2"/>
  <c r="AG90" i="25"/>
  <c r="W102" i="25"/>
  <c r="C249" i="28"/>
  <c r="C249" i="27"/>
  <c r="C249" i="25"/>
  <c r="C249" i="24"/>
  <c r="AM90" i="25" a="1"/>
  <c r="AL90" i="27" a="1"/>
  <c r="AL90" i="27" s="1"/>
  <c r="AF43" i="27" a="1"/>
  <c r="AE90" i="27" a="1"/>
  <c r="U102" i="27" s="1"/>
  <c r="Y43" i="2"/>
  <c r="W43" i="24" a="1"/>
  <c r="D241" i="24" s="1"/>
  <c r="AK90" i="25" a="1"/>
  <c r="D257" i="25" s="1"/>
  <c r="T43" i="25" a="1"/>
  <c r="M90" i="27" a="1"/>
  <c r="AD43" i="27" a="1"/>
  <c r="D243" i="27" s="1"/>
  <c r="Y46" i="2"/>
  <c r="J90" i="25" a="1"/>
  <c r="I43" i="24" a="1"/>
  <c r="D237" i="24" s="1"/>
  <c r="AA90" i="25" a="1"/>
  <c r="AA90" i="25" s="1"/>
  <c r="AH43" i="24" a="1"/>
  <c r="AG43" i="24" a="1"/>
  <c r="R43" i="25" a="1"/>
  <c r="L90" i="27" a="1"/>
  <c r="C90" i="28" a="1"/>
  <c r="W90" i="28" a="1"/>
  <c r="D253" i="28" s="1"/>
  <c r="AF43" i="24" a="1"/>
  <c r="Q43" i="25" a="1"/>
  <c r="K90" i="27" a="1"/>
  <c r="Y90" i="24" a="1"/>
  <c r="M43" i="27" a="1"/>
  <c r="J90" i="27" a="1"/>
  <c r="M93" i="2"/>
  <c r="B43" i="27" a="1"/>
  <c r="D235" i="27" s="1"/>
  <c r="M90" i="2"/>
  <c r="R43" i="28" a="1"/>
  <c r="P43" i="25" a="1"/>
  <c r="D239" i="25" s="1"/>
  <c r="S43" i="24" a="1"/>
  <c r="C43" i="27" a="1"/>
  <c r="Y43" i="28" a="1"/>
  <c r="W93" i="2"/>
  <c r="AF45" i="2"/>
  <c r="V108" i="2" s="1"/>
  <c r="S43" i="28" a="1"/>
  <c r="S43" i="28" s="1"/>
  <c r="AE43" i="24" a="1"/>
  <c r="R43" i="24" a="1"/>
  <c r="X43" i="27" a="1"/>
  <c r="X43" i="28" a="1"/>
  <c r="AF46" i="2"/>
  <c r="D90" i="25" a="1"/>
  <c r="W43" i="27" a="1"/>
  <c r="D241" i="27" s="1"/>
  <c r="W43" i="28" a="1"/>
  <c r="D241" i="28" s="1"/>
  <c r="AF43" i="2"/>
  <c r="P43" i="24" a="1"/>
  <c r="D239" i="24" s="1"/>
  <c r="C90" i="25" a="1"/>
  <c r="Y43" i="25" a="1"/>
  <c r="AH90" i="27" a="1"/>
  <c r="AH90" i="27" s="1"/>
  <c r="Y43" i="27" a="1"/>
  <c r="AA43" i="28" a="1"/>
  <c r="B90" i="2"/>
  <c r="C246" i="28" s="1"/>
  <c r="AO43" i="2"/>
  <c r="I43" i="28" a="1"/>
  <c r="D237" i="28" s="1"/>
  <c r="F90" i="25" a="1"/>
  <c r="F43" i="27" a="1"/>
  <c r="AG90" i="27" a="1"/>
  <c r="W102" i="27" s="1"/>
  <c r="AA43" i="27" a="1"/>
  <c r="B91" i="2"/>
  <c r="AO44" i="2"/>
  <c r="Q43" i="24" a="1"/>
  <c r="E90" i="25" a="1"/>
  <c r="AH43" i="27" a="1"/>
  <c r="X108" i="27" s="1"/>
  <c r="B93" i="2"/>
  <c r="AN46" i="2"/>
  <c r="W104" i="27"/>
  <c r="E43" i="27"/>
  <c r="F90" i="28" a="1"/>
  <c r="X98" i="28" s="1"/>
  <c r="X43" i="24" a="1"/>
  <c r="M43" i="25" a="1"/>
  <c r="X43" i="25" a="1"/>
  <c r="Z43" i="2"/>
  <c r="AA93" i="2"/>
  <c r="E90" i="28" a="1"/>
  <c r="AA43" i="25" a="1"/>
  <c r="AA43" i="25" s="1"/>
  <c r="K43" i="28" a="1"/>
  <c r="V105" i="28" s="1"/>
  <c r="Z46" i="2"/>
  <c r="AA92" i="2"/>
  <c r="X101" i="2" s="1"/>
  <c r="L43" i="28" a="1"/>
  <c r="AA43" i="24" a="1"/>
  <c r="I43" i="25" a="1"/>
  <c r="D237" i="25" s="1"/>
  <c r="Z43" i="25" a="1"/>
  <c r="J43" i="28" a="1"/>
  <c r="J43" i="28" s="1"/>
  <c r="M91" i="2"/>
  <c r="Z45" i="2"/>
  <c r="W107" i="2" s="1"/>
  <c r="AA90" i="2"/>
  <c r="D43" i="27" a="1"/>
  <c r="Y43" i="24" a="1"/>
  <c r="Y43" i="24" s="1"/>
  <c r="J43" i="24" a="1"/>
  <c r="U105" i="24" s="1"/>
  <c r="AF90" i="24" a="1"/>
  <c r="AF90" i="24" s="1"/>
  <c r="Z90" i="25" a="1"/>
  <c r="W101" i="25" s="1"/>
  <c r="M43" i="28" a="1"/>
  <c r="X105" i="28" s="1"/>
  <c r="K93" i="2"/>
  <c r="T90" i="24" a="1"/>
  <c r="K43" i="24" a="1"/>
  <c r="Z43" i="24" a="1"/>
  <c r="M43" i="24" a="1"/>
  <c r="Y90" i="25" a="1"/>
  <c r="V101" i="25" s="1"/>
  <c r="AA90" i="28" a="1"/>
  <c r="K90" i="2"/>
  <c r="L93" i="2"/>
  <c r="AN43" i="2"/>
  <c r="AE90" i="24" a="1"/>
  <c r="U102" i="24" s="1"/>
  <c r="AA90" i="24" a="1"/>
  <c r="X101" i="24" s="1"/>
  <c r="X90" i="25" a="1"/>
  <c r="U101" i="25" s="1"/>
  <c r="L43" i="27" a="1"/>
  <c r="L43" i="27" s="1"/>
  <c r="D90" i="28" a="1"/>
  <c r="V98" i="28" s="1"/>
  <c r="Z90" i="28" a="1"/>
  <c r="Z90" i="28" s="1"/>
  <c r="K91" i="2"/>
  <c r="L90" i="2"/>
  <c r="AN44" i="2"/>
  <c r="AD90" i="24" a="1"/>
  <c r="D255" i="24" s="1"/>
  <c r="Z90" i="24" a="1"/>
  <c r="Z90" i="24" s="1"/>
  <c r="W90" i="25" a="1"/>
  <c r="D253" i="25" s="1"/>
  <c r="K43" i="27" a="1"/>
  <c r="Y90" i="28" a="1"/>
  <c r="V101" i="28" s="1"/>
  <c r="L91" i="2"/>
  <c r="AH90" i="24" a="1"/>
  <c r="AH90" i="24" s="1"/>
  <c r="X90" i="24" a="1"/>
  <c r="U101" i="24" s="1"/>
  <c r="F43" i="25" a="1"/>
  <c r="X104" i="25" s="1"/>
  <c r="I90" i="25" a="1"/>
  <c r="D249" i="25" s="1"/>
  <c r="J43" i="27" a="1"/>
  <c r="X90" i="28" a="1"/>
  <c r="X90" i="28" s="1"/>
  <c r="W90" i="24" a="1"/>
  <c r="D253" i="24" s="1"/>
  <c r="L90" i="25" a="1"/>
  <c r="K90" i="25" a="1"/>
  <c r="V99" i="25" s="1"/>
  <c r="C251" i="27"/>
  <c r="AO90" i="28" a="1"/>
  <c r="X103" i="28" s="1"/>
  <c r="Q43" i="28" a="1"/>
  <c r="Q43" i="28" s="1"/>
  <c r="C251" i="28"/>
  <c r="C243" i="28"/>
  <c r="R45" i="2"/>
  <c r="V106" i="2" s="1"/>
  <c r="R44" i="2"/>
  <c r="R43" i="2"/>
  <c r="R46" i="2"/>
  <c r="C243" i="24"/>
  <c r="S46" i="2"/>
  <c r="S45" i="2"/>
  <c r="W106" i="2" s="1"/>
  <c r="S44" i="2"/>
  <c r="S43" i="2"/>
  <c r="P45" i="2"/>
  <c r="R106" i="2" s="1"/>
  <c r="P44" i="2"/>
  <c r="C239" i="39" s="1"/>
  <c r="P43" i="2"/>
  <c r="C238" i="39" s="1"/>
  <c r="P46" i="2"/>
  <c r="Q45" i="2"/>
  <c r="U106" i="2" s="1"/>
  <c r="Q44" i="2"/>
  <c r="Q43" i="2"/>
  <c r="Q46" i="2"/>
  <c r="C242" i="28"/>
  <c r="C242" i="27"/>
  <c r="C242" i="25"/>
  <c r="C242" i="24"/>
  <c r="C235" i="27"/>
  <c r="C235" i="25"/>
  <c r="C235" i="24"/>
  <c r="C235" i="28"/>
  <c r="C244" i="24"/>
  <c r="C244" i="28"/>
  <c r="C236" i="25"/>
  <c r="C236" i="24"/>
  <c r="C236" i="28"/>
  <c r="C236" i="27"/>
  <c r="C240" i="28"/>
  <c r="C240" i="27"/>
  <c r="C240" i="25"/>
  <c r="C240" i="24"/>
  <c r="C252" i="25"/>
  <c r="C252" i="24"/>
  <c r="C252" i="28"/>
  <c r="C252" i="27"/>
  <c r="K90" i="28"/>
  <c r="V99" i="28"/>
  <c r="P43" i="28"/>
  <c r="D238" i="28" s="1"/>
  <c r="R106" i="28"/>
  <c r="J90" i="28"/>
  <c r="U99" i="28"/>
  <c r="Y43" i="28"/>
  <c r="V107" i="28"/>
  <c r="R109" i="28"/>
  <c r="AK43" i="28"/>
  <c r="D244" i="28" s="1"/>
  <c r="W104" i="28"/>
  <c r="E43" i="28"/>
  <c r="U107" i="28"/>
  <c r="X43" i="28"/>
  <c r="AM90" i="28"/>
  <c r="V103" i="28"/>
  <c r="Q90" i="28"/>
  <c r="U100" i="28"/>
  <c r="AO43" i="28"/>
  <c r="X109" i="28"/>
  <c r="W105" i="28"/>
  <c r="L43" i="28"/>
  <c r="W43" i="28"/>
  <c r="D240" i="28" s="1"/>
  <c r="R107" i="28"/>
  <c r="F43" i="28" a="1"/>
  <c r="C43" i="28" a="1"/>
  <c r="B43" i="28" a="1"/>
  <c r="D235" i="28" s="1"/>
  <c r="AN43" i="28"/>
  <c r="W109" i="28"/>
  <c r="X107" i="28"/>
  <c r="AA43" i="28"/>
  <c r="P90" i="28"/>
  <c r="D250" i="28" s="1"/>
  <c r="R100" i="28"/>
  <c r="R102" i="28"/>
  <c r="AD90" i="28"/>
  <c r="D254" i="28" s="1"/>
  <c r="AM43" i="28"/>
  <c r="V109" i="28"/>
  <c r="U105" i="28"/>
  <c r="W107" i="28"/>
  <c r="Z43" i="28"/>
  <c r="U102" i="28"/>
  <c r="AE90" i="28"/>
  <c r="AL43" i="28"/>
  <c r="U109" i="28"/>
  <c r="V104" i="28"/>
  <c r="D43" i="28"/>
  <c r="AL90" i="28"/>
  <c r="U103" i="28"/>
  <c r="AH90" i="28"/>
  <c r="X102" i="28"/>
  <c r="X101" i="28"/>
  <c r="AA90" i="28"/>
  <c r="R105" i="28"/>
  <c r="I43" i="28"/>
  <c r="D236" i="28" s="1"/>
  <c r="W100" i="28"/>
  <c r="S90" i="28"/>
  <c r="M90" i="28"/>
  <c r="X99" i="28"/>
  <c r="W101" i="28"/>
  <c r="X108" i="28"/>
  <c r="AH43" i="28"/>
  <c r="V100" i="28"/>
  <c r="R90" i="28"/>
  <c r="U98" i="28"/>
  <c r="C90" i="28"/>
  <c r="Y90" i="28"/>
  <c r="T90" i="28"/>
  <c r="X100" i="28"/>
  <c r="R98" i="28"/>
  <c r="B90" i="28"/>
  <c r="D246" i="28" s="1"/>
  <c r="AG90" i="28"/>
  <c r="W102" i="28"/>
  <c r="U101" i="28"/>
  <c r="W108" i="28"/>
  <c r="AG43" i="28"/>
  <c r="AF90" i="28"/>
  <c r="V102" i="28"/>
  <c r="W90" i="28"/>
  <c r="D252" i="28" s="1"/>
  <c r="R101" i="28"/>
  <c r="V108" i="28"/>
  <c r="AF43" i="28"/>
  <c r="T43" i="28"/>
  <c r="X106" i="28"/>
  <c r="R99" i="28"/>
  <c r="I90" i="28"/>
  <c r="D248" i="28" s="1"/>
  <c r="R43" i="28"/>
  <c r="V106" i="28"/>
  <c r="U108" i="28"/>
  <c r="AE43" i="28"/>
  <c r="W103" i="28"/>
  <c r="AN90" i="28"/>
  <c r="AK90" i="28"/>
  <c r="D256" i="28" s="1"/>
  <c r="R103" i="28"/>
  <c r="AO90" i="28"/>
  <c r="L90" i="28"/>
  <c r="W99" i="28"/>
  <c r="R108" i="28"/>
  <c r="AD43" i="28"/>
  <c r="D242" i="28" s="1"/>
  <c r="Q90" i="27"/>
  <c r="U100" i="27"/>
  <c r="W98" i="27"/>
  <c r="E90" i="27"/>
  <c r="S43" i="27"/>
  <c r="W106" i="27"/>
  <c r="W100" i="27"/>
  <c r="S90" i="27"/>
  <c r="P43" i="27"/>
  <c r="D238" i="27" s="1"/>
  <c r="R106" i="27"/>
  <c r="AG90" i="27"/>
  <c r="R43" i="27"/>
  <c r="V106" i="27"/>
  <c r="Q43" i="27"/>
  <c r="U106" i="27"/>
  <c r="W101" i="27"/>
  <c r="Z90" i="27"/>
  <c r="W103" i="27"/>
  <c r="AN90" i="27"/>
  <c r="U98" i="27"/>
  <c r="C90" i="27"/>
  <c r="R98" i="27"/>
  <c r="B90" i="27"/>
  <c r="D246" i="27" s="1"/>
  <c r="V101" i="27"/>
  <c r="Y90" i="27"/>
  <c r="AM90" i="27"/>
  <c r="V103" i="27"/>
  <c r="K43" i="27"/>
  <c r="V105" i="27"/>
  <c r="R104" i="27"/>
  <c r="B43" i="27"/>
  <c r="D234" i="27" s="1"/>
  <c r="U101" i="27"/>
  <c r="X90" i="27"/>
  <c r="U105" i="27"/>
  <c r="J43" i="27"/>
  <c r="C43" i="27"/>
  <c r="U104" i="27"/>
  <c r="W90" i="27"/>
  <c r="D252" i="27" s="1"/>
  <c r="R101" i="27"/>
  <c r="AK90" i="27"/>
  <c r="D256" i="27" s="1"/>
  <c r="R103" i="27"/>
  <c r="R105" i="27"/>
  <c r="I43" i="27"/>
  <c r="D236" i="27" s="1"/>
  <c r="U107" i="27"/>
  <c r="X43" i="27"/>
  <c r="M90" i="27"/>
  <c r="X99" i="27"/>
  <c r="X103" i="27"/>
  <c r="AO90" i="27"/>
  <c r="X105" i="27"/>
  <c r="M43" i="27"/>
  <c r="W43" i="27"/>
  <c r="D240" i="27" s="1"/>
  <c r="R107" i="27"/>
  <c r="R99" i="27"/>
  <c r="I90" i="27"/>
  <c r="D248" i="27" s="1"/>
  <c r="X101" i="27"/>
  <c r="AA90" i="27"/>
  <c r="Y43" i="27"/>
  <c r="V107" i="27"/>
  <c r="L90" i="27"/>
  <c r="W99" i="27"/>
  <c r="R109" i="27"/>
  <c r="AK43" i="27"/>
  <c r="D244" i="27" s="1"/>
  <c r="AG43" i="27"/>
  <c r="W108" i="27"/>
  <c r="X107" i="27"/>
  <c r="AA43" i="27"/>
  <c r="V98" i="27"/>
  <c r="D90" i="27"/>
  <c r="K90" i="27"/>
  <c r="V99" i="27"/>
  <c r="AO43" i="27"/>
  <c r="X109" i="27"/>
  <c r="V108" i="27"/>
  <c r="AF43" i="27"/>
  <c r="W107" i="27"/>
  <c r="Z43" i="27"/>
  <c r="P90" i="27"/>
  <c r="D250" i="27" s="1"/>
  <c r="R100" i="27"/>
  <c r="J90" i="27"/>
  <c r="U99" i="27"/>
  <c r="AN43" i="27"/>
  <c r="W109" i="27"/>
  <c r="U108" i="27"/>
  <c r="AE43" i="27"/>
  <c r="R102" i="27"/>
  <c r="AD90" i="27"/>
  <c r="D254" i="27" s="1"/>
  <c r="X104" i="27"/>
  <c r="F43" i="27"/>
  <c r="T90" i="27"/>
  <c r="X100" i="27"/>
  <c r="AM43" i="27"/>
  <c r="V109" i="27"/>
  <c r="R108" i="27"/>
  <c r="AD43" i="27"/>
  <c r="D242" i="27" s="1"/>
  <c r="V100" i="27"/>
  <c r="R90" i="27"/>
  <c r="AL43" i="27"/>
  <c r="U109" i="27"/>
  <c r="T43" i="27"/>
  <c r="X106" i="27"/>
  <c r="AF90" i="27"/>
  <c r="V102" i="27"/>
  <c r="R102" i="25"/>
  <c r="AD90" i="25"/>
  <c r="D254" i="25" s="1"/>
  <c r="R105" i="25"/>
  <c r="I43" i="25"/>
  <c r="D236" i="25" s="1"/>
  <c r="W43" i="25"/>
  <c r="D240" i="25" s="1"/>
  <c r="R107" i="25"/>
  <c r="S43" i="25"/>
  <c r="W106" i="25"/>
  <c r="R109" i="25"/>
  <c r="AK43" i="25"/>
  <c r="D244" i="25" s="1"/>
  <c r="R43" i="25"/>
  <c r="V106" i="25"/>
  <c r="Q43" i="25"/>
  <c r="U106" i="25"/>
  <c r="T43" i="25"/>
  <c r="X106" i="25"/>
  <c r="AN43" i="25"/>
  <c r="W109" i="25"/>
  <c r="E43" i="25" a="1"/>
  <c r="AM43" i="25"/>
  <c r="V109" i="25"/>
  <c r="P43" i="25"/>
  <c r="D238" i="25" s="1"/>
  <c r="R106" i="25"/>
  <c r="U102" i="25"/>
  <c r="AE90" i="25"/>
  <c r="W100" i="25"/>
  <c r="S90" i="25"/>
  <c r="AL43" i="25"/>
  <c r="U109" i="25"/>
  <c r="C43" i="25" a="1"/>
  <c r="R99" i="25"/>
  <c r="I90" i="25"/>
  <c r="D248" i="25" s="1"/>
  <c r="V100" i="25"/>
  <c r="R90" i="25"/>
  <c r="V98" i="25"/>
  <c r="D90" i="25"/>
  <c r="B43" i="25" a="1"/>
  <c r="D235" i="25" s="1"/>
  <c r="L90" i="25"/>
  <c r="W99" i="25"/>
  <c r="AH90" i="25"/>
  <c r="X102" i="25"/>
  <c r="T90" i="25"/>
  <c r="X100" i="25"/>
  <c r="U98" i="25"/>
  <c r="C90" i="25"/>
  <c r="X108" i="25"/>
  <c r="AH43" i="25"/>
  <c r="AF90" i="25"/>
  <c r="V102" i="25"/>
  <c r="W108" i="25"/>
  <c r="AG43" i="25"/>
  <c r="J90" i="25"/>
  <c r="U99" i="25"/>
  <c r="P90" i="25"/>
  <c r="D250" i="25" s="1"/>
  <c r="R100" i="25"/>
  <c r="W103" i="25"/>
  <c r="AN90" i="25"/>
  <c r="V108" i="25"/>
  <c r="AF43" i="25"/>
  <c r="X98" i="25"/>
  <c r="F90" i="25"/>
  <c r="W107" i="25"/>
  <c r="Z43" i="25"/>
  <c r="AM90" i="25"/>
  <c r="V103" i="25"/>
  <c r="W105" i="25"/>
  <c r="L43" i="25"/>
  <c r="U108" i="25"/>
  <c r="AE43" i="25"/>
  <c r="W98" i="25"/>
  <c r="E90" i="25"/>
  <c r="AO43" i="25"/>
  <c r="X109" i="25"/>
  <c r="AL90" i="25"/>
  <c r="U103" i="25"/>
  <c r="X105" i="25"/>
  <c r="M43" i="25"/>
  <c r="R108" i="25"/>
  <c r="AD43" i="25"/>
  <c r="D242" i="25" s="1"/>
  <c r="R98" i="25"/>
  <c r="B90" i="25"/>
  <c r="D246" i="25" s="1"/>
  <c r="X103" i="25"/>
  <c r="AO90" i="25"/>
  <c r="Q90" i="25"/>
  <c r="U100" i="25"/>
  <c r="AK90" i="25"/>
  <c r="D256" i="25" s="1"/>
  <c r="R103" i="25"/>
  <c r="V105" i="25"/>
  <c r="K43" i="25"/>
  <c r="Y43" i="25"/>
  <c r="V107" i="25"/>
  <c r="D43" i="25" a="1"/>
  <c r="U105" i="25"/>
  <c r="J43" i="25"/>
  <c r="X43" i="25"/>
  <c r="U107" i="25"/>
  <c r="M90" i="25"/>
  <c r="X99" i="25"/>
  <c r="T43" i="24"/>
  <c r="X106" i="24"/>
  <c r="P90" i="24"/>
  <c r="D250" i="24" s="1"/>
  <c r="R100" i="24"/>
  <c r="M90" i="24"/>
  <c r="X99" i="24"/>
  <c r="AO43" i="24"/>
  <c r="X109" i="24"/>
  <c r="X98" i="24"/>
  <c r="F90" i="24"/>
  <c r="R99" i="24"/>
  <c r="I90" i="24"/>
  <c r="D248" i="24" s="1"/>
  <c r="AG90" i="24"/>
  <c r="W102" i="24"/>
  <c r="AN43" i="24"/>
  <c r="W109" i="24"/>
  <c r="U98" i="24"/>
  <c r="C90" i="24"/>
  <c r="W108" i="24"/>
  <c r="AG43" i="24"/>
  <c r="R109" i="24"/>
  <c r="AK43" i="24"/>
  <c r="D244" i="24" s="1"/>
  <c r="K90" i="24"/>
  <c r="V99" i="24"/>
  <c r="AM43" i="24"/>
  <c r="V109" i="24"/>
  <c r="W98" i="24"/>
  <c r="E90" i="24"/>
  <c r="V108" i="24"/>
  <c r="AF43" i="24"/>
  <c r="V101" i="24"/>
  <c r="Y90" i="24"/>
  <c r="L90" i="24"/>
  <c r="W99" i="24"/>
  <c r="AL43" i="24"/>
  <c r="U109" i="24"/>
  <c r="S43" i="24"/>
  <c r="W106" i="24"/>
  <c r="U108" i="24"/>
  <c r="AE43" i="24"/>
  <c r="J90" i="24"/>
  <c r="U99" i="24"/>
  <c r="F43" i="24" a="1"/>
  <c r="B43" i="24" a="1"/>
  <c r="D235" i="24" s="1"/>
  <c r="C43" i="24" a="1"/>
  <c r="X108" i="24"/>
  <c r="AH43" i="24"/>
  <c r="R43" i="24"/>
  <c r="V106" i="24"/>
  <c r="R108" i="24"/>
  <c r="AD43" i="24"/>
  <c r="D242" i="24" s="1"/>
  <c r="W90" i="24"/>
  <c r="D252" i="24" s="1"/>
  <c r="R101" i="24"/>
  <c r="W103" i="24"/>
  <c r="AN90" i="24"/>
  <c r="D43" i="24" a="1"/>
  <c r="Q43" i="24"/>
  <c r="U106" i="24"/>
  <c r="U107" i="24"/>
  <c r="X43" i="24"/>
  <c r="AM90" i="24"/>
  <c r="V103" i="24"/>
  <c r="W105" i="24"/>
  <c r="L43" i="24"/>
  <c r="P43" i="24"/>
  <c r="D238" i="24" s="1"/>
  <c r="R106" i="24"/>
  <c r="W43" i="24"/>
  <c r="D240" i="24" s="1"/>
  <c r="R107" i="24"/>
  <c r="V105" i="24"/>
  <c r="K43" i="24"/>
  <c r="R102" i="24"/>
  <c r="AD90" i="24"/>
  <c r="D254" i="24" s="1"/>
  <c r="AL90" i="24"/>
  <c r="U103" i="24"/>
  <c r="X103" i="24"/>
  <c r="AO90" i="24"/>
  <c r="X107" i="24"/>
  <c r="AA43" i="24"/>
  <c r="AK90" i="24"/>
  <c r="D256" i="24" s="1"/>
  <c r="R103" i="24"/>
  <c r="R105" i="24"/>
  <c r="W107" i="24"/>
  <c r="Z43" i="24"/>
  <c r="V98" i="24"/>
  <c r="D90" i="24"/>
  <c r="X105" i="24"/>
  <c r="M43" i="24"/>
  <c r="V100" i="24"/>
  <c r="R90" i="24"/>
  <c r="R98" i="24"/>
  <c r="B90" i="24"/>
  <c r="D246" i="24" s="1"/>
  <c r="AA90" i="24"/>
  <c r="Q90" i="24"/>
  <c r="U100" i="24"/>
  <c r="W100" i="24"/>
  <c r="S90" i="24"/>
  <c r="E43" i="24" a="1"/>
  <c r="AE90" i="27" l="1"/>
  <c r="X102" i="27"/>
  <c r="X101" i="25"/>
  <c r="R101" i="25"/>
  <c r="W90" i="25"/>
  <c r="D252" i="25" s="1"/>
  <c r="Y90" i="25"/>
  <c r="C257" i="25"/>
  <c r="C245" i="28"/>
  <c r="C244" i="25"/>
  <c r="C244" i="35"/>
  <c r="C244" i="34"/>
  <c r="C244" i="37"/>
  <c r="C244" i="38"/>
  <c r="C244" i="36"/>
  <c r="C244" i="41"/>
  <c r="C245" i="24"/>
  <c r="C244" i="40"/>
  <c r="C244" i="27"/>
  <c r="C245" i="27"/>
  <c r="C245" i="30"/>
  <c r="C244" i="31"/>
  <c r="C245" i="35"/>
  <c r="C244" i="29"/>
  <c r="C245" i="34"/>
  <c r="C244" i="30"/>
  <c r="C245" i="38"/>
  <c r="C243" i="25"/>
  <c r="C237" i="24"/>
  <c r="C237" i="29"/>
  <c r="C237" i="28"/>
  <c r="C237" i="32"/>
  <c r="C237" i="33"/>
  <c r="C237" i="31"/>
  <c r="C237" i="30"/>
  <c r="C237" i="41"/>
  <c r="C237" i="25"/>
  <c r="C237" i="27"/>
  <c r="C245" i="31"/>
  <c r="C245" i="39"/>
  <c r="C244" i="32"/>
  <c r="C244" i="39"/>
  <c r="C245" i="29"/>
  <c r="C237" i="34"/>
  <c r="C237" i="38"/>
  <c r="C237" i="40"/>
  <c r="C237" i="35"/>
  <c r="C237" i="37"/>
  <c r="C237" i="36"/>
  <c r="C235" i="35"/>
  <c r="C235" i="36"/>
  <c r="C235" i="37"/>
  <c r="C235" i="38"/>
  <c r="C235" i="40"/>
  <c r="C234" i="31"/>
  <c r="C234" i="32"/>
  <c r="C235" i="39"/>
  <c r="C235" i="41"/>
  <c r="C235" i="30"/>
  <c r="C234" i="34"/>
  <c r="C235" i="29"/>
  <c r="C234" i="35"/>
  <c r="C235" i="31"/>
  <c r="C234" i="36"/>
  <c r="C234" i="37"/>
  <c r="C256" i="25"/>
  <c r="C256" i="24"/>
  <c r="C256" i="27"/>
  <c r="C257" i="24"/>
  <c r="C256" i="40"/>
  <c r="C256" i="39"/>
  <c r="C256" i="41"/>
  <c r="C256" i="37"/>
  <c r="C256" i="38"/>
  <c r="C256" i="36"/>
  <c r="C256" i="35"/>
  <c r="C256" i="34"/>
  <c r="C256" i="33"/>
  <c r="C256" i="30"/>
  <c r="C256" i="29"/>
  <c r="C256" i="31"/>
  <c r="C256" i="32"/>
  <c r="C257" i="27"/>
  <c r="C257" i="39"/>
  <c r="C257" i="40"/>
  <c r="C257" i="41"/>
  <c r="C257" i="37"/>
  <c r="C257" i="38"/>
  <c r="C257" i="36"/>
  <c r="C257" i="34"/>
  <c r="C257" i="35"/>
  <c r="C257" i="30"/>
  <c r="C257" i="29"/>
  <c r="C257" i="31"/>
  <c r="C257" i="32"/>
  <c r="C257" i="33"/>
  <c r="C254" i="28"/>
  <c r="C254" i="24"/>
  <c r="C254" i="25"/>
  <c r="C255" i="25"/>
  <c r="C254" i="40"/>
  <c r="C254" i="41"/>
  <c r="C254" i="39"/>
  <c r="C254" i="38"/>
  <c r="C254" i="37"/>
  <c r="C254" i="36"/>
  <c r="C254" i="35"/>
  <c r="C254" i="34"/>
  <c r="C254" i="30"/>
  <c r="C254" i="33"/>
  <c r="C254" i="32"/>
  <c r="C254" i="31"/>
  <c r="C254" i="29"/>
  <c r="C255" i="28"/>
  <c r="C255" i="40"/>
  <c r="C255" i="41"/>
  <c r="C255" i="39"/>
  <c r="C255" i="38"/>
  <c r="C255" i="37"/>
  <c r="C255" i="36"/>
  <c r="C255" i="35"/>
  <c r="C255" i="34"/>
  <c r="C255" i="30"/>
  <c r="C255" i="33"/>
  <c r="C255" i="32"/>
  <c r="C255" i="31"/>
  <c r="C255" i="29"/>
  <c r="C255" i="24"/>
  <c r="C253" i="40"/>
  <c r="C253" i="39"/>
  <c r="C253" i="41"/>
  <c r="C253" i="38"/>
  <c r="C253" i="36"/>
  <c r="C253" i="37"/>
  <c r="C253" i="34"/>
  <c r="C253" i="35"/>
  <c r="C253" i="29"/>
  <c r="C253" i="30"/>
  <c r="C253" i="31"/>
  <c r="C253" i="33"/>
  <c r="C253" i="32"/>
  <c r="C253" i="24"/>
  <c r="C253" i="27"/>
  <c r="C253" i="25"/>
  <c r="C253" i="28"/>
  <c r="C250" i="39"/>
  <c r="C250" i="41"/>
  <c r="C250" i="40"/>
  <c r="C250" i="37"/>
  <c r="C250" i="36"/>
  <c r="C250" i="38"/>
  <c r="C250" i="34"/>
  <c r="C250" i="35"/>
  <c r="C250" i="30"/>
  <c r="C250" i="33"/>
  <c r="C250" i="29"/>
  <c r="C250" i="31"/>
  <c r="C250" i="32"/>
  <c r="C250" i="24"/>
  <c r="C250" i="25"/>
  <c r="C250" i="27"/>
  <c r="C250" i="28"/>
  <c r="C248" i="28"/>
  <c r="C248" i="39"/>
  <c r="C248" i="24"/>
  <c r="C248" i="27"/>
  <c r="C248" i="25"/>
  <c r="C246" i="25"/>
  <c r="C246" i="27"/>
  <c r="C247" i="40"/>
  <c r="C247" i="41"/>
  <c r="C247" i="39"/>
  <c r="C247" i="37"/>
  <c r="C247" i="38"/>
  <c r="C247" i="36"/>
  <c r="C247" i="35"/>
  <c r="C247" i="34"/>
  <c r="C247" i="29"/>
  <c r="C247" i="33"/>
  <c r="C247" i="31"/>
  <c r="C247" i="30"/>
  <c r="C247" i="32"/>
  <c r="C246" i="41"/>
  <c r="C246" i="40"/>
  <c r="C246" i="39"/>
  <c r="C246" i="36"/>
  <c r="C246" i="37"/>
  <c r="C246" i="38"/>
  <c r="C246" i="35"/>
  <c r="C246" i="34"/>
  <c r="C246" i="32"/>
  <c r="C246" i="31"/>
  <c r="C246" i="29"/>
  <c r="C246" i="33"/>
  <c r="C246" i="30"/>
  <c r="C246" i="24"/>
  <c r="C248" i="41"/>
  <c r="C248" i="40"/>
  <c r="C248" i="36"/>
  <c r="C248" i="38"/>
  <c r="C248" i="37"/>
  <c r="C248" i="35"/>
  <c r="C248" i="34"/>
  <c r="C248" i="32"/>
  <c r="C248" i="29"/>
  <c r="C248" i="33"/>
  <c r="C248" i="30"/>
  <c r="C248" i="31"/>
  <c r="C245" i="33"/>
  <c r="C245" i="32"/>
  <c r="C243" i="27"/>
  <c r="C243" i="40"/>
  <c r="C243" i="41"/>
  <c r="C243" i="38"/>
  <c r="C243" i="37"/>
  <c r="C243" i="36"/>
  <c r="C243" i="34"/>
  <c r="C243" i="35"/>
  <c r="C243" i="30"/>
  <c r="C243" i="33"/>
  <c r="C243" i="32"/>
  <c r="C243" i="31"/>
  <c r="C243" i="29"/>
  <c r="X112" i="2" a="1"/>
  <c r="X121" i="2" s="1"/>
  <c r="C238" i="24"/>
  <c r="C238" i="41"/>
  <c r="C238" i="40"/>
  <c r="C238" i="37"/>
  <c r="C238" i="36"/>
  <c r="C238" i="38"/>
  <c r="C238" i="35"/>
  <c r="C238" i="34"/>
  <c r="C238" i="33"/>
  <c r="C238" i="32"/>
  <c r="C238" i="31"/>
  <c r="C238" i="29"/>
  <c r="C238" i="30"/>
  <c r="C239" i="40"/>
  <c r="C239" i="41"/>
  <c r="C239" i="37"/>
  <c r="C239" i="36"/>
  <c r="C239" i="38"/>
  <c r="C239" i="35"/>
  <c r="C239" i="34"/>
  <c r="C239" i="33"/>
  <c r="C239" i="32"/>
  <c r="C239" i="31"/>
  <c r="C239" i="29"/>
  <c r="C239" i="30"/>
  <c r="W106" i="28"/>
  <c r="I43" i="24"/>
  <c r="D236" i="24" s="1"/>
  <c r="U103" i="27"/>
  <c r="AE90" i="24"/>
  <c r="C247" i="28"/>
  <c r="C247" i="27"/>
  <c r="C247" i="25"/>
  <c r="C247" i="24"/>
  <c r="AH43" i="27"/>
  <c r="V107" i="24"/>
  <c r="F90" i="28"/>
  <c r="K90" i="25"/>
  <c r="Z90" i="25"/>
  <c r="X90" i="25"/>
  <c r="W98" i="28"/>
  <c r="E90" i="28"/>
  <c r="V104" i="27"/>
  <c r="D43" i="27"/>
  <c r="X107" i="25"/>
  <c r="X90" i="24"/>
  <c r="C238" i="25"/>
  <c r="R112" i="2" a="1"/>
  <c r="R117" i="2" s="1"/>
  <c r="C238" i="27"/>
  <c r="W105" i="27"/>
  <c r="W112" i="27" s="1" a="1"/>
  <c r="W112" i="27" s="1"/>
  <c r="J43" i="24"/>
  <c r="C238" i="28"/>
  <c r="D90" i="28"/>
  <c r="M43" i="28"/>
  <c r="V112" i="2" a="1"/>
  <c r="V121" i="2" s="1"/>
  <c r="U112" i="2" a="1"/>
  <c r="U122" i="2" s="1"/>
  <c r="W112" i="2" a="1"/>
  <c r="W112" i="2" s="1"/>
  <c r="U106" i="28"/>
  <c r="K43" i="28"/>
  <c r="W101" i="24"/>
  <c r="X100" i="24"/>
  <c r="T90" i="24"/>
  <c r="X102" i="24"/>
  <c r="F43" i="25"/>
  <c r="X112" i="27" a="1"/>
  <c r="X112" i="27" s="1"/>
  <c r="V102" i="24"/>
  <c r="C239" i="27"/>
  <c r="C239" i="24"/>
  <c r="C239" i="25"/>
  <c r="C239" i="28"/>
  <c r="C234" i="28"/>
  <c r="C234" i="27"/>
  <c r="C234" i="25"/>
  <c r="C234" i="24"/>
  <c r="R104" i="28"/>
  <c r="B43" i="28"/>
  <c r="D234" i="28" s="1"/>
  <c r="C43" i="28"/>
  <c r="U104" i="28"/>
  <c r="V112" i="28" s="1" a="1"/>
  <c r="V112" i="28" s="1"/>
  <c r="X104" i="28"/>
  <c r="F43" i="28"/>
  <c r="R112" i="27" a="1"/>
  <c r="U112" i="27" a="1"/>
  <c r="U112" i="27" s="1"/>
  <c r="V112" i="27" a="1"/>
  <c r="V112" i="27" s="1"/>
  <c r="W104" i="25"/>
  <c r="E43" i="25"/>
  <c r="C43" i="25"/>
  <c r="U104" i="25"/>
  <c r="X112" i="25" s="1" a="1"/>
  <c r="X112" i="25" s="1"/>
  <c r="V104" i="25"/>
  <c r="D43" i="25"/>
  <c r="R104" i="25"/>
  <c r="B43" i="25"/>
  <c r="D234" i="25" s="1"/>
  <c r="X104" i="24"/>
  <c r="F43" i="24"/>
  <c r="V104" i="24"/>
  <c r="D43" i="24"/>
  <c r="R104" i="24"/>
  <c r="B43" i="24"/>
  <c r="D234" i="24" s="1"/>
  <c r="C43" i="24"/>
  <c r="U104" i="24"/>
  <c r="U112" i="24" s="1" a="1"/>
  <c r="U112" i="24" s="1"/>
  <c r="W104" i="24"/>
  <c r="E43" i="24"/>
  <c r="D257" i="2"/>
  <c r="C257" i="2"/>
  <c r="D246" i="2"/>
  <c r="C246" i="2"/>
  <c r="C238" i="2"/>
  <c r="D238" i="2"/>
  <c r="D247" i="2"/>
  <c r="C247" i="2"/>
  <c r="C239" i="2"/>
  <c r="D239" i="2"/>
  <c r="D243" i="2"/>
  <c r="C243" i="2"/>
  <c r="D242" i="2"/>
  <c r="C242" i="2"/>
  <c r="C255" i="2"/>
  <c r="D255" i="2"/>
  <c r="D244" i="2"/>
  <c r="C244" i="2"/>
  <c r="D245" i="2"/>
  <c r="C245" i="2"/>
  <c r="C254" i="2"/>
  <c r="D254" i="2"/>
  <c r="D240" i="2"/>
  <c r="C240" i="2"/>
  <c r="C236" i="2"/>
  <c r="D236" i="2"/>
  <c r="D241" i="2"/>
  <c r="C241" i="2"/>
  <c r="D237" i="2"/>
  <c r="C237" i="2"/>
  <c r="D256" i="2"/>
  <c r="C256" i="2"/>
  <c r="C263" i="41" l="1"/>
  <c r="C263" i="39"/>
  <c r="X114" i="2"/>
  <c r="X120" i="2"/>
  <c r="X113" i="2"/>
  <c r="X116" i="2"/>
  <c r="X119" i="2"/>
  <c r="X112" i="2"/>
  <c r="X122" i="2"/>
  <c r="X117" i="2"/>
  <c r="X123" i="2"/>
  <c r="X115" i="2"/>
  <c r="X118" i="2"/>
  <c r="W121" i="2"/>
  <c r="U116" i="2"/>
  <c r="W116" i="2"/>
  <c r="W115" i="2"/>
  <c r="U112" i="2"/>
  <c r="U117" i="2"/>
  <c r="W122" i="2"/>
  <c r="C263" i="40"/>
  <c r="C263" i="38"/>
  <c r="C263" i="37"/>
  <c r="C263" i="36"/>
  <c r="C263" i="34"/>
  <c r="C263" i="35"/>
  <c r="C263" i="29"/>
  <c r="C263" i="30"/>
  <c r="C263" i="33"/>
  <c r="C263" i="32"/>
  <c r="C263" i="31"/>
  <c r="W118" i="2"/>
  <c r="W119" i="2"/>
  <c r="U119" i="2"/>
  <c r="W114" i="2"/>
  <c r="U115" i="2"/>
  <c r="U113" i="2"/>
  <c r="V123" i="2"/>
  <c r="V114" i="2"/>
  <c r="V113" i="2"/>
  <c r="V120" i="2"/>
  <c r="V116" i="2"/>
  <c r="V112" i="2"/>
  <c r="V122" i="2"/>
  <c r="V118" i="2"/>
  <c r="R120" i="2"/>
  <c r="U118" i="2"/>
  <c r="R113" i="2"/>
  <c r="U121" i="2"/>
  <c r="W123" i="2"/>
  <c r="U120" i="2"/>
  <c r="V117" i="2"/>
  <c r="V119" i="2"/>
  <c r="C263" i="24"/>
  <c r="C263" i="28"/>
  <c r="C263" i="25"/>
  <c r="C263" i="27"/>
  <c r="U112" i="28" a="1"/>
  <c r="U112" i="28" s="1"/>
  <c r="R123" i="2"/>
  <c r="W112" i="24" a="1"/>
  <c r="W112" i="24" s="1"/>
  <c r="R112" i="2"/>
  <c r="U114" i="2"/>
  <c r="V115" i="2"/>
  <c r="W117" i="2"/>
  <c r="W120" i="2"/>
  <c r="R116" i="2"/>
  <c r="R119" i="2"/>
  <c r="U123" i="2"/>
  <c r="R115" i="2"/>
  <c r="W113" i="2"/>
  <c r="R112" i="27"/>
  <c r="D258" i="27" s="1"/>
  <c r="D259" i="27"/>
  <c r="D265" i="27"/>
  <c r="D264" i="27"/>
  <c r="D263" i="27"/>
  <c r="D262" i="27"/>
  <c r="D261" i="27"/>
  <c r="D260" i="27"/>
  <c r="R118" i="2"/>
  <c r="R112" i="25" a="1"/>
  <c r="R121" i="2"/>
  <c r="R112" i="28" a="1"/>
  <c r="R122" i="2"/>
  <c r="V112" i="25" a="1"/>
  <c r="V112" i="25" s="1"/>
  <c r="W112" i="28" a="1"/>
  <c r="W112" i="28" s="1"/>
  <c r="R114" i="2"/>
  <c r="W112" i="25" a="1"/>
  <c r="W112" i="25" s="1"/>
  <c r="U112" i="25" a="1"/>
  <c r="U112" i="25" s="1"/>
  <c r="X112" i="28" a="1"/>
  <c r="X112" i="28" s="1"/>
  <c r="V112" i="24" a="1"/>
  <c r="V112" i="24" s="1"/>
  <c r="X112" i="24" a="1"/>
  <c r="X112" i="24" s="1"/>
  <c r="R112" i="24" a="1"/>
  <c r="D253" i="2"/>
  <c r="C253" i="2"/>
  <c r="D250" i="2"/>
  <c r="C250" i="2"/>
  <c r="D251" i="2"/>
  <c r="C251" i="2"/>
  <c r="D235" i="2"/>
  <c r="C235" i="2"/>
  <c r="D234" i="2"/>
  <c r="C234" i="2"/>
  <c r="D248" i="2"/>
  <c r="C248" i="2"/>
  <c r="C249" i="2"/>
  <c r="D249" i="2"/>
  <c r="C252" i="2"/>
  <c r="D252" i="2"/>
  <c r="C260" i="41" l="1"/>
  <c r="C260" i="39"/>
  <c r="C261" i="41"/>
  <c r="C261" i="39"/>
  <c r="C258" i="41"/>
  <c r="C258" i="39"/>
  <c r="C265" i="41"/>
  <c r="C265" i="39"/>
  <c r="C262" i="41"/>
  <c r="C262" i="39"/>
  <c r="C259" i="41"/>
  <c r="C259" i="39"/>
  <c r="C264" i="41"/>
  <c r="C264" i="39"/>
  <c r="C265" i="27"/>
  <c r="C260" i="40"/>
  <c r="C260" i="36"/>
  <c r="C260" i="38"/>
  <c r="C260" i="37"/>
  <c r="C260" i="35"/>
  <c r="C260" i="34"/>
  <c r="C260" i="31"/>
  <c r="C260" i="29"/>
  <c r="C260" i="30"/>
  <c r="C260" i="33"/>
  <c r="C260" i="32"/>
  <c r="C261" i="40"/>
  <c r="C261" i="38"/>
  <c r="C261" i="37"/>
  <c r="C261" i="36"/>
  <c r="C261" i="34"/>
  <c r="C261" i="35"/>
  <c r="C261" i="29"/>
  <c r="C261" i="32"/>
  <c r="C261" i="31"/>
  <c r="C261" i="30"/>
  <c r="C261" i="33"/>
  <c r="C265" i="25"/>
  <c r="C265" i="40"/>
  <c r="C265" i="38"/>
  <c r="C265" i="37"/>
  <c r="C265" i="36"/>
  <c r="C265" i="35"/>
  <c r="C265" i="34"/>
  <c r="C265" i="30"/>
  <c r="C265" i="33"/>
  <c r="C265" i="32"/>
  <c r="C265" i="31"/>
  <c r="C265" i="29"/>
  <c r="C262" i="40"/>
  <c r="C262" i="37"/>
  <c r="C262" i="36"/>
  <c r="C262" i="38"/>
  <c r="C262" i="35"/>
  <c r="C262" i="34"/>
  <c r="C262" i="30"/>
  <c r="C262" i="33"/>
  <c r="C262" i="31"/>
  <c r="C262" i="29"/>
  <c r="C262" i="32"/>
  <c r="C259" i="40"/>
  <c r="C259" i="37"/>
  <c r="C259" i="36"/>
  <c r="C259" i="38"/>
  <c r="C259" i="35"/>
  <c r="C259" i="34"/>
  <c r="C259" i="32"/>
  <c r="C259" i="31"/>
  <c r="C259" i="30"/>
  <c r="C259" i="29"/>
  <c r="C259" i="33"/>
  <c r="C264" i="40"/>
  <c r="C264" i="38"/>
  <c r="C264" i="37"/>
  <c r="C264" i="36"/>
  <c r="C264" i="35"/>
  <c r="C264" i="34"/>
  <c r="C264" i="30"/>
  <c r="C264" i="33"/>
  <c r="C264" i="32"/>
  <c r="C264" i="31"/>
  <c r="C264" i="29"/>
  <c r="C258" i="40"/>
  <c r="C258" i="38"/>
  <c r="C258" i="37"/>
  <c r="C258" i="36"/>
  <c r="C258" i="35"/>
  <c r="C258" i="34"/>
  <c r="C258" i="33"/>
  <c r="C258" i="32"/>
  <c r="C258" i="31"/>
  <c r="C258" i="29"/>
  <c r="C258" i="30"/>
  <c r="C259" i="25"/>
  <c r="C259" i="28"/>
  <c r="C259" i="24"/>
  <c r="C258" i="27"/>
  <c r="C259" i="27"/>
  <c r="C258" i="28"/>
  <c r="C265" i="28"/>
  <c r="C260" i="24"/>
  <c r="C260" i="28"/>
  <c r="C260" i="25"/>
  <c r="C260" i="27"/>
  <c r="C261" i="28"/>
  <c r="C261" i="27"/>
  <c r="R112" i="28"/>
  <c r="D258" i="28" s="1"/>
  <c r="D261" i="28"/>
  <c r="D259" i="28"/>
  <c r="D265" i="28"/>
  <c r="D260" i="28"/>
  <c r="D264" i="28"/>
  <c r="D263" i="28"/>
  <c r="D262" i="28"/>
  <c r="R112" i="24"/>
  <c r="D258" i="24" s="1"/>
  <c r="D259" i="24"/>
  <c r="D260" i="24"/>
  <c r="D265" i="24"/>
  <c r="D264" i="24"/>
  <c r="D263" i="24"/>
  <c r="D262" i="24"/>
  <c r="D261" i="24"/>
  <c r="C261" i="25"/>
  <c r="C262" i="27"/>
  <c r="C262" i="25"/>
  <c r="C262" i="28"/>
  <c r="C262" i="24"/>
  <c r="R112" i="25"/>
  <c r="D258" i="25" s="1"/>
  <c r="D259" i="25"/>
  <c r="D265" i="25"/>
  <c r="D260" i="25"/>
  <c r="D264" i="25"/>
  <c r="D263" i="25"/>
  <c r="D261" i="25"/>
  <c r="D262" i="25"/>
  <c r="C258" i="24"/>
  <c r="C261" i="24"/>
  <c r="C264" i="28"/>
  <c r="C264" i="27"/>
  <c r="C264" i="24"/>
  <c r="C264" i="25"/>
  <c r="C258" i="25"/>
  <c r="C265" i="24"/>
  <c r="D261" i="2"/>
  <c r="C261" i="2"/>
  <c r="D262" i="2"/>
  <c r="C262" i="2"/>
  <c r="C265" i="2"/>
  <c r="D265" i="2"/>
  <c r="D264" i="2"/>
  <c r="C264" i="2"/>
  <c r="D263" i="2"/>
  <c r="C263" i="2"/>
  <c r="D258" i="2"/>
  <c r="C258" i="2"/>
  <c r="D259" i="2"/>
  <c r="C259" i="2"/>
  <c r="D260" i="2"/>
  <c r="C260" i="2"/>
  <c r="E243" i="41" l="1"/>
  <c r="E262" i="41"/>
  <c r="E248" i="41"/>
  <c r="E262" i="39"/>
  <c r="E265" i="41"/>
  <c r="E263" i="41"/>
  <c r="E260" i="41"/>
  <c r="E244" i="41"/>
  <c r="E245" i="41"/>
  <c r="E236" i="41"/>
  <c r="E253" i="41"/>
  <c r="E254" i="41"/>
  <c r="E257" i="41"/>
  <c r="E264" i="39"/>
  <c r="E247" i="41"/>
  <c r="E240" i="41"/>
  <c r="E259" i="39"/>
  <c r="E255" i="41"/>
  <c r="E237" i="41"/>
  <c r="E239" i="41"/>
  <c r="E249" i="41"/>
  <c r="E250" i="41"/>
  <c r="E265" i="39"/>
  <c r="E235" i="41"/>
  <c r="E252" i="41"/>
  <c r="E258" i="41"/>
  <c r="E258" i="39"/>
  <c r="E246" i="39"/>
  <c r="E240" i="39"/>
  <c r="E239" i="39"/>
  <c r="E249" i="39"/>
  <c r="E256" i="39"/>
  <c r="E254" i="39"/>
  <c r="E241" i="39"/>
  <c r="E247" i="39"/>
  <c r="E236" i="39"/>
  <c r="E250" i="39"/>
  <c r="E243" i="39"/>
  <c r="E238" i="39"/>
  <c r="E251" i="39"/>
  <c r="E245" i="39"/>
  <c r="E253" i="39"/>
  <c r="E242" i="39"/>
  <c r="E237" i="39"/>
  <c r="E244" i="39"/>
  <c r="E252" i="39"/>
  <c r="E234" i="39"/>
  <c r="E248" i="39"/>
  <c r="E255" i="39"/>
  <c r="E257" i="39"/>
  <c r="E235" i="39"/>
  <c r="E238" i="41"/>
  <c r="E264" i="41"/>
  <c r="E242" i="41"/>
  <c r="E259" i="41"/>
  <c r="E263" i="39"/>
  <c r="E251" i="41"/>
  <c r="E256" i="41"/>
  <c r="E261" i="39"/>
  <c r="E234" i="41"/>
  <c r="E241" i="41"/>
  <c r="E246" i="41"/>
  <c r="E261" i="41"/>
  <c r="E260" i="39"/>
  <c r="E242" i="28"/>
  <c r="E263" i="34"/>
  <c r="E261" i="40"/>
  <c r="E238" i="28"/>
  <c r="E263" i="37"/>
  <c r="E263" i="36"/>
  <c r="E248" i="28"/>
  <c r="E265" i="40"/>
  <c r="E262" i="38"/>
  <c r="E262" i="36"/>
  <c r="E259" i="31"/>
  <c r="E256" i="28"/>
  <c r="E265" i="28"/>
  <c r="E259" i="32"/>
  <c r="E264" i="34"/>
  <c r="E263" i="31"/>
  <c r="E264" i="35"/>
  <c r="E261" i="27"/>
  <c r="E263" i="32"/>
  <c r="E249" i="28"/>
  <c r="E264" i="37"/>
  <c r="E258" i="30"/>
  <c r="E235" i="30"/>
  <c r="E252" i="30"/>
  <c r="E244" i="30"/>
  <c r="E256" i="30"/>
  <c r="E250" i="30"/>
  <c r="E251" i="30"/>
  <c r="E234" i="30"/>
  <c r="E239" i="30"/>
  <c r="E238" i="30"/>
  <c r="E245" i="30"/>
  <c r="E248" i="30"/>
  <c r="E249" i="30"/>
  <c r="E243" i="30"/>
  <c r="E246" i="30"/>
  <c r="E253" i="30"/>
  <c r="E241" i="30"/>
  <c r="E255" i="30"/>
  <c r="E254" i="30"/>
  <c r="E257" i="30"/>
  <c r="E237" i="30"/>
  <c r="E247" i="30"/>
  <c r="E240" i="30"/>
  <c r="E242" i="30"/>
  <c r="E236" i="30"/>
  <c r="E264" i="30"/>
  <c r="E259" i="30"/>
  <c r="E262" i="35"/>
  <c r="E264" i="36"/>
  <c r="E259" i="34"/>
  <c r="E263" i="40"/>
  <c r="E260" i="33"/>
  <c r="E259" i="35"/>
  <c r="E262" i="37"/>
  <c r="E260" i="30"/>
  <c r="E264" i="38"/>
  <c r="E259" i="38"/>
  <c r="E262" i="40"/>
  <c r="E260" i="29"/>
  <c r="E252" i="28"/>
  <c r="E261" i="33"/>
  <c r="E260" i="31"/>
  <c r="E264" i="40"/>
  <c r="E259" i="36"/>
  <c r="E265" i="31"/>
  <c r="E261" i="30"/>
  <c r="E260" i="34"/>
  <c r="E258" i="29"/>
  <c r="E255" i="29"/>
  <c r="E242" i="29"/>
  <c r="E257" i="29"/>
  <c r="E244" i="29"/>
  <c r="E252" i="29"/>
  <c r="E246" i="29"/>
  <c r="E245" i="29"/>
  <c r="E256" i="29"/>
  <c r="E236" i="29"/>
  <c r="E239" i="29"/>
  <c r="E243" i="29"/>
  <c r="E249" i="29"/>
  <c r="E247" i="29"/>
  <c r="E241" i="29"/>
  <c r="E253" i="29"/>
  <c r="E240" i="29"/>
  <c r="E254" i="29"/>
  <c r="E235" i="29"/>
  <c r="E237" i="29"/>
  <c r="E238" i="29"/>
  <c r="E248" i="29"/>
  <c r="E250" i="29"/>
  <c r="E234" i="29"/>
  <c r="E251" i="29"/>
  <c r="E254" i="28"/>
  <c r="E258" i="36"/>
  <c r="E235" i="36"/>
  <c r="E246" i="36"/>
  <c r="E254" i="36"/>
  <c r="E249" i="36"/>
  <c r="E243" i="36"/>
  <c r="E241" i="36"/>
  <c r="E240" i="36"/>
  <c r="E257" i="36"/>
  <c r="E247" i="36"/>
  <c r="E252" i="36"/>
  <c r="E245" i="36"/>
  <c r="E250" i="36"/>
  <c r="E255" i="36"/>
  <c r="E236" i="36"/>
  <c r="E234" i="36"/>
  <c r="E248" i="36"/>
  <c r="E244" i="36"/>
  <c r="E242" i="36"/>
  <c r="E251" i="36"/>
  <c r="E253" i="36"/>
  <c r="E238" i="36"/>
  <c r="E256" i="36"/>
  <c r="E237" i="36"/>
  <c r="E239" i="36"/>
  <c r="E259" i="37"/>
  <c r="E265" i="32"/>
  <c r="E261" i="31"/>
  <c r="E260" i="35"/>
  <c r="E250" i="28"/>
  <c r="E258" i="35"/>
  <c r="E252" i="35"/>
  <c r="E235" i="35"/>
  <c r="E250" i="35"/>
  <c r="E234" i="35"/>
  <c r="E239" i="35"/>
  <c r="E236" i="35"/>
  <c r="E251" i="35"/>
  <c r="E249" i="35"/>
  <c r="E240" i="35"/>
  <c r="E246" i="35"/>
  <c r="E242" i="35"/>
  <c r="E245" i="35"/>
  <c r="E256" i="35"/>
  <c r="E254" i="35"/>
  <c r="E248" i="35"/>
  <c r="E253" i="35"/>
  <c r="E247" i="35"/>
  <c r="E241" i="35"/>
  <c r="E257" i="35"/>
  <c r="E244" i="35"/>
  <c r="E255" i="35"/>
  <c r="E243" i="35"/>
  <c r="E238" i="35"/>
  <c r="E237" i="35"/>
  <c r="E240" i="28"/>
  <c r="E258" i="37"/>
  <c r="E237" i="37"/>
  <c r="E239" i="37"/>
  <c r="E256" i="37"/>
  <c r="E244" i="37"/>
  <c r="E236" i="37"/>
  <c r="E253" i="37"/>
  <c r="E251" i="37"/>
  <c r="E257" i="37"/>
  <c r="E250" i="37"/>
  <c r="E255" i="37"/>
  <c r="E245" i="37"/>
  <c r="E238" i="37"/>
  <c r="E243" i="37"/>
  <c r="E235" i="37"/>
  <c r="E246" i="37"/>
  <c r="E247" i="37"/>
  <c r="E252" i="37"/>
  <c r="E249" i="37"/>
  <c r="E240" i="37"/>
  <c r="E254" i="37"/>
  <c r="E242" i="37"/>
  <c r="E248" i="37"/>
  <c r="E241" i="37"/>
  <c r="E234" i="37"/>
  <c r="E259" i="40"/>
  <c r="E265" i="33"/>
  <c r="E261" i="32"/>
  <c r="E260" i="37"/>
  <c r="E258" i="33"/>
  <c r="E245" i="33"/>
  <c r="E235" i="33"/>
  <c r="E241" i="33"/>
  <c r="E247" i="33"/>
  <c r="E234" i="33"/>
  <c r="E253" i="33"/>
  <c r="E257" i="33"/>
  <c r="E243" i="33"/>
  <c r="E251" i="33"/>
  <c r="E240" i="33"/>
  <c r="E255" i="33"/>
  <c r="E256" i="33"/>
  <c r="E249" i="33"/>
  <c r="E252" i="33"/>
  <c r="E239" i="33"/>
  <c r="E237" i="33"/>
  <c r="E254" i="33"/>
  <c r="E244" i="33"/>
  <c r="E238" i="33"/>
  <c r="E246" i="33"/>
  <c r="E250" i="33"/>
  <c r="E242" i="33"/>
  <c r="E236" i="33"/>
  <c r="E248" i="33"/>
  <c r="E258" i="38"/>
  <c r="E256" i="38"/>
  <c r="E236" i="38"/>
  <c r="E252" i="38"/>
  <c r="E242" i="38"/>
  <c r="E239" i="38"/>
  <c r="E235" i="38"/>
  <c r="E255" i="38"/>
  <c r="E251" i="38"/>
  <c r="E241" i="38"/>
  <c r="E243" i="38"/>
  <c r="E246" i="38"/>
  <c r="E245" i="38"/>
  <c r="E240" i="38"/>
  <c r="E248" i="38"/>
  <c r="E244" i="38"/>
  <c r="E250" i="38"/>
  <c r="E238" i="38"/>
  <c r="E253" i="38"/>
  <c r="E234" i="38"/>
  <c r="E249" i="38"/>
  <c r="E237" i="38"/>
  <c r="E257" i="38"/>
  <c r="E247" i="38"/>
  <c r="E254" i="38"/>
  <c r="E262" i="32"/>
  <c r="E265" i="30"/>
  <c r="E261" i="29"/>
  <c r="E260" i="38"/>
  <c r="E265" i="29"/>
  <c r="E263" i="28"/>
  <c r="E258" i="40"/>
  <c r="E248" i="40"/>
  <c r="E252" i="40"/>
  <c r="E236" i="40"/>
  <c r="E253" i="40"/>
  <c r="E238" i="40"/>
  <c r="E254" i="40"/>
  <c r="E239" i="40"/>
  <c r="E234" i="40"/>
  <c r="E243" i="40"/>
  <c r="E255" i="40"/>
  <c r="E240" i="40"/>
  <c r="E241" i="40"/>
  <c r="E251" i="40"/>
  <c r="E244" i="40"/>
  <c r="E237" i="40"/>
  <c r="E257" i="40"/>
  <c r="E235" i="40"/>
  <c r="E250" i="40"/>
  <c r="E249" i="40"/>
  <c r="E246" i="40"/>
  <c r="E242" i="40"/>
  <c r="E247" i="40"/>
  <c r="E256" i="40"/>
  <c r="E245" i="40"/>
  <c r="E262" i="29"/>
  <c r="E265" i="34"/>
  <c r="E261" i="35"/>
  <c r="E235" i="28"/>
  <c r="E261" i="28"/>
  <c r="E263" i="38"/>
  <c r="E262" i="31"/>
  <c r="E265" i="35"/>
  <c r="E261" i="34"/>
  <c r="E260" i="36"/>
  <c r="E260" i="32"/>
  <c r="E258" i="34"/>
  <c r="E254" i="34"/>
  <c r="E245" i="34"/>
  <c r="E234" i="34"/>
  <c r="E250" i="34"/>
  <c r="E253" i="34"/>
  <c r="E246" i="34"/>
  <c r="E238" i="34"/>
  <c r="E236" i="34"/>
  <c r="E247" i="34"/>
  <c r="E255" i="34"/>
  <c r="E248" i="34"/>
  <c r="E249" i="34"/>
  <c r="E243" i="34"/>
  <c r="E235" i="34"/>
  <c r="E237" i="34"/>
  <c r="E244" i="34"/>
  <c r="E251" i="34"/>
  <c r="E239" i="34"/>
  <c r="E252" i="34"/>
  <c r="E256" i="34"/>
  <c r="E257" i="34"/>
  <c r="E241" i="34"/>
  <c r="E242" i="34"/>
  <c r="E240" i="34"/>
  <c r="E264" i="29"/>
  <c r="E264" i="31"/>
  <c r="E263" i="30"/>
  <c r="E262" i="33"/>
  <c r="E265" i="36"/>
  <c r="E261" i="36"/>
  <c r="E260" i="40"/>
  <c r="E258" i="31"/>
  <c r="E241" i="31"/>
  <c r="E235" i="31"/>
  <c r="E234" i="31"/>
  <c r="E255" i="31"/>
  <c r="E242" i="31"/>
  <c r="E239" i="31"/>
  <c r="E249" i="31"/>
  <c r="E257" i="31"/>
  <c r="E254" i="31"/>
  <c r="E251" i="31"/>
  <c r="E250" i="31"/>
  <c r="E252" i="31"/>
  <c r="E236" i="31"/>
  <c r="E238" i="31"/>
  <c r="E243" i="31"/>
  <c r="E247" i="31"/>
  <c r="E245" i="31"/>
  <c r="E256" i="31"/>
  <c r="E246" i="31"/>
  <c r="E237" i="31"/>
  <c r="E253" i="31"/>
  <c r="E244" i="31"/>
  <c r="E240" i="31"/>
  <c r="E248" i="31"/>
  <c r="E248" i="25"/>
  <c r="E246" i="28"/>
  <c r="E264" i="32"/>
  <c r="E259" i="33"/>
  <c r="E262" i="30"/>
  <c r="E265" i="37"/>
  <c r="E261" i="37"/>
  <c r="E263" i="29"/>
  <c r="E258" i="32"/>
  <c r="E253" i="32"/>
  <c r="E234" i="32"/>
  <c r="E237" i="32"/>
  <c r="E236" i="32"/>
  <c r="E254" i="32"/>
  <c r="E244" i="32"/>
  <c r="E245" i="32"/>
  <c r="E242" i="32"/>
  <c r="E252" i="32"/>
  <c r="E256" i="32"/>
  <c r="E240" i="32"/>
  <c r="E247" i="32"/>
  <c r="E255" i="32"/>
  <c r="E241" i="32"/>
  <c r="E235" i="32"/>
  <c r="E239" i="32"/>
  <c r="E246" i="32"/>
  <c r="E243" i="32"/>
  <c r="E238" i="32"/>
  <c r="E249" i="32"/>
  <c r="E250" i="32"/>
  <c r="E248" i="32"/>
  <c r="E251" i="32"/>
  <c r="E257" i="32"/>
  <c r="E259" i="28"/>
  <c r="E263" i="33"/>
  <c r="E264" i="33"/>
  <c r="E259" i="29"/>
  <c r="E262" i="34"/>
  <c r="E265" i="38"/>
  <c r="E261" i="38"/>
  <c r="E263" i="35"/>
  <c r="E258" i="25"/>
  <c r="E258" i="28"/>
  <c r="E264" i="25"/>
  <c r="E256" i="24"/>
  <c r="E263" i="24"/>
  <c r="E262" i="24"/>
  <c r="E238" i="27"/>
  <c r="E238" i="25"/>
  <c r="E246" i="27"/>
  <c r="E235" i="24"/>
  <c r="E264" i="24"/>
  <c r="E242" i="27"/>
  <c r="E250" i="24"/>
  <c r="E264" i="28"/>
  <c r="E262" i="27"/>
  <c r="E244" i="24"/>
  <c r="E261" i="25"/>
  <c r="E262" i="25"/>
  <c r="E234" i="24"/>
  <c r="E240" i="24"/>
  <c r="E265" i="24"/>
  <c r="E254" i="25"/>
  <c r="E242" i="24"/>
  <c r="E236" i="28"/>
  <c r="E244" i="28"/>
  <c r="E253" i="25"/>
  <c r="E251" i="25"/>
  <c r="E250" i="25"/>
  <c r="E235" i="25"/>
  <c r="E234" i="25"/>
  <c r="E255" i="25"/>
  <c r="E249" i="25"/>
  <c r="E257" i="25"/>
  <c r="E247" i="25"/>
  <c r="E243" i="25"/>
  <c r="E239" i="25"/>
  <c r="E241" i="25"/>
  <c r="E245" i="25"/>
  <c r="E237" i="25"/>
  <c r="E256" i="25"/>
  <c r="E240" i="27"/>
  <c r="E258" i="27"/>
  <c r="E261" i="24"/>
  <c r="E251" i="24"/>
  <c r="E249" i="24"/>
  <c r="E253" i="24"/>
  <c r="E241" i="24"/>
  <c r="E239" i="24"/>
  <c r="E238" i="24"/>
  <c r="E255" i="24"/>
  <c r="E248" i="24"/>
  <c r="E257" i="24"/>
  <c r="E245" i="24"/>
  <c r="E247" i="24"/>
  <c r="E244" i="25"/>
  <c r="E254" i="24"/>
  <c r="E263" i="25"/>
  <c r="E234" i="27"/>
  <c r="E239" i="27"/>
  <c r="E243" i="27"/>
  <c r="E253" i="27"/>
  <c r="E260" i="27"/>
  <c r="E249" i="27"/>
  <c r="E251" i="27"/>
  <c r="E259" i="27"/>
  <c r="E263" i="27"/>
  <c r="E241" i="27"/>
  <c r="E245" i="27"/>
  <c r="E257" i="27"/>
  <c r="E255" i="27"/>
  <c r="E247" i="27"/>
  <c r="E237" i="27"/>
  <c r="E246" i="24"/>
  <c r="E252" i="27"/>
  <c r="E246" i="25"/>
  <c r="E236" i="27"/>
  <c r="E236" i="25"/>
  <c r="E236" i="24"/>
  <c r="E260" i="25"/>
  <c r="E254" i="27"/>
  <c r="E264" i="27"/>
  <c r="E244" i="27"/>
  <c r="E240" i="25"/>
  <c r="E252" i="24"/>
  <c r="E234" i="28"/>
  <c r="E251" i="28"/>
  <c r="E253" i="28"/>
  <c r="E260" i="28"/>
  <c r="E257" i="28"/>
  <c r="E255" i="28"/>
  <c r="E243" i="28"/>
  <c r="E245" i="28"/>
  <c r="E247" i="28"/>
  <c r="E239" i="28"/>
  <c r="E241" i="28"/>
  <c r="E237" i="28"/>
  <c r="E237" i="24"/>
  <c r="E235" i="27"/>
  <c r="E242" i="25"/>
  <c r="E258" i="24"/>
  <c r="E262" i="28"/>
  <c r="E265" i="25"/>
  <c r="E259" i="24"/>
  <c r="E243" i="24"/>
  <c r="E250" i="27"/>
  <c r="E256" i="27"/>
  <c r="E248" i="27"/>
  <c r="E252" i="25"/>
  <c r="E259" i="25"/>
  <c r="E260" i="24"/>
  <c r="E265" i="27"/>
  <c r="E249" i="2"/>
  <c r="E259" i="2"/>
  <c r="E244" i="2"/>
  <c r="E235" i="2"/>
  <c r="E237" i="2"/>
  <c r="E241" i="2"/>
  <c r="E248" i="2"/>
  <c r="E250" i="2"/>
  <c r="E234" i="2"/>
  <c r="E253" i="2"/>
  <c r="E243" i="2"/>
  <c r="E239" i="2"/>
  <c r="E265" i="2"/>
  <c r="E238" i="2"/>
  <c r="E242" i="2"/>
  <c r="E255" i="2"/>
  <c r="E254" i="2"/>
  <c r="E236" i="2"/>
  <c r="E245" i="2"/>
  <c r="E258" i="2"/>
  <c r="E256" i="2"/>
  <c r="E257" i="2"/>
  <c r="E240" i="2"/>
  <c r="E252" i="2"/>
  <c r="E246" i="2"/>
  <c r="E262" i="2"/>
  <c r="E247" i="2"/>
  <c r="E251" i="2"/>
  <c r="E264" i="2"/>
  <c r="E260" i="2"/>
  <c r="E263" i="2"/>
  <c r="E261" i="2"/>
  <c r="B156" i="41" l="1"/>
  <c r="B157" i="41" s="1"/>
  <c r="E266" i="41"/>
  <c r="E266" i="39"/>
  <c r="B156" i="39"/>
  <c r="B157" i="39" s="1"/>
  <c r="B156" i="33"/>
  <c r="E266" i="37"/>
  <c r="E266" i="32"/>
  <c r="B156" i="32"/>
  <c r="E266" i="31"/>
  <c r="B156" i="31"/>
  <c r="B156" i="34"/>
  <c r="E266" i="38"/>
  <c r="E266" i="35"/>
  <c r="E266" i="30"/>
  <c r="B156" i="35"/>
  <c r="B156" i="40"/>
  <c r="B157" i="40" s="1"/>
  <c r="E266" i="33"/>
  <c r="B156" i="37"/>
  <c r="B156" i="36"/>
  <c r="E266" i="36"/>
  <c r="E266" i="40"/>
  <c r="E266" i="29"/>
  <c r="B156" i="29"/>
  <c r="E266" i="34"/>
  <c r="B156" i="30"/>
  <c r="B156" i="38"/>
  <c r="E266" i="28"/>
  <c r="B156" i="25"/>
  <c r="B157" i="25" s="1"/>
  <c r="B156" i="27"/>
  <c r="B156" i="28"/>
  <c r="B157" i="28" s="1"/>
  <c r="E266" i="27"/>
  <c r="E266" i="24"/>
  <c r="E266" i="25"/>
  <c r="B156" i="24"/>
  <c r="B157" i="24" s="1"/>
  <c r="B156" i="2"/>
  <c r="B157" i="2" s="1"/>
  <c r="E266" i="2"/>
  <c r="F6" i="1"/>
  <c r="E7" i="1"/>
  <c r="E20" i="1"/>
  <c r="E19" i="1"/>
  <c r="E13" i="1"/>
  <c r="E10" i="1"/>
  <c r="E8" i="1"/>
  <c r="F20" i="1"/>
  <c r="E5" i="1"/>
  <c r="E16" i="1"/>
  <c r="E11" i="1"/>
  <c r="F8" i="1"/>
  <c r="E4" i="1"/>
  <c r="E18" i="1"/>
  <c r="F5" i="1"/>
  <c r="E14" i="1"/>
  <c r="E12" i="1"/>
  <c r="E17" i="1"/>
  <c r="E6" i="1"/>
  <c r="E15" i="1"/>
  <c r="E9" i="1"/>
  <c r="F4" i="1"/>
  <c r="B157" i="37" l="1"/>
  <c r="B157" i="36"/>
  <c r="B157" i="29"/>
  <c r="B157" i="30"/>
  <c r="B157" i="32"/>
  <c r="B157" i="38"/>
  <c r="B157" i="31"/>
  <c r="B157" i="35"/>
  <c r="B157" i="34"/>
  <c r="B157" i="33"/>
  <c r="B157" i="27"/>
  <c r="F19" i="1"/>
  <c r="F17" i="1"/>
  <c r="F10" i="1"/>
  <c r="F15" i="1"/>
  <c r="F14" i="1"/>
  <c r="F16" i="1"/>
  <c r="F7" i="1"/>
  <c r="F12" i="1"/>
  <c r="F11" i="1"/>
  <c r="F18" i="1"/>
  <c r="F9" i="1"/>
  <c r="F13" i="1"/>
  <c r="A20" i="1" l="1"/>
  <c r="A19" i="1"/>
  <c r="A18" i="1"/>
  <c r="A17" i="1"/>
  <c r="A16" i="1"/>
  <c r="A15" i="1"/>
  <c r="A14" i="1"/>
  <c r="A10" i="1"/>
  <c r="A13" i="1"/>
  <c r="A12" i="1"/>
  <c r="A11" i="1"/>
  <c r="A9" i="1"/>
  <c r="A7" i="1"/>
  <c r="A8" i="1"/>
  <c r="A6" i="1"/>
  <c r="A5" i="1"/>
  <c r="A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<sst xmlns="http://schemas.openxmlformats.org/spreadsheetml/2006/main" count="10777" uniqueCount="379">
  <si>
    <t>TOTO WM 2026 — Auswertung Gruppenphase</t>
  </si>
  <si>
    <t>Rang</t>
  </si>
  <si>
    <t>Name</t>
  </si>
  <si>
    <t>Spieltipps</t>
  </si>
  <si>
    <t>Tortipps</t>
  </si>
  <si>
    <t>Sechzehntel-
finalisten</t>
  </si>
  <si>
    <t>Total</t>
  </si>
  <si>
    <t>Nici</t>
  </si>
  <si>
    <t>Mads</t>
  </si>
  <si>
    <t>Nick</t>
  </si>
  <si>
    <t>Sebi</t>
  </si>
  <si>
    <t>Spieler hinzufügen:</t>
  </si>
  <si>
    <t>1. Rechtsklick auf ein bestehendes Spieler-Blatt → "Blatt verschieben oder kopieren" → "Kopie erstellen"</t>
  </si>
  <si>
    <t>2. Neues Blatt umbenennen (Rechtsklick → "Umbenennen") zum Namen des Spielers</t>
  </si>
  <si>
    <t>3. Hier auf der Auswertung den Namen in die nächste freie Zeile in Spalte B eintragen</t>
  </si>
  <si>
    <t>Spieler entfernen:</t>
  </si>
  <si>
    <t>1. Spieler-Blatt löschen (Rechtsklick → "Löschen")</t>
  </si>
  <si>
    <t>2. Namen aus Spalte B entfernen</t>
  </si>
  <si>
    <t>Gruppe A</t>
  </si>
  <si>
    <t>Gruppe B</t>
  </si>
  <si>
    <t>Gruppe C</t>
  </si>
  <si>
    <t>Gruppe D</t>
  </si>
  <si>
    <t>Gruppe E</t>
  </si>
  <si>
    <t>Gruppe F</t>
  </si>
  <si>
    <t>Runde 1</t>
  </si>
  <si>
    <t>Mexiko</t>
  </si>
  <si>
    <t>Südafrika</t>
  </si>
  <si>
    <t>Kanada</t>
  </si>
  <si>
    <t>Bosnien-Herz.</t>
  </si>
  <si>
    <t>Brasilien</t>
  </si>
  <si>
    <t>Marokko</t>
  </si>
  <si>
    <t>USA</t>
  </si>
  <si>
    <t>Paraguay</t>
  </si>
  <si>
    <t>Deutschland</t>
  </si>
  <si>
    <t>Curacao</t>
  </si>
  <si>
    <t>Niederlande</t>
  </si>
  <si>
    <t>Japan</t>
  </si>
  <si>
    <t>Südkorea</t>
  </si>
  <si>
    <t>Tschechien</t>
  </si>
  <si>
    <t>Katar</t>
  </si>
  <si>
    <t>Schweiz</t>
  </si>
  <si>
    <t>Haiti</t>
  </si>
  <si>
    <t>Schottland</t>
  </si>
  <si>
    <t>Australien</t>
  </si>
  <si>
    <t>Türkei</t>
  </si>
  <si>
    <t>Elfenbeinküste</t>
  </si>
  <si>
    <t>Ecuador</t>
  </si>
  <si>
    <t>Schweden</t>
  </si>
  <si>
    <t>Tunesien</t>
  </si>
  <si>
    <t>Runde 2</t>
  </si>
  <si>
    <t>Runde 3</t>
  </si>
  <si>
    <t>Land</t>
  </si>
  <si>
    <t>Punkte</t>
  </si>
  <si>
    <t>T</t>
  </si>
  <si>
    <t>GT</t>
  </si>
  <si>
    <t>TD</t>
  </si>
  <si>
    <t>Rangliste:</t>
  </si>
  <si>
    <t>Gruppe G</t>
  </si>
  <si>
    <t>Gruppe H</t>
  </si>
  <si>
    <t>Gruppe I</t>
  </si>
  <si>
    <t>Gruppe J</t>
  </si>
  <si>
    <t>Gruppe K</t>
  </si>
  <si>
    <t>Gruppe L</t>
  </si>
  <si>
    <t>Belgien</t>
  </si>
  <si>
    <t>Ägypten</t>
  </si>
  <si>
    <t>Spanien</t>
  </si>
  <si>
    <t>Kap Verde</t>
  </si>
  <si>
    <t>Frankreich</t>
  </si>
  <si>
    <t>Senegal</t>
  </si>
  <si>
    <t>Argentinien</t>
  </si>
  <si>
    <t>Algerien</t>
  </si>
  <si>
    <t>Portugal</t>
  </si>
  <si>
    <t>DR Kongo</t>
  </si>
  <si>
    <t>England</t>
  </si>
  <si>
    <t>Kroatien</t>
  </si>
  <si>
    <t>Iran</t>
  </si>
  <si>
    <t>Neuseeland</t>
  </si>
  <si>
    <t>Saudi-Arabien</t>
  </si>
  <si>
    <t>Uruguay</t>
  </si>
  <si>
    <t>Irak</t>
  </si>
  <si>
    <t>Norwegen</t>
  </si>
  <si>
    <t>Österreich</t>
  </si>
  <si>
    <t>Jordanien</t>
  </si>
  <si>
    <t>Usbekistan</t>
  </si>
  <si>
    <t>Kolumbien</t>
  </si>
  <si>
    <t>Ghana</t>
  </si>
  <si>
    <t>Panama</t>
  </si>
  <si>
    <t>Drittplatzierte</t>
  </si>
  <si>
    <t>Tore</t>
  </si>
  <si>
    <t>Gegentore</t>
  </si>
  <si>
    <t>Tordifferenz</t>
  </si>
  <si>
    <t>Punkteverteilung</t>
  </si>
  <si>
    <t>Richtiger Sieger/Unentschieden</t>
  </si>
  <si>
    <t>Richtige Toranzahl (-1 pro Abweichung)</t>
  </si>
  <si>
    <t>Richtiger Sechzehntelsfinalist</t>
  </si>
  <si>
    <t>Richtiger Achtelsfinalist</t>
  </si>
  <si>
    <t>Richtiger Viertelsfinalist</t>
  </si>
  <si>
    <t>Richtiger Halbfinalist</t>
  </si>
  <si>
    <t>Richtiger Finalist</t>
  </si>
  <si>
    <t>Richtiger Platz 3</t>
  </si>
  <si>
    <t>Richtiger Weltmeister</t>
  </si>
  <si>
    <t>Punkteberechnung</t>
  </si>
  <si>
    <t>Spieltipps (richtiger Sieger)</t>
  </si>
  <si>
    <t>Tortipps (richtige Toranzahl)</t>
  </si>
  <si>
    <t>Sechzehntelfinalisten</t>
  </si>
  <si>
    <t>TOTAL</t>
  </si>
  <si>
    <t>#</t>
  </si>
  <si>
    <t>Spiel</t>
  </si>
  <si>
    <t>Heim-Ref</t>
  </si>
  <si>
    <t>Gast-Ref</t>
  </si>
  <si>
    <t>Real-H</t>
  </si>
  <si>
    <t>Real-G</t>
  </si>
  <si>
    <t>Sieger</t>
  </si>
  <si>
    <t>A R1: Mexiko - Südafrika</t>
  </si>
  <si>
    <t>B5</t>
  </si>
  <si>
    <t>C5</t>
  </si>
  <si>
    <t>A R1: Südkorea - Tschechien</t>
  </si>
  <si>
    <t>B10</t>
  </si>
  <si>
    <t>C10</t>
  </si>
  <si>
    <t>A R2: Tschechien - Südafrika</t>
  </si>
  <si>
    <t>B16</t>
  </si>
  <si>
    <t>C16</t>
  </si>
  <si>
    <t>A R2: Mexiko - Südkorea</t>
  </si>
  <si>
    <t>B21</t>
  </si>
  <si>
    <t>C21</t>
  </si>
  <si>
    <t>A R3: Südafrika - Südkorea</t>
  </si>
  <si>
    <t>B27</t>
  </si>
  <si>
    <t>C27</t>
  </si>
  <si>
    <t>A R3: Tschechien - Mexiko</t>
  </si>
  <si>
    <t>B32</t>
  </si>
  <si>
    <t>C32</t>
  </si>
  <si>
    <t>B R1: Kanada - Bosnien-Herz.</t>
  </si>
  <si>
    <t>I5</t>
  </si>
  <si>
    <t>J5</t>
  </si>
  <si>
    <t>B R1: Katar - Schweiz</t>
  </si>
  <si>
    <t>I10</t>
  </si>
  <si>
    <t>J10</t>
  </si>
  <si>
    <t>B R2: Schweiz - Bosnien-Herz.</t>
  </si>
  <si>
    <t>I16</t>
  </si>
  <si>
    <t>J16</t>
  </si>
  <si>
    <t>B R2: Kanada - Katar</t>
  </si>
  <si>
    <t>I21</t>
  </si>
  <si>
    <t>J21</t>
  </si>
  <si>
    <t>B R3: Bosnien-Herz. - Katar</t>
  </si>
  <si>
    <t>I27</t>
  </si>
  <si>
    <t>J27</t>
  </si>
  <si>
    <t>B R3: Schweiz - Kanada</t>
  </si>
  <si>
    <t>I32</t>
  </si>
  <si>
    <t>J32</t>
  </si>
  <si>
    <t>C R1: Brasilien - Marokko</t>
  </si>
  <si>
    <t>P5</t>
  </si>
  <si>
    <t>Q5</t>
  </si>
  <si>
    <t>C R1: Haiti - Schottland</t>
  </si>
  <si>
    <t>P10</t>
  </si>
  <si>
    <t>Q10</t>
  </si>
  <si>
    <t>C R2: Schottland - Marokko</t>
  </si>
  <si>
    <t>P16</t>
  </si>
  <si>
    <t>Q16</t>
  </si>
  <si>
    <t>C R2: Brasilien - Haiti</t>
  </si>
  <si>
    <t>P21</t>
  </si>
  <si>
    <t>Q21</t>
  </si>
  <si>
    <t>C R3: Marokko - Haiti</t>
  </si>
  <si>
    <t>P27</t>
  </si>
  <si>
    <t>Q27</t>
  </si>
  <si>
    <t>C R3: Schottland - Brasilien</t>
  </si>
  <si>
    <t>P32</t>
  </si>
  <si>
    <t>Q32</t>
  </si>
  <si>
    <t>D R1: USA - Paraguay</t>
  </si>
  <si>
    <t>W5</t>
  </si>
  <si>
    <t>X5</t>
  </si>
  <si>
    <t>D R1: Australien - Türkei</t>
  </si>
  <si>
    <t>W10</t>
  </si>
  <si>
    <t>X10</t>
  </si>
  <si>
    <t>D R2: Türkei - Paraguay</t>
  </si>
  <si>
    <t>W16</t>
  </si>
  <si>
    <t>X16</t>
  </si>
  <si>
    <t>D R2: USA - Australien</t>
  </si>
  <si>
    <t>W21</t>
  </si>
  <si>
    <t>X21</t>
  </si>
  <si>
    <t>D R3: Paraguay - Australien</t>
  </si>
  <si>
    <t>W27</t>
  </si>
  <si>
    <t>X27</t>
  </si>
  <si>
    <t>D R3: Türkei - USA</t>
  </si>
  <si>
    <t>W32</t>
  </si>
  <si>
    <t>X32</t>
  </si>
  <si>
    <t>E R1: Deutschland - Curacao</t>
  </si>
  <si>
    <t>AD5</t>
  </si>
  <si>
    <t>AE5</t>
  </si>
  <si>
    <t>E R1: Elfenbeinküste - Ecuador</t>
  </si>
  <si>
    <t>AD10</t>
  </si>
  <si>
    <t>AE10</t>
  </si>
  <si>
    <t>E R2: Ecuador - Curacao</t>
  </si>
  <si>
    <t>AD16</t>
  </si>
  <si>
    <t>AE16</t>
  </si>
  <si>
    <t>E R2: Deutschland - Elfenbeinküste</t>
  </si>
  <si>
    <t>AD21</t>
  </si>
  <si>
    <t>AE21</t>
  </si>
  <si>
    <t>E R3: Curacao - Elfenbeinküste</t>
  </si>
  <si>
    <t>AD27</t>
  </si>
  <si>
    <t>AE27</t>
  </si>
  <si>
    <t>E R3: Ecuador - Deutschland</t>
  </si>
  <si>
    <t>AD32</t>
  </si>
  <si>
    <t>AE32</t>
  </si>
  <si>
    <t>F R1: Niederlande - Japan</t>
  </si>
  <si>
    <t>AK5</t>
  </si>
  <si>
    <t>AL5</t>
  </si>
  <si>
    <t>F R1: Schweden - Tunesien</t>
  </si>
  <si>
    <t>AK10</t>
  </si>
  <si>
    <t>AL10</t>
  </si>
  <si>
    <t>F R2: Tunesien - Japan</t>
  </si>
  <si>
    <t>AK16</t>
  </si>
  <si>
    <t>AL16</t>
  </si>
  <si>
    <t>F R2: Niederlande - Schweden</t>
  </si>
  <si>
    <t>AK21</t>
  </si>
  <si>
    <t>AL21</t>
  </si>
  <si>
    <t>F R3: Japan - Schweden</t>
  </si>
  <si>
    <t>AK27</t>
  </si>
  <si>
    <t>AL27</t>
  </si>
  <si>
    <t>F R3: Tunesien - Niederlande</t>
  </si>
  <si>
    <t>AK32</t>
  </si>
  <si>
    <t>AL32</t>
  </si>
  <si>
    <t>G R1: Belgien - Ägypten</t>
  </si>
  <si>
    <t>B52</t>
  </si>
  <si>
    <t>C52</t>
  </si>
  <si>
    <t>G R1: Iran - Neuseeland</t>
  </si>
  <si>
    <t>B57</t>
  </si>
  <si>
    <t>C57</t>
  </si>
  <si>
    <t>G R2: Belgien - Iran</t>
  </si>
  <si>
    <t>B63</t>
  </si>
  <si>
    <t>C63</t>
  </si>
  <si>
    <t>G R2: Neuseeland - Ägypten</t>
  </si>
  <si>
    <t>B68</t>
  </si>
  <si>
    <t>C68</t>
  </si>
  <si>
    <t>G R3: Neuseeland - Belgien</t>
  </si>
  <si>
    <t>B74</t>
  </si>
  <si>
    <t>C74</t>
  </si>
  <si>
    <t>G R3: Ägypten - Iran</t>
  </si>
  <si>
    <t>B79</t>
  </si>
  <si>
    <t>C79</t>
  </si>
  <si>
    <t>H R1: Spanien - Kap Verde</t>
  </si>
  <si>
    <t>I52</t>
  </si>
  <si>
    <t>J52</t>
  </si>
  <si>
    <t>H R1: Saudi-Arabien - Uruguay</t>
  </si>
  <si>
    <t>I57</t>
  </si>
  <si>
    <t>J57</t>
  </si>
  <si>
    <t>H R2: Spanien - Saudi-Arabien</t>
  </si>
  <si>
    <t>I63</t>
  </si>
  <si>
    <t>J63</t>
  </si>
  <si>
    <t>H R2: Uruguay - Kap Verde</t>
  </si>
  <si>
    <t>I68</t>
  </si>
  <si>
    <t>J68</t>
  </si>
  <si>
    <t>H R3: Uruguay - Spanien</t>
  </si>
  <si>
    <t>I74</t>
  </si>
  <si>
    <t>J74</t>
  </si>
  <si>
    <t>H R3: Kap Verde - Saudi-Arabien</t>
  </si>
  <si>
    <t>I79</t>
  </si>
  <si>
    <t>J79</t>
  </si>
  <si>
    <t>I R1: Frankreich - Senegal</t>
  </si>
  <si>
    <t>P52</t>
  </si>
  <si>
    <t>Q52</t>
  </si>
  <si>
    <t>I R1: Irak - Norwegen</t>
  </si>
  <si>
    <t>P57</t>
  </si>
  <si>
    <t>Q57</t>
  </si>
  <si>
    <t>I R2: Frankreich - Irak</t>
  </si>
  <si>
    <t>P63</t>
  </si>
  <si>
    <t>Q63</t>
  </si>
  <si>
    <t>I R2: Norwegen - Senegal</t>
  </si>
  <si>
    <t>P68</t>
  </si>
  <si>
    <t>Q68</t>
  </si>
  <si>
    <t>I R3: Norwegen - Frankreich</t>
  </si>
  <si>
    <t>P74</t>
  </si>
  <si>
    <t>Q74</t>
  </si>
  <si>
    <t>I R3: Senegal - Irak</t>
  </si>
  <si>
    <t>P79</t>
  </si>
  <si>
    <t>Q79</t>
  </si>
  <si>
    <t>J R1: Argentinien - Algerien</t>
  </si>
  <si>
    <t>W52</t>
  </si>
  <si>
    <t>X52</t>
  </si>
  <si>
    <t>J R1: Österreich - Jordanien</t>
  </si>
  <si>
    <t>W57</t>
  </si>
  <si>
    <t>X57</t>
  </si>
  <si>
    <t>J R2: Argentinien - Österreich</t>
  </si>
  <si>
    <t>W63</t>
  </si>
  <si>
    <t>X63</t>
  </si>
  <si>
    <t>J R2: Jordanien - Algerien</t>
  </si>
  <si>
    <t>W68</t>
  </si>
  <si>
    <t>X68</t>
  </si>
  <si>
    <t>J R3: Jordanien - Argentinien</t>
  </si>
  <si>
    <t>W74</t>
  </si>
  <si>
    <t>X74</t>
  </si>
  <si>
    <t>J R3: Algerien - Österreich</t>
  </si>
  <si>
    <t>W79</t>
  </si>
  <si>
    <t>X79</t>
  </si>
  <si>
    <t>K R1: Portugal - DR Kongo</t>
  </si>
  <si>
    <t>AD52</t>
  </si>
  <si>
    <t>AE52</t>
  </si>
  <si>
    <t>K R1: Usbekistan - Kolumbien</t>
  </si>
  <si>
    <t>AD57</t>
  </si>
  <si>
    <t>AE57</t>
  </si>
  <si>
    <t>K R2: Portugal - Usbekistan</t>
  </si>
  <si>
    <t>AD63</t>
  </si>
  <si>
    <t>AE63</t>
  </si>
  <si>
    <t>K R2: Kolumbien - DR Kongo</t>
  </si>
  <si>
    <t>AD68</t>
  </si>
  <si>
    <t>AE68</t>
  </si>
  <si>
    <t>K R3: Kolumbien - Portugal</t>
  </si>
  <si>
    <t>AD74</t>
  </si>
  <si>
    <t>AE74</t>
  </si>
  <si>
    <t>K R3: DR Kongo - Usbekistan</t>
  </si>
  <si>
    <t>AD79</t>
  </si>
  <si>
    <t>AE79</t>
  </si>
  <si>
    <t>L R1: England - Kroatien</t>
  </si>
  <si>
    <t>AK52</t>
  </si>
  <si>
    <t>AL52</t>
  </si>
  <si>
    <t>L R1: Ghana - Panama</t>
  </si>
  <si>
    <t>AK57</t>
  </si>
  <si>
    <t>AL57</t>
  </si>
  <si>
    <t>L R2: England - Ghana</t>
  </si>
  <si>
    <t>AK63</t>
  </si>
  <si>
    <t>AL63</t>
  </si>
  <si>
    <t>L R2: Panama - Kroatien</t>
  </si>
  <si>
    <t>AK68</t>
  </si>
  <si>
    <t>AL68</t>
  </si>
  <si>
    <t>L R3: Panama - England</t>
  </si>
  <si>
    <t>AK74</t>
  </si>
  <si>
    <t>AL74</t>
  </si>
  <si>
    <t>L R3: Kroatien - Ghana</t>
  </si>
  <si>
    <t>AK79</t>
  </si>
  <si>
    <t>AL79</t>
  </si>
  <si>
    <t>Sechzehntelfinalisten-Vergleich</t>
  </si>
  <si>
    <t>Summe:</t>
  </si>
  <si>
    <t>Quelle</t>
  </si>
  <si>
    <t>Tatsächlich</t>
  </si>
  <si>
    <t>Mein Tipp</t>
  </si>
  <si>
    <t>Gr. A Platz 1</t>
  </si>
  <si>
    <t>Gr. A Platz 2</t>
  </si>
  <si>
    <t>Gr. B Platz 1</t>
  </si>
  <si>
    <t>Gr. B Platz 2</t>
  </si>
  <si>
    <t>Gr. C Platz 1</t>
  </si>
  <si>
    <t>Gr. C Platz 2</t>
  </si>
  <si>
    <t>Gr. D Platz 1</t>
  </si>
  <si>
    <t>Gr. D Platz 2</t>
  </si>
  <si>
    <t>Gr. E Platz 1</t>
  </si>
  <si>
    <t>Gr. E Platz 2</t>
  </si>
  <si>
    <t>Gr. F Platz 1</t>
  </si>
  <si>
    <t>Gr. F Platz 2</t>
  </si>
  <si>
    <t>Gr. G Platz 1</t>
  </si>
  <si>
    <t>Gr. G Platz 2</t>
  </si>
  <si>
    <t>Gr. H Platz 1</t>
  </si>
  <si>
    <t>Gr. H Platz 2</t>
  </si>
  <si>
    <t>Gr. I Platz 1</t>
  </si>
  <si>
    <t>Gr. I Platz 2</t>
  </si>
  <si>
    <t>Gr. J Platz 1</t>
  </si>
  <si>
    <t>Gr. J Platz 2</t>
  </si>
  <si>
    <t>Gr. K Platz 1</t>
  </si>
  <si>
    <t>Gr. K Platz 2</t>
  </si>
  <si>
    <t>Gr. L Platz 1</t>
  </si>
  <si>
    <t>Gr. L Platz 2</t>
  </si>
  <si>
    <t>Bester Dritter #1</t>
  </si>
  <si>
    <t>Bester Dritter #2</t>
  </si>
  <si>
    <t>Bester Dritter #3</t>
  </si>
  <si>
    <t>Bester Dritter #4</t>
  </si>
  <si>
    <t>Bester Dritter #5</t>
  </si>
  <si>
    <t>Bester Dritter #6</t>
  </si>
  <si>
    <t>Bester Dritter #7</t>
  </si>
  <si>
    <t>Bester Dritter #8</t>
  </si>
  <si>
    <t>Julius</t>
  </si>
  <si>
    <t>Dennis</t>
  </si>
  <si>
    <t>Heidi</t>
  </si>
  <si>
    <t>Mirco</t>
  </si>
  <si>
    <t>Tobe</t>
  </si>
  <si>
    <t>Urs</t>
  </si>
  <si>
    <t>Max</t>
  </si>
  <si>
    <t>Vito+Jonas</t>
  </si>
  <si>
    <t>Colin</t>
  </si>
  <si>
    <t>Fabian</t>
  </si>
  <si>
    <t>Leonard</t>
  </si>
  <si>
    <t>Linda</t>
  </si>
  <si>
    <t>Claude (out of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</si>
</sst>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sz val="11"/>
      <color rgb="FF3F3F76"/>
      <name val="Aptos Narrow"/>
      <family val="2"/>
      <scheme val="minor"/>
    </font>
    <font>
      <sz val="11"/>
      <color theme="1"/>
      <name val="Arial Black"/>
      <family val="2"/>
    </font>
    <font>
      <sz val="20"/>
      <color theme="1"/>
      <name val="Arial Black"/>
      <family val="2"/>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006100"/>
      <name val="Arial Black"/>
      <family val="2"/>
    </font>
    <font>
      <sz val="11"/>
      <color rgb="FF9C5700"/>
      <name val="Arial Black"/>
      <family val="2"/>
    </font>
    <font>
      <sz val="11"/>
      <color rgb="FF9C0006"/>
      <name val="Arial Black"/>
      <family val="2"/>
    </font>
    <font>
      <sz val="14"/>
      <color theme="1"/>
      <name val="Arial Black"/>
      <family val="2"/>
    </font>
    <font>
      <b/>
      <sz val="14"/>
      <name val="Arial Black"/>
    </font>
    <font>
      <b/>
      <sz val="10"/>
      <name val="Arial"/>
    </font>
    <font>
      <b/>
      <sz val="9"/>
      <color rgb="FFFFFFFF"/>
      <name val="Arial"/>
    </font>
    <font>
      <sz val="9"/>
      <name val="Arial"/>
    </font>
    <font>
      <sz val="8"/>
      <color rgb="FF999999"/>
      <name val="Arial"/>
    </font>
    <font>
      <b/>
      <sz val="11"/>
      <name val="Arial Black"/>
    </font>
    <font>
      <b/>
      <sz val="10"/>
      <color rgb="FFFFFFFF"/>
      <name val="Arial"/>
    </font>
    <font>
      <sz val="10"/>
      <name val="Arial"/>
    </font>
    <font>
      <sz val="9"/>
      <color rgb="FF666666"/>
      <name val="Arial"/>
    </font>
    <font>
      <b/>
      <sz val="11"/>
      <color rgb="FF3F3F76"/>
      <name val="Aptos Narrow"/>
      <scheme val="minor"/>
    </font>
    <font>
      <sz val="11"/>
      <color rgb="FF000000"/>
      <name val="Aptos Narrow"/>
      <scheme val="minor"/>
    </font>
    <font>
      <sz val="11"/>
      <color rgb="FF000000"/>
      <name val="Aptos Narrow"/>
      <family val="2"/>
      <scheme val="minor"/>
    </font>
    <font>
      <sz val="20"/>
      <color rgb="FF000000"/>
      <name val="Arial Black"/>
    </font>
    <font>
      <sz val="11"/>
      <color rgb="FF000000"/>
      <name val="Arial Black"/>
    </font>
    <font>
      <sz val="11"/>
      <color rgb="FF3F3F76"/>
      <name val="Aptos Narrow"/>
    </font>
    <font>
      <sz val="11"/>
      <color rgb="FF006100"/>
      <name val="Aptos Narrow"/>
    </font>
    <font>
      <sz val="11"/>
      <color rgb="FF000000"/>
      <name val="Aptos Narrow"/>
    </font>
    <font>
      <sz val="11"/>
      <color rgb="FF9C5700"/>
      <name val="Aptos Narrow"/>
    </font>
    <font>
      <sz val="11"/>
      <color rgb="FF9C0006"/>
      <name val="Aptos Narrow"/>
    </font>
    <font>
      <sz val="11"/>
      <color rgb="FF006100"/>
      <name val="Arial Black"/>
    </font>
    <font>
      <sz val="11"/>
      <color rgb="FF9C5700"/>
      <name val="Arial Black"/>
    </font>
    <font>
      <sz val="11"/>
      <color rgb="FF9C0006"/>
      <name val="Arial Black"/>
    </font>
    <font>
      <sz val="14"/>
      <color rgb="FF000000"/>
      <name val="Arial Black"/>
    </font>
    <font>
      <sz val="11"/>
      <color theme="1"/>
      <name val="Aptos Narrow"/>
      <family val="2"/>
      <charset val="1"/>
    </font>
    <font>
      <sz val="20"/>
      <color theme="1"/>
      <name val="Arial Black"/>
      <family val="2"/>
      <charset val="1"/>
    </font>
    <font>
      <sz val="11"/>
      <color theme="1"/>
      <name val="Arial Black"/>
      <family val="2"/>
      <charset val="1"/>
    </font>
    <font>
      <sz val="11"/>
      <color rgb="FF3F3F76"/>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sz val="11"/>
      <color rgb="FF006100"/>
      <name val="Arial Black"/>
      <family val="2"/>
      <charset val="1"/>
    </font>
    <font>
      <sz val="11"/>
      <color rgb="FF9C5700"/>
      <name val="Arial Black"/>
      <family val="2"/>
      <charset val="1"/>
    </font>
    <font>
      <sz val="11"/>
      <color rgb="FF9C0006"/>
      <name val="Arial Black"/>
      <family val="2"/>
      <charset val="1"/>
    </font>
    <font>
      <sz val="14"/>
      <color theme="1"/>
      <name val="Arial Black"/>
      <family val="2"/>
      <charset val="1"/>
    </font>
  </fonts>
  <fills count="21">
    <fill>
      <patternFill patternType="none"/>
    </fill>
    <fill>
      <patternFill patternType="gray125"/>
    </fill>
    <fill>
      <patternFill patternType="solid">
        <fgColor rgb="FFFFCC99"/>
      </patternFill>
    </fill>
    <fill>
      <patternFill patternType="solid">
        <fgColor theme="9"/>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D6E4F0"/>
      </patternFill>
    </fill>
    <fill>
      <patternFill patternType="solid">
        <fgColor rgb="FF4472C4"/>
      </patternFill>
    </fill>
    <fill>
      <patternFill patternType="solid">
        <fgColor rgb="FF2F5496"/>
      </patternFill>
    </fill>
    <fill>
      <patternFill patternType="solid">
        <fgColor rgb="FFFFCC99"/>
        <bgColor rgb="FFFFCC9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0"/>
        <bgColor rgb="FFFFFFCC"/>
      </patternFill>
    </fill>
    <fill>
      <patternFill patternType="solid">
        <fgColor rgb="FFFFCC99"/>
        <bgColor rgb="FFFFC7CE"/>
      </patternFill>
    </fill>
    <fill>
      <patternFill patternType="solid">
        <fgColor theme="9"/>
        <bgColor rgb="FF808000"/>
      </patternFill>
    </fill>
    <fill>
      <patternFill patternType="solid">
        <fgColor rgb="FFC6EFCE"/>
        <bgColor rgb="FFCCFFFF"/>
      </patternFill>
    </fill>
    <fill>
      <patternFill patternType="solid">
        <fgColor rgb="FFFFEB9C"/>
        <bgColor rgb="FFFFFFCC"/>
      </patternFill>
    </fill>
    <fill>
      <patternFill patternType="solid">
        <fgColor rgb="FFFFC7CE"/>
        <bgColor rgb="FFFFCC99"/>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style="thin">
        <color rgb="FFB4B4B4"/>
      </left>
      <right style="thin">
        <color rgb="FFB4B4B4"/>
      </right>
      <top style="thin">
        <color rgb="FFB4B4B4"/>
      </top>
      <bottom style="thin">
        <color rgb="FFB4B4B4"/>
      </bottom>
      <diagonal/>
    </border>
  </borders>
  <cellStyleXfs count="11">
    <xf numFmtId="0" fontId="0" fillId="0" borderId="0"/>
    <xf numFmtId="0" fontId="1" fillId="2" borderId="1"/>
    <xf numFmtId="0" fontId="4" fillId="5" borderId="0"/>
    <xf numFmtId="0" fontId="5" fillId="6" borderId="0"/>
    <xf numFmtId="0" fontId="6" fillId="7" borderId="0"/>
    <xf numFmtId="0" fontId="5" fillId="6" borderId="0" applyNumberFormat="0" applyBorder="0" applyAlignment="0" applyProtection="0"/>
    <xf numFmtId="0" fontId="4" fillId="5" borderId="0" applyNumberFormat="0" applyBorder="0" applyAlignment="0" applyProtection="0"/>
    <xf numFmtId="0" fontId="6" fillId="7" borderId="0" applyNumberFormat="0" applyBorder="0" applyAlignment="0" applyProtection="0"/>
    <xf numFmtId="0" fontId="1" fillId="2" borderId="1" applyNumberFormat="0" applyAlignment="0" applyProtection="0"/>
    <xf numFmtId="0" fontId="21" fillId="0" borderId="0"/>
    <xf numFmtId="0" fontId="34" fillId="0" borderId="0"/>
  </cellStyleXfs>
  <cellXfs count="96">
    <xf numFmtId="0" fontId="0" fillId="0" borderId="0" xfId="0"/>
    <xf numFmtId="0" fontId="2" fillId="0" borderId="0" xfId="0" applyFont="1" applyAlignment="1">
      <alignment horizontal="center"/>
    </xf>
    <xf numFmtId="0" fontId="2" fillId="0" borderId="0" xfId="0" applyFont="1"/>
    <xf numFmtId="0" fontId="1" fillId="2" borderId="1" xfId="1" applyAlignment="1">
      <alignment horizontal="center"/>
    </xf>
    <xf numFmtId="0" fontId="2" fillId="4" borderId="0" xfId="0" applyFont="1" applyFill="1"/>
    <xf numFmtId="0" fontId="2" fillId="4" borderId="0" xfId="0" applyFont="1" applyFill="1" applyAlignment="1">
      <alignment horizontal="right"/>
    </xf>
    <xf numFmtId="0" fontId="2" fillId="4" borderId="0" xfId="0" applyFont="1" applyFill="1" applyAlignment="1">
      <alignment horizontal="center"/>
    </xf>
    <xf numFmtId="0" fontId="4" fillId="4" borderId="0" xfId="2" applyFill="1"/>
    <xf numFmtId="0" fontId="6" fillId="4" borderId="0" xfId="4" applyFill="1"/>
    <xf numFmtId="0" fontId="5" fillId="4" borderId="0" xfId="3" applyFill="1"/>
    <xf numFmtId="0" fontId="7" fillId="5" borderId="0" xfId="2" applyFont="1"/>
    <xf numFmtId="0" fontId="8" fillId="7" borderId="0" xfId="4" applyFont="1"/>
    <xf numFmtId="0" fontId="9" fillId="6" borderId="0" xfId="3" applyFont="1"/>
    <xf numFmtId="0" fontId="0" fillId="4" borderId="0" xfId="0" applyFill="1"/>
    <xf numFmtId="0" fontId="3" fillId="0" borderId="0" xfId="0" applyFont="1" applyAlignment="1">
      <alignment horizontal="center"/>
    </xf>
    <xf numFmtId="0" fontId="10" fillId="0" borderId="0" xfId="0" applyFont="1" applyAlignment="1">
      <alignment horizontal="center" vertical="center"/>
    </xf>
    <xf numFmtId="0" fontId="10" fillId="0" borderId="0" xfId="0" applyFont="1" applyAlignment="1">
      <alignment horizontal="left" vertical="center"/>
    </xf>
    <xf numFmtId="0" fontId="3" fillId="4" borderId="0" xfId="0" applyFont="1" applyFill="1"/>
    <xf numFmtId="0" fontId="10" fillId="0" borderId="0" xfId="0" applyFont="1"/>
    <xf numFmtId="0" fontId="17" fillId="10" borderId="3" xfId="0" applyFont="1" applyFill="1" applyBorder="1" applyAlignment="1">
      <alignment horizontal="center" wrapText="1"/>
    </xf>
    <xf numFmtId="0" fontId="12" fillId="0" borderId="3" xfId="0" applyFont="1" applyBorder="1" applyAlignment="1">
      <alignment horizontal="center"/>
    </xf>
    <xf numFmtId="0" fontId="18" fillId="0" borderId="3" xfId="0" applyFont="1" applyBorder="1"/>
    <xf numFmtId="0" fontId="14" fillId="0" borderId="3" xfId="0" applyFont="1" applyBorder="1" applyAlignment="1">
      <alignment horizontal="center"/>
    </xf>
    <xf numFmtId="0" fontId="12" fillId="0" borderId="0" xfId="0" applyFont="1"/>
    <xf numFmtId="0" fontId="12" fillId="0" borderId="0" xfId="0" applyFont="1" applyAlignment="1">
      <alignment horizontal="center"/>
    </xf>
    <xf numFmtId="0" fontId="12" fillId="8" borderId="0" xfId="0" applyFont="1" applyFill="1"/>
    <xf numFmtId="0" fontId="12" fillId="8" borderId="0" xfId="0" applyFont="1" applyFill="1" applyAlignment="1">
      <alignment horizontal="center"/>
    </xf>
    <xf numFmtId="0" fontId="13" fillId="9" borderId="3" xfId="0" applyFont="1" applyFill="1" applyBorder="1" applyAlignment="1">
      <alignment horizontal="center"/>
    </xf>
    <xf numFmtId="0" fontId="14" fillId="0" borderId="0" xfId="0" applyFont="1" applyAlignment="1">
      <alignment horizontal="center"/>
    </xf>
    <xf numFmtId="0" fontId="14" fillId="0" borderId="0" xfId="0" applyFont="1"/>
    <xf numFmtId="0" fontId="15" fillId="0" borderId="0" xfId="0" applyFont="1"/>
    <xf numFmtId="0" fontId="16" fillId="0" borderId="0" xfId="0" applyFont="1"/>
    <xf numFmtId="0" fontId="9" fillId="6" borderId="0" xfId="5" applyFont="1"/>
    <xf numFmtId="0" fontId="7" fillId="5" borderId="0" xfId="6" applyFont="1"/>
    <xf numFmtId="0" fontId="8" fillId="7" borderId="0" xfId="7" applyFont="1"/>
    <xf numFmtId="0" fontId="5" fillId="4" borderId="0" xfId="5" applyFill="1"/>
    <xf numFmtId="0" fontId="6" fillId="4" borderId="0" xfId="7" applyFill="1"/>
    <xf numFmtId="0" fontId="4" fillId="4" borderId="0" xfId="6" applyFill="1"/>
    <xf numFmtId="0" fontId="1" fillId="2" borderId="1" xfId="8" applyAlignment="1">
      <alignment horizontal="center"/>
    </xf>
    <xf numFmtId="0" fontId="20" fillId="2" borderId="1" xfId="8" applyFont="1" applyAlignment="1">
      <alignment horizontal="center"/>
    </xf>
    <xf numFmtId="0" fontId="22" fillId="0" borderId="0" xfId="9" applyFont="1"/>
    <xf numFmtId="0" fontId="23" fillId="0" borderId="0" xfId="9" applyFont="1"/>
    <xf numFmtId="0" fontId="23" fillId="0" borderId="0" xfId="9" applyFont="1" applyAlignment="1">
      <alignment horizontal="center"/>
    </xf>
    <xf numFmtId="0" fontId="24" fillId="0" borderId="0" xfId="9" applyFont="1"/>
    <xf numFmtId="0" fontId="24" fillId="0" borderId="0" xfId="9" applyFont="1" applyAlignment="1">
      <alignment horizontal="center"/>
    </xf>
    <xf numFmtId="0" fontId="25" fillId="11" borderId="1" xfId="9" applyFont="1" applyFill="1" applyBorder="1" applyAlignment="1">
      <alignment horizontal="center"/>
    </xf>
    <xf numFmtId="0" fontId="24" fillId="0" borderId="0" xfId="9" applyFont="1" applyAlignment="1">
      <alignment horizontal="right"/>
    </xf>
    <xf numFmtId="0" fontId="26" fillId="0" borderId="0" xfId="9" applyFont="1"/>
    <xf numFmtId="0" fontId="27" fillId="0" borderId="0" xfId="9" applyFont="1"/>
    <xf numFmtId="0" fontId="28" fillId="0" borderId="0" xfId="9" applyFont="1"/>
    <xf numFmtId="0" fontId="29" fillId="0" borderId="0" xfId="9" applyFont="1"/>
    <xf numFmtId="0" fontId="30" fillId="12" borderId="0" xfId="9" applyFont="1" applyFill="1"/>
    <xf numFmtId="0" fontId="31" fillId="13" borderId="0" xfId="9" applyFont="1" applyFill="1"/>
    <xf numFmtId="0" fontId="32" fillId="14" borderId="0" xfId="9" applyFont="1" applyFill="1"/>
    <xf numFmtId="0" fontId="33" fillId="0" borderId="0" xfId="9" applyFont="1" applyAlignment="1">
      <alignment horizontal="left" vertical="center"/>
    </xf>
    <xf numFmtId="0" fontId="33" fillId="0" borderId="0" xfId="9" applyFont="1" applyAlignment="1">
      <alignment horizontal="center" vertical="center"/>
    </xf>
    <xf numFmtId="0" fontId="33" fillId="0" borderId="0" xfId="9" applyFont="1"/>
    <xf numFmtId="0" fontId="35" fillId="15" borderId="0" xfId="10" applyFont="1" applyFill="1"/>
    <xf numFmtId="0" fontId="36" fillId="15" borderId="0" xfId="10" applyFont="1" applyFill="1"/>
    <xf numFmtId="0" fontId="36" fillId="15" borderId="0" xfId="10" applyFont="1" applyFill="1" applyAlignment="1">
      <alignment horizontal="center"/>
    </xf>
    <xf numFmtId="0" fontId="36" fillId="0" borderId="0" xfId="10" applyFont="1"/>
    <xf numFmtId="0" fontId="36" fillId="0" borderId="0" xfId="10" applyFont="1" applyAlignment="1">
      <alignment horizontal="center"/>
    </xf>
    <xf numFmtId="0" fontId="37" fillId="16" borderId="1" xfId="10" applyFont="1" applyFill="1" applyBorder="1" applyAlignment="1">
      <alignment horizontal="center"/>
    </xf>
    <xf numFmtId="0" fontId="36" fillId="15" borderId="0" xfId="10" applyFont="1" applyFill="1" applyAlignment="1">
      <alignment horizontal="right"/>
    </xf>
    <xf numFmtId="0" fontId="38" fillId="15" borderId="0" xfId="10" applyFont="1" applyFill="1"/>
    <xf numFmtId="0" fontId="34" fillId="15" borderId="0" xfId="10" applyFill="1"/>
    <xf numFmtId="0" fontId="39" fillId="15" borderId="0" xfId="10" applyFont="1" applyFill="1"/>
    <xf numFmtId="0" fontId="40" fillId="15" borderId="0" xfId="10" applyFont="1" applyFill="1"/>
    <xf numFmtId="0" fontId="41" fillId="18" borderId="0" xfId="10" applyFont="1" applyFill="1"/>
    <xf numFmtId="0" fontId="42" fillId="19" borderId="0" xfId="10" applyFont="1" applyFill="1"/>
    <xf numFmtId="0" fontId="43" fillId="20" borderId="0" xfId="10" applyFont="1" applyFill="1"/>
    <xf numFmtId="0" fontId="35" fillId="0" borderId="0" xfId="10" applyFont="1" applyAlignment="1">
      <alignment horizontal="center"/>
    </xf>
    <xf numFmtId="0" fontId="44" fillId="0" borderId="0" xfId="10" applyFont="1" applyAlignment="1">
      <alignment horizontal="left" vertical="center"/>
    </xf>
    <xf numFmtId="0" fontId="44" fillId="0" borderId="0" xfId="10" applyFont="1" applyAlignment="1">
      <alignment horizontal="center" vertical="center"/>
    </xf>
    <xf numFmtId="0" fontId="44" fillId="0" borderId="0" xfId="10" applyFont="1"/>
    <xf numFmtId="0" fontId="11" fillId="0" borderId="0" xfId="0" applyFont="1"/>
    <xf numFmtId="0" fontId="0" fillId="0" borderId="0" xfId="0"/>
    <xf numFmtId="0" fontId="19" fillId="0" borderId="0" xfId="0" applyFont="1"/>
    <xf numFmtId="0" fontId="12" fillId="0" borderId="0" xfId="0" applyFont="1"/>
    <xf numFmtId="0" fontId="3" fillId="4" borderId="0" xfId="0" applyFont="1" applyFill="1" applyAlignment="1">
      <alignment horizontal="center"/>
    </xf>
    <xf numFmtId="0" fontId="2" fillId="3" borderId="2"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xf numFmtId="0" fontId="2" fillId="4" borderId="0" xfId="0" applyFont="1" applyFill="1" applyAlignment="1">
      <alignment horizontal="center"/>
    </xf>
    <xf numFmtId="0" fontId="24" fillId="0" borderId="0" xfId="9" applyFont="1" applyAlignment="1">
      <alignment horizontal="center"/>
    </xf>
    <xf numFmtId="0" fontId="22" fillId="0" borderId="0" xfId="9" applyFont="1"/>
    <xf numFmtId="0" fontId="23" fillId="0" borderId="0" xfId="9" applyFont="1" applyAlignment="1">
      <alignment horizontal="center"/>
    </xf>
    <xf numFmtId="0" fontId="24" fillId="0" borderId="2" xfId="9" applyFont="1" applyBorder="1" applyAlignment="1">
      <alignment horizontal="center"/>
    </xf>
    <xf numFmtId="0" fontId="22" fillId="0" borderId="2" xfId="9" applyFont="1" applyBorder="1"/>
    <xf numFmtId="0" fontId="24" fillId="0" borderId="0" xfId="9" applyFont="1" applyAlignment="1">
      <alignment horizontal="left"/>
    </xf>
    <xf numFmtId="0" fontId="36" fillId="0" borderId="0" xfId="10" applyFont="1" applyAlignment="1">
      <alignment horizontal="left"/>
    </xf>
    <xf numFmtId="0" fontId="36" fillId="0" borderId="0" xfId="10" applyFont="1" applyAlignment="1">
      <alignment horizontal="center"/>
    </xf>
    <xf numFmtId="0" fontId="36" fillId="17" borderId="2" xfId="10" applyFont="1" applyFill="1" applyBorder="1" applyAlignment="1">
      <alignment horizontal="center"/>
    </xf>
    <xf numFmtId="0" fontId="35" fillId="15" borderId="0" xfId="10" applyFont="1" applyFill="1" applyAlignment="1">
      <alignment horizontal="center"/>
    </xf>
    <xf numFmtId="0" fontId="0" fillId="0" borderId="2" xfId="0" applyBorder="1"/>
  </cellXfs>
  <cellStyles count="11">
    <cellStyle name="Bad" xfId="3" builtinId="27"/>
    <cellStyle name="Bad 2" xfId="5" xr:uid="{ECF08FBE-101B-4317-BDEA-7DAF5D0AFA76}"/>
    <cellStyle name="Good" xfId="2" builtinId="26"/>
    <cellStyle name="Good 2" xfId="6" xr:uid="{0CC678F2-8C11-418F-AD27-11CE97BC3945}"/>
    <cellStyle name="Input" xfId="1" builtinId="20"/>
    <cellStyle name="Input 2" xfId="8" xr:uid="{3163C443-8CBC-4356-8B62-9ABC2FA2F158}"/>
    <cellStyle name="Neutral" xfId="4" builtinId="28"/>
    <cellStyle name="Neutral 2" xfId="7" xr:uid="{8C0D6043-282B-4B76-8970-DAED77C507C2}"/>
    <cellStyle name="Normal" xfId="0" builtinId="0"/>
    <cellStyle name="Normal 2" xfId="9" xr:uid="{2A5AF887-3598-4C00-B4BB-5C9C54874411}"/>
    <cellStyle name="Normal 3" xfId="10" xr:uid="{77158AE2-E4BB-4098-9CF2-5862127AAC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A977E8D6-2F2F-4D16-93B9-C71B7EC3FB36}"/>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7BF0224A-A7F5-4E5A-A1D3-EDFB03825E5F}"/>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26581531-9A05-4ED6-BA40-5862DA0FA6F7}"/>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600114E8-B395-428F-AD61-93E8AB68813F}"/>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080C5D90-0FB8-40C4-BF9A-AE50F45F2943}"/>
            </a:ext>
          </a:extLst>
        </xdr:cNvPr>
        <xdr:cNvSpPr txBox="1"/>
      </xdr:nvSpPr>
      <xdr:spPr>
        <a:xfrm>
          <a:off x="11887200" y="22677120"/>
          <a:ext cx="713232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85471914-6D29-422A-88E0-12B52BB73857}"/>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060A6D1A-CF4D-44F6-9D2A-9D8981127672}"/>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4966C0D2-3B42-4364-83FF-0077DC277512}"/>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E5E49B6B-4A71-4FE5-B990-783AE4B5E49E}"/>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907798AE-A32B-4F6F-95C3-D77252965427}"/>
            </a:ext>
          </a:extLst>
        </xdr:cNvPr>
        <xdr:cNvSpPr txBox="1"/>
      </xdr:nvSpPr>
      <xdr:spPr>
        <a:xfrm>
          <a:off x="10309860" y="27843480"/>
          <a:ext cx="749808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D706AC59-D0E4-4F50-9C6D-583418BF1FAF}"/>
            </a:ext>
          </a:extLst>
        </xdr:cNvPr>
        <xdr:cNvSpPr txBox="1"/>
      </xdr:nvSpPr>
      <xdr:spPr>
        <a:xfrm>
          <a:off x="10309860" y="27843480"/>
          <a:ext cx="749808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F775556A-A4FC-4B7F-9EB3-2A52AD55BD6F}"/>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B1C581F5-BADB-48D0-93FB-1DCA667CCB56}"/>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workbookViewId="0">
      <selection activeCell="D15" sqref="D15"/>
    </sheetView>
  </sheetViews>
  <sheetFormatPr defaultColWidth="8.77734375" defaultRowHeight="14.4" x14ac:dyDescent="0.3"/>
  <cols>
    <col min="1" max="1" width="7" customWidth="1"/>
    <col min="2" max="2" width="18" customWidth="1"/>
    <col min="3" max="4" width="12" customWidth="1"/>
    <col min="5" max="5" width="15" customWidth="1"/>
    <col min="6" max="6" width="10" customWidth="1"/>
  </cols>
  <sheetData>
    <row r="1" spans="1:6" ht="21" x14ac:dyDescent="0.5">
      <c r="A1" s="75" t="s">
        <v>0</v>
      </c>
      <c r="B1" s="76"/>
      <c r="C1" s="76"/>
      <c r="D1" s="76"/>
      <c r="E1" s="76"/>
      <c r="F1" s="76"/>
    </row>
    <row r="3" spans="1:6" ht="27" x14ac:dyDescent="0.3">
      <c r="A3" s="19" t="s">
        <v>1</v>
      </c>
      <c r="B3" s="19" t="s">
        <v>2</v>
      </c>
      <c r="C3" s="19" t="s">
        <v>3</v>
      </c>
      <c r="D3" s="19" t="s">
        <v>4</v>
      </c>
      <c r="E3" s="19" t="s">
        <v>5</v>
      </c>
      <c r="F3" s="19" t="s">
        <v>6</v>
      </c>
    </row>
    <row r="4" spans="1:6" x14ac:dyDescent="0.3">
      <c r="A4" s="20">
        <f t="shared" ref="A4" ca="1" si="0">IF(B4="","",RANK(F4,$F$4:$F$43))</f>
        <v>15</v>
      </c>
      <c r="B4" s="21" t="s">
        <v>10</v>
      </c>
      <c r="C4" s="22">
        <f t="shared" ref="C4:C43" ca="1" si="1">IF(B4="","",INDIRECT("'"&amp;B4&amp;"'!B154"))</f>
        <v>190</v>
      </c>
      <c r="D4" s="22">
        <f t="shared" ref="D4" ca="1" si="2">IF(B4="","",INDIRECT("'"&amp;B4&amp;"'!B155"))</f>
        <v>205</v>
      </c>
      <c r="E4" s="22">
        <f t="shared" ref="E4" ca="1" si="3">IF(B4="","",INDIRECT("'"&amp;B4&amp;"'!B156"))</f>
        <v>135</v>
      </c>
      <c r="F4" s="20">
        <f t="shared" ref="F4" ca="1" si="4">IF(B4="","",INDIRECT("'"&amp;B4&amp;"'!B157"))</f>
        <v>530</v>
      </c>
    </row>
    <row r="5" spans="1:6" x14ac:dyDescent="0.3">
      <c r="A5" s="20">
        <f t="shared" ref="A5" ca="1" si="5">IF(B5="","",RANK(F5,$F$4:$F$43))</f>
        <v>9</v>
      </c>
      <c r="B5" s="21" t="s">
        <v>9</v>
      </c>
      <c r="C5" s="22">
        <f t="shared" ca="1" si="1"/>
        <v>220</v>
      </c>
      <c r="D5" s="22">
        <f t="shared" ref="D5" ca="1" si="6">IF(B5="","",INDIRECT("'"&amp;B5&amp;"'!B155"))</f>
        <v>202</v>
      </c>
      <c r="E5" s="22">
        <f t="shared" ref="E5" ca="1" si="7">IF(B5="","",INDIRECT("'"&amp;B5&amp;"'!B156"))</f>
        <v>135</v>
      </c>
      <c r="F5" s="20">
        <f t="shared" ref="F5" ca="1" si="8">IF(B5="","",INDIRECT("'"&amp;B5&amp;"'!B157"))</f>
        <v>557</v>
      </c>
    </row>
    <row r="6" spans="1:6" x14ac:dyDescent="0.3">
      <c r="A6" s="20">
        <f t="shared" ref="A6:A9" ca="1" si="9">IF(B6="","",RANK(F6,$F$4:$F$43))</f>
        <v>14</v>
      </c>
      <c r="B6" s="21" t="s">
        <v>7</v>
      </c>
      <c r="C6" s="22">
        <f t="shared" ca="1" si="1"/>
        <v>190</v>
      </c>
      <c r="D6" s="22">
        <f t="shared" ref="D6:D9" ca="1" si="10">IF(B6="","",INDIRECT("'"&amp;B6&amp;"'!B155"))</f>
        <v>216</v>
      </c>
      <c r="E6" s="22">
        <f t="shared" ref="E6:E9" ca="1" si="11">IF(B6="","",INDIRECT("'"&amp;B6&amp;"'!B156"))</f>
        <v>125</v>
      </c>
      <c r="F6" s="20">
        <f t="shared" ref="F6:F9" ca="1" si="12">IF(B6="","",INDIRECT("'"&amp;B6&amp;"'!B157"))</f>
        <v>531</v>
      </c>
    </row>
    <row r="7" spans="1:6" x14ac:dyDescent="0.3">
      <c r="A7" s="20">
        <f t="shared" ca="1" si="9"/>
        <v>13</v>
      </c>
      <c r="B7" s="21" t="s">
        <v>8</v>
      </c>
      <c r="C7" s="22">
        <f t="shared" ca="1" si="1"/>
        <v>215</v>
      </c>
      <c r="D7" s="22">
        <f t="shared" ca="1" si="10"/>
        <v>188</v>
      </c>
      <c r="E7" s="22">
        <f t="shared" ca="1" si="11"/>
        <v>135</v>
      </c>
      <c r="F7" s="20">
        <f t="shared" ca="1" si="12"/>
        <v>538</v>
      </c>
    </row>
    <row r="8" spans="1:6" x14ac:dyDescent="0.3">
      <c r="A8" s="20">
        <f t="shared" ca="1" si="9"/>
        <v>2</v>
      </c>
      <c r="B8" s="21" t="s">
        <v>366</v>
      </c>
      <c r="C8" s="22">
        <f t="shared" ca="1" si="1"/>
        <v>225</v>
      </c>
      <c r="D8" s="22">
        <f t="shared" ca="1" si="10"/>
        <v>221</v>
      </c>
      <c r="E8" s="22">
        <f t="shared" ca="1" si="11"/>
        <v>135</v>
      </c>
      <c r="F8" s="20">
        <f t="shared" ca="1" si="12"/>
        <v>581</v>
      </c>
    </row>
    <row r="9" spans="1:6" x14ac:dyDescent="0.3">
      <c r="A9" s="20">
        <f t="shared" ca="1" si="9"/>
        <v>3</v>
      </c>
      <c r="B9" s="21" t="s">
        <v>367</v>
      </c>
      <c r="C9" s="22">
        <f t="shared" ca="1" si="1"/>
        <v>215</v>
      </c>
      <c r="D9" s="22">
        <f t="shared" ca="1" si="10"/>
        <v>233</v>
      </c>
      <c r="E9" s="22">
        <f t="shared" ca="1" si="11"/>
        <v>130</v>
      </c>
      <c r="F9" s="20">
        <f t="shared" ca="1" si="12"/>
        <v>578</v>
      </c>
    </row>
    <row r="10" spans="1:6" x14ac:dyDescent="0.3">
      <c r="A10" s="20">
        <f t="shared" ref="A10:A43" ca="1" si="13">IF(B10="","",RANK(F10,$F$4:$F$43))</f>
        <v>6</v>
      </c>
      <c r="B10" s="21" t="s">
        <v>368</v>
      </c>
      <c r="C10" s="22">
        <f t="shared" ca="1" si="1"/>
        <v>215</v>
      </c>
      <c r="D10" s="22">
        <f t="shared" ref="D10:D43" ca="1" si="14">IF(B10="","",INDIRECT("'"&amp;B10&amp;"'!B155"))</f>
        <v>218</v>
      </c>
      <c r="E10" s="22">
        <f t="shared" ref="E10:E43" ca="1" si="15">IF(B10="","",INDIRECT("'"&amp;B10&amp;"'!B156"))</f>
        <v>130</v>
      </c>
      <c r="F10" s="20">
        <f t="shared" ref="F10:F43" ca="1" si="16">IF(B10="","",INDIRECT("'"&amp;B10&amp;"'!B157"))</f>
        <v>563</v>
      </c>
    </row>
    <row r="11" spans="1:6" x14ac:dyDescent="0.3">
      <c r="A11" s="20">
        <f t="shared" ca="1" si="13"/>
        <v>12</v>
      </c>
      <c r="B11" s="21" t="s">
        <v>369</v>
      </c>
      <c r="C11" s="22">
        <f t="shared" ca="1" si="1"/>
        <v>195</v>
      </c>
      <c r="D11" s="22">
        <f t="shared" ca="1" si="14"/>
        <v>213</v>
      </c>
      <c r="E11" s="22">
        <f t="shared" ca="1" si="15"/>
        <v>140</v>
      </c>
      <c r="F11" s="20">
        <f t="shared" ca="1" si="16"/>
        <v>548</v>
      </c>
    </row>
    <row r="12" spans="1:6" x14ac:dyDescent="0.3">
      <c r="A12" s="20">
        <f t="shared" ca="1" si="13"/>
        <v>17</v>
      </c>
      <c r="B12" s="21" t="s">
        <v>370</v>
      </c>
      <c r="C12" s="22">
        <f t="shared" ca="1" si="1"/>
        <v>170</v>
      </c>
      <c r="D12" s="22">
        <f t="shared" ca="1" si="14"/>
        <v>198</v>
      </c>
      <c r="E12" s="22">
        <f t="shared" ca="1" si="15"/>
        <v>125</v>
      </c>
      <c r="F12" s="20">
        <f t="shared" ca="1" si="16"/>
        <v>493</v>
      </c>
    </row>
    <row r="13" spans="1:6" x14ac:dyDescent="0.3">
      <c r="A13" s="20">
        <f t="shared" ca="1" si="13"/>
        <v>4</v>
      </c>
      <c r="B13" s="21" t="s">
        <v>371</v>
      </c>
      <c r="C13" s="22">
        <f t="shared" ca="1" si="1"/>
        <v>225</v>
      </c>
      <c r="D13" s="22">
        <f t="shared" ca="1" si="14"/>
        <v>221</v>
      </c>
      <c r="E13" s="22">
        <f t="shared" ca="1" si="15"/>
        <v>130</v>
      </c>
      <c r="F13" s="20">
        <f t="shared" ca="1" si="16"/>
        <v>576</v>
      </c>
    </row>
    <row r="14" spans="1:6" x14ac:dyDescent="0.3">
      <c r="A14" s="20">
        <f t="shared" ca="1" si="13"/>
        <v>7</v>
      </c>
      <c r="B14" s="21" t="s">
        <v>372</v>
      </c>
      <c r="C14" s="22">
        <f t="shared" ca="1" si="1"/>
        <v>215</v>
      </c>
      <c r="D14" s="22">
        <f t="shared" ca="1" si="14"/>
        <v>222</v>
      </c>
      <c r="E14" s="22">
        <f t="shared" ca="1" si="15"/>
        <v>125</v>
      </c>
      <c r="F14" s="20">
        <f t="shared" ca="1" si="16"/>
        <v>562</v>
      </c>
    </row>
    <row r="15" spans="1:6" x14ac:dyDescent="0.3">
      <c r="A15" s="20">
        <f t="shared" ca="1" si="13"/>
        <v>11</v>
      </c>
      <c r="B15" s="21" t="s">
        <v>373</v>
      </c>
      <c r="C15" s="22">
        <f t="shared" ca="1" si="1"/>
        <v>210</v>
      </c>
      <c r="D15" s="22">
        <f t="shared" ca="1" si="14"/>
        <v>209</v>
      </c>
      <c r="E15" s="22">
        <f t="shared" ca="1" si="15"/>
        <v>135</v>
      </c>
      <c r="F15" s="20">
        <f t="shared" ca="1" si="16"/>
        <v>554</v>
      </c>
    </row>
    <row r="16" spans="1:6" x14ac:dyDescent="0.3">
      <c r="A16" s="20">
        <f t="shared" ca="1" si="13"/>
        <v>1</v>
      </c>
      <c r="B16" s="21" t="s">
        <v>374</v>
      </c>
      <c r="C16" s="22">
        <f t="shared" ca="1" si="1"/>
        <v>235</v>
      </c>
      <c r="D16" s="22">
        <f t="shared" ca="1" si="14"/>
        <v>238</v>
      </c>
      <c r="E16" s="22">
        <f t="shared" ca="1" si="15"/>
        <v>135</v>
      </c>
      <c r="F16" s="20">
        <f t="shared" ca="1" si="16"/>
        <v>608</v>
      </c>
    </row>
    <row r="17" spans="1:6" x14ac:dyDescent="0.3">
      <c r="A17" s="20">
        <f t="shared" ca="1" si="13"/>
        <v>16</v>
      </c>
      <c r="B17" s="21" t="s">
        <v>375</v>
      </c>
      <c r="C17" s="22">
        <f t="shared" ca="1" si="1"/>
        <v>185</v>
      </c>
      <c r="D17" s="22">
        <f t="shared" ca="1" si="14"/>
        <v>203</v>
      </c>
      <c r="E17" s="22">
        <f t="shared" ca="1" si="15"/>
        <v>120</v>
      </c>
      <c r="F17" s="20">
        <f t="shared" ca="1" si="16"/>
        <v>508</v>
      </c>
    </row>
    <row r="18" spans="1:6" x14ac:dyDescent="0.3">
      <c r="A18" s="20">
        <f t="shared" ca="1" si="13"/>
        <v>10</v>
      </c>
      <c r="B18" s="21" t="s">
        <v>376</v>
      </c>
      <c r="C18" s="22">
        <f t="shared" ca="1" si="1"/>
        <v>210</v>
      </c>
      <c r="D18" s="22">
        <f t="shared" ca="1" si="14"/>
        <v>215</v>
      </c>
      <c r="E18" s="22">
        <f t="shared" ca="1" si="15"/>
        <v>130</v>
      </c>
      <c r="F18" s="20">
        <f t="shared" ca="1" si="16"/>
        <v>555</v>
      </c>
    </row>
    <row r="19" spans="1:6" x14ac:dyDescent="0.3">
      <c r="A19" s="20">
        <f t="shared" ca="1" si="13"/>
        <v>8</v>
      </c>
      <c r="B19" s="21" t="s">
        <v>377</v>
      </c>
      <c r="C19" s="22">
        <f t="shared" ca="1" si="1"/>
        <v>215</v>
      </c>
      <c r="D19" s="22">
        <f t="shared" ca="1" si="14"/>
        <v>208</v>
      </c>
      <c r="E19" s="22">
        <f t="shared" ca="1" si="15"/>
        <v>135</v>
      </c>
      <c r="F19" s="20">
        <f t="shared" ca="1" si="16"/>
        <v>558</v>
      </c>
    </row>
    <row r="20" spans="1:6" x14ac:dyDescent="0.3">
      <c r="A20" s="20">
        <f t="shared" ca="1" si="13"/>
        <v>4</v>
      </c>
      <c r="B20" s="21" t="s">
        <v>378</v>
      </c>
      <c r="C20" s="22">
        <f t="shared" ca="1" si="1"/>
        <v>220</v>
      </c>
      <c r="D20" s="22">
        <f t="shared" ca="1" si="14"/>
        <v>226</v>
      </c>
      <c r="E20" s="22">
        <f t="shared" ca="1" si="15"/>
        <v>130</v>
      </c>
      <c r="F20" s="20">
        <f t="shared" ca="1" si="16"/>
        <v>576</v>
      </c>
    </row>
    <row r="21" spans="1:6" x14ac:dyDescent="0.3">
      <c r="A21" s="20" t="str">
        <f t="shared" si="13"/>
        <v/>
      </c>
      <c r="B21" s="21"/>
      <c r="C21" s="22" t="str">
        <f t="shared" ca="1" si="1"/>
        <v/>
      </c>
      <c r="D21" s="22" t="str">
        <f t="shared" ca="1" si="14"/>
        <v/>
      </c>
      <c r="E21" s="22" t="str">
        <f t="shared" ca="1" si="15"/>
        <v/>
      </c>
      <c r="F21" s="20" t="str">
        <f t="shared" ca="1" si="16"/>
        <v/>
      </c>
    </row>
    <row r="22" spans="1:6" x14ac:dyDescent="0.3">
      <c r="A22" s="20" t="str">
        <f t="shared" si="13"/>
        <v/>
      </c>
      <c r="B22" s="21"/>
      <c r="C22" s="22" t="str">
        <f t="shared" ca="1" si="1"/>
        <v/>
      </c>
      <c r="D22" s="22" t="str">
        <f t="shared" ca="1" si="14"/>
        <v/>
      </c>
      <c r="E22" s="22" t="str">
        <f t="shared" ca="1" si="15"/>
        <v/>
      </c>
      <c r="F22" s="20" t="str">
        <f t="shared" ca="1" si="16"/>
        <v/>
      </c>
    </row>
    <row r="23" spans="1:6" x14ac:dyDescent="0.3">
      <c r="A23" s="20" t="str">
        <f t="shared" si="13"/>
        <v/>
      </c>
      <c r="B23" s="21"/>
      <c r="C23" s="22" t="str">
        <f t="shared" ca="1" si="1"/>
        <v/>
      </c>
      <c r="D23" s="22" t="str">
        <f t="shared" ca="1" si="14"/>
        <v/>
      </c>
      <c r="E23" s="22" t="str">
        <f t="shared" ca="1" si="15"/>
        <v/>
      </c>
      <c r="F23" s="20" t="str">
        <f t="shared" ca="1" si="16"/>
        <v/>
      </c>
    </row>
    <row r="24" spans="1:6" x14ac:dyDescent="0.3">
      <c r="A24" s="20" t="str">
        <f t="shared" si="13"/>
        <v/>
      </c>
      <c r="B24" s="21"/>
      <c r="C24" s="22" t="str">
        <f t="shared" ca="1" si="1"/>
        <v/>
      </c>
      <c r="D24" s="22" t="str">
        <f t="shared" ca="1" si="14"/>
        <v/>
      </c>
      <c r="E24" s="22" t="str">
        <f t="shared" ca="1" si="15"/>
        <v/>
      </c>
      <c r="F24" s="20" t="str">
        <f t="shared" ca="1" si="16"/>
        <v/>
      </c>
    </row>
    <row r="25" spans="1:6" x14ac:dyDescent="0.3">
      <c r="A25" s="20" t="str">
        <f t="shared" si="13"/>
        <v/>
      </c>
      <c r="B25" s="21"/>
      <c r="C25" s="22" t="str">
        <f t="shared" ca="1" si="1"/>
        <v/>
      </c>
      <c r="D25" s="22" t="str">
        <f t="shared" ca="1" si="14"/>
        <v/>
      </c>
      <c r="E25" s="22" t="str">
        <f t="shared" ca="1" si="15"/>
        <v/>
      </c>
      <c r="F25" s="20" t="str">
        <f t="shared" ca="1" si="16"/>
        <v/>
      </c>
    </row>
    <row r="26" spans="1:6" x14ac:dyDescent="0.3">
      <c r="A26" s="20" t="str">
        <f t="shared" si="13"/>
        <v/>
      </c>
      <c r="B26" s="21"/>
      <c r="C26" s="22" t="str">
        <f t="shared" ca="1" si="1"/>
        <v/>
      </c>
      <c r="D26" s="22" t="str">
        <f t="shared" ca="1" si="14"/>
        <v/>
      </c>
      <c r="E26" s="22" t="str">
        <f t="shared" ca="1" si="15"/>
        <v/>
      </c>
      <c r="F26" s="20" t="str">
        <f t="shared" ca="1" si="16"/>
        <v/>
      </c>
    </row>
    <row r="27" spans="1:6" x14ac:dyDescent="0.3">
      <c r="A27" s="20" t="str">
        <f t="shared" si="13"/>
        <v/>
      </c>
      <c r="B27" s="21"/>
      <c r="C27" s="22" t="str">
        <f t="shared" ca="1" si="1"/>
        <v/>
      </c>
      <c r="D27" s="22" t="str">
        <f t="shared" ca="1" si="14"/>
        <v/>
      </c>
      <c r="E27" s="22" t="str">
        <f t="shared" ca="1" si="15"/>
        <v/>
      </c>
      <c r="F27" s="20" t="str">
        <f t="shared" ca="1" si="16"/>
        <v/>
      </c>
    </row>
    <row r="28" spans="1:6" x14ac:dyDescent="0.3">
      <c r="A28" s="20" t="str">
        <f t="shared" si="13"/>
        <v/>
      </c>
      <c r="B28" s="21"/>
      <c r="C28" s="22" t="str">
        <f t="shared" ca="1" si="1"/>
        <v/>
      </c>
      <c r="D28" s="22" t="str">
        <f t="shared" ca="1" si="14"/>
        <v/>
      </c>
      <c r="E28" s="22" t="str">
        <f t="shared" ca="1" si="15"/>
        <v/>
      </c>
      <c r="F28" s="20" t="str">
        <f t="shared" ca="1" si="16"/>
        <v/>
      </c>
    </row>
    <row r="29" spans="1:6" x14ac:dyDescent="0.3">
      <c r="A29" s="20" t="str">
        <f t="shared" si="13"/>
        <v/>
      </c>
      <c r="B29" s="21"/>
      <c r="C29" s="22" t="str">
        <f t="shared" ca="1" si="1"/>
        <v/>
      </c>
      <c r="D29" s="22" t="str">
        <f t="shared" ca="1" si="14"/>
        <v/>
      </c>
      <c r="E29" s="22" t="str">
        <f t="shared" ca="1" si="15"/>
        <v/>
      </c>
      <c r="F29" s="20" t="str">
        <f t="shared" ca="1" si="16"/>
        <v/>
      </c>
    </row>
    <row r="30" spans="1:6" x14ac:dyDescent="0.3">
      <c r="A30" s="20" t="str">
        <f t="shared" si="13"/>
        <v/>
      </c>
      <c r="B30" s="21"/>
      <c r="C30" s="22" t="str">
        <f t="shared" ca="1" si="1"/>
        <v/>
      </c>
      <c r="D30" s="22" t="str">
        <f t="shared" ca="1" si="14"/>
        <v/>
      </c>
      <c r="E30" s="22" t="str">
        <f t="shared" ca="1" si="15"/>
        <v/>
      </c>
      <c r="F30" s="20" t="str">
        <f t="shared" ca="1" si="16"/>
        <v/>
      </c>
    </row>
    <row r="31" spans="1:6" x14ac:dyDescent="0.3">
      <c r="A31" s="20" t="str">
        <f t="shared" si="13"/>
        <v/>
      </c>
      <c r="B31" s="21"/>
      <c r="C31" s="22" t="str">
        <f t="shared" ca="1" si="1"/>
        <v/>
      </c>
      <c r="D31" s="22" t="str">
        <f t="shared" ca="1" si="14"/>
        <v/>
      </c>
      <c r="E31" s="22" t="str">
        <f t="shared" ca="1" si="15"/>
        <v/>
      </c>
      <c r="F31" s="20" t="str">
        <f t="shared" ca="1" si="16"/>
        <v/>
      </c>
    </row>
    <row r="32" spans="1:6" x14ac:dyDescent="0.3">
      <c r="A32" s="20" t="str">
        <f t="shared" si="13"/>
        <v/>
      </c>
      <c r="B32" s="21"/>
      <c r="C32" s="22" t="str">
        <f t="shared" ca="1" si="1"/>
        <v/>
      </c>
      <c r="D32" s="22" t="str">
        <f t="shared" ca="1" si="14"/>
        <v/>
      </c>
      <c r="E32" s="22" t="str">
        <f t="shared" ca="1" si="15"/>
        <v/>
      </c>
      <c r="F32" s="20" t="str">
        <f t="shared" ca="1" si="16"/>
        <v/>
      </c>
    </row>
    <row r="33" spans="1:6" x14ac:dyDescent="0.3">
      <c r="A33" s="20" t="str">
        <f t="shared" si="13"/>
        <v/>
      </c>
      <c r="B33" s="21"/>
      <c r="C33" s="22" t="str">
        <f t="shared" ca="1" si="1"/>
        <v/>
      </c>
      <c r="D33" s="22" t="str">
        <f t="shared" ca="1" si="14"/>
        <v/>
      </c>
      <c r="E33" s="22" t="str">
        <f t="shared" ca="1" si="15"/>
        <v/>
      </c>
      <c r="F33" s="20" t="str">
        <f t="shared" ca="1" si="16"/>
        <v/>
      </c>
    </row>
    <row r="34" spans="1:6" x14ac:dyDescent="0.3">
      <c r="A34" s="20" t="str">
        <f t="shared" si="13"/>
        <v/>
      </c>
      <c r="B34" s="21"/>
      <c r="C34" s="22" t="str">
        <f t="shared" ca="1" si="1"/>
        <v/>
      </c>
      <c r="D34" s="22" t="str">
        <f t="shared" ca="1" si="14"/>
        <v/>
      </c>
      <c r="E34" s="22" t="str">
        <f t="shared" ca="1" si="15"/>
        <v/>
      </c>
      <c r="F34" s="20" t="str">
        <f t="shared" ca="1" si="16"/>
        <v/>
      </c>
    </row>
    <row r="35" spans="1:6" x14ac:dyDescent="0.3">
      <c r="A35" s="20" t="str">
        <f t="shared" si="13"/>
        <v/>
      </c>
      <c r="B35" s="21"/>
      <c r="C35" s="22" t="str">
        <f t="shared" ca="1" si="1"/>
        <v/>
      </c>
      <c r="D35" s="22" t="str">
        <f t="shared" ca="1" si="14"/>
        <v/>
      </c>
      <c r="E35" s="22" t="str">
        <f t="shared" ca="1" si="15"/>
        <v/>
      </c>
      <c r="F35" s="20" t="str">
        <f t="shared" ca="1" si="16"/>
        <v/>
      </c>
    </row>
    <row r="36" spans="1:6" x14ac:dyDescent="0.3">
      <c r="A36" s="20" t="str">
        <f t="shared" si="13"/>
        <v/>
      </c>
      <c r="B36" s="21"/>
      <c r="C36" s="22" t="str">
        <f t="shared" ca="1" si="1"/>
        <v/>
      </c>
      <c r="D36" s="22" t="str">
        <f t="shared" ca="1" si="14"/>
        <v/>
      </c>
      <c r="E36" s="22" t="str">
        <f t="shared" ca="1" si="15"/>
        <v/>
      </c>
      <c r="F36" s="20" t="str">
        <f t="shared" ca="1" si="16"/>
        <v/>
      </c>
    </row>
    <row r="37" spans="1:6" x14ac:dyDescent="0.3">
      <c r="A37" s="20" t="str">
        <f t="shared" si="13"/>
        <v/>
      </c>
      <c r="B37" s="21"/>
      <c r="C37" s="22" t="str">
        <f t="shared" ca="1" si="1"/>
        <v/>
      </c>
      <c r="D37" s="22" t="str">
        <f t="shared" ca="1" si="14"/>
        <v/>
      </c>
      <c r="E37" s="22" t="str">
        <f t="shared" ca="1" si="15"/>
        <v/>
      </c>
      <c r="F37" s="20" t="str">
        <f t="shared" ca="1" si="16"/>
        <v/>
      </c>
    </row>
    <row r="38" spans="1:6" x14ac:dyDescent="0.3">
      <c r="A38" s="20" t="str">
        <f t="shared" si="13"/>
        <v/>
      </c>
      <c r="B38" s="21"/>
      <c r="C38" s="22" t="str">
        <f t="shared" ca="1" si="1"/>
        <v/>
      </c>
      <c r="D38" s="22" t="str">
        <f t="shared" ca="1" si="14"/>
        <v/>
      </c>
      <c r="E38" s="22" t="str">
        <f t="shared" ca="1" si="15"/>
        <v/>
      </c>
      <c r="F38" s="20" t="str">
        <f t="shared" ca="1" si="16"/>
        <v/>
      </c>
    </row>
    <row r="39" spans="1:6" x14ac:dyDescent="0.3">
      <c r="A39" s="20" t="str">
        <f t="shared" si="13"/>
        <v/>
      </c>
      <c r="B39" s="21"/>
      <c r="C39" s="22" t="str">
        <f t="shared" ca="1" si="1"/>
        <v/>
      </c>
      <c r="D39" s="22" t="str">
        <f t="shared" ca="1" si="14"/>
        <v/>
      </c>
      <c r="E39" s="22" t="str">
        <f t="shared" ca="1" si="15"/>
        <v/>
      </c>
      <c r="F39" s="20" t="str">
        <f t="shared" ca="1" si="16"/>
        <v/>
      </c>
    </row>
    <row r="40" spans="1:6" x14ac:dyDescent="0.3">
      <c r="A40" s="20" t="str">
        <f t="shared" si="13"/>
        <v/>
      </c>
      <c r="B40" s="21"/>
      <c r="C40" s="22" t="str">
        <f t="shared" ca="1" si="1"/>
        <v/>
      </c>
      <c r="D40" s="22" t="str">
        <f t="shared" ca="1" si="14"/>
        <v/>
      </c>
      <c r="E40" s="22" t="str">
        <f t="shared" ca="1" si="15"/>
        <v/>
      </c>
      <c r="F40" s="20" t="str">
        <f t="shared" ca="1" si="16"/>
        <v/>
      </c>
    </row>
    <row r="41" spans="1:6" x14ac:dyDescent="0.3">
      <c r="A41" s="20" t="str">
        <f t="shared" si="13"/>
        <v/>
      </c>
      <c r="B41" s="21"/>
      <c r="C41" s="22" t="str">
        <f t="shared" ca="1" si="1"/>
        <v/>
      </c>
      <c r="D41" s="22" t="str">
        <f t="shared" ca="1" si="14"/>
        <v/>
      </c>
      <c r="E41" s="22" t="str">
        <f t="shared" ca="1" si="15"/>
        <v/>
      </c>
      <c r="F41" s="20" t="str">
        <f t="shared" ca="1" si="16"/>
        <v/>
      </c>
    </row>
    <row r="42" spans="1:6" x14ac:dyDescent="0.3">
      <c r="A42" s="20" t="str">
        <f t="shared" si="13"/>
        <v/>
      </c>
      <c r="B42" s="21"/>
      <c r="C42" s="22" t="str">
        <f t="shared" ca="1" si="1"/>
        <v/>
      </c>
      <c r="D42" s="22" t="str">
        <f t="shared" ca="1" si="14"/>
        <v/>
      </c>
      <c r="E42" s="22" t="str">
        <f t="shared" ca="1" si="15"/>
        <v/>
      </c>
      <c r="F42" s="20" t="str">
        <f t="shared" ca="1" si="16"/>
        <v/>
      </c>
    </row>
    <row r="43" spans="1:6" x14ac:dyDescent="0.3">
      <c r="A43" s="20" t="str">
        <f t="shared" si="13"/>
        <v/>
      </c>
      <c r="B43" s="21"/>
      <c r="C43" s="22" t="str">
        <f t="shared" ca="1" si="1"/>
        <v/>
      </c>
      <c r="D43" s="22" t="str">
        <f t="shared" ca="1" si="14"/>
        <v/>
      </c>
      <c r="E43" s="22" t="str">
        <f t="shared" ca="1" si="15"/>
        <v/>
      </c>
      <c r="F43" s="20" t="str">
        <f t="shared" ca="1" si="16"/>
        <v/>
      </c>
    </row>
    <row r="46" spans="1:6" x14ac:dyDescent="0.3">
      <c r="A46" s="78" t="s">
        <v>11</v>
      </c>
      <c r="B46" s="76"/>
      <c r="C46" s="76"/>
      <c r="D46" s="76"/>
      <c r="E46" s="76"/>
      <c r="F46" s="76"/>
    </row>
    <row r="47" spans="1:6" x14ac:dyDescent="0.3">
      <c r="A47" s="77" t="s">
        <v>12</v>
      </c>
      <c r="B47" s="76"/>
      <c r="C47" s="76"/>
      <c r="D47" s="76"/>
      <c r="E47" s="76"/>
      <c r="F47" s="76"/>
    </row>
    <row r="48" spans="1:6" x14ac:dyDescent="0.3">
      <c r="A48" s="77" t="s">
        <v>13</v>
      </c>
      <c r="B48" s="76"/>
      <c r="C48" s="76"/>
      <c r="D48" s="76"/>
      <c r="E48" s="76"/>
      <c r="F48" s="76"/>
    </row>
    <row r="49" spans="1:6" x14ac:dyDescent="0.3">
      <c r="A49" s="77" t="s">
        <v>14</v>
      </c>
      <c r="B49" s="76"/>
      <c r="C49" s="76"/>
      <c r="D49" s="76"/>
      <c r="E49" s="76"/>
      <c r="F49" s="76"/>
    </row>
    <row r="50" spans="1:6" x14ac:dyDescent="0.3">
      <c r="A50" s="77"/>
      <c r="B50" s="76"/>
      <c r="C50" s="76"/>
      <c r="D50" s="76"/>
      <c r="E50" s="76"/>
      <c r="F50" s="76"/>
    </row>
    <row r="51" spans="1:6" x14ac:dyDescent="0.3">
      <c r="A51" s="77" t="s">
        <v>15</v>
      </c>
      <c r="B51" s="76"/>
      <c r="C51" s="76"/>
      <c r="D51" s="76"/>
      <c r="E51" s="76"/>
      <c r="F51" s="76"/>
    </row>
    <row r="52" spans="1:6" x14ac:dyDescent="0.3">
      <c r="A52" s="77" t="s">
        <v>16</v>
      </c>
      <c r="B52" s="76"/>
      <c r="C52" s="76"/>
      <c r="D52" s="76"/>
      <c r="E52" s="76"/>
      <c r="F52" s="76"/>
    </row>
    <row r="53" spans="1:6" x14ac:dyDescent="0.3">
      <c r="A53" s="77" t="s">
        <v>17</v>
      </c>
      <c r="B53" s="76"/>
      <c r="C53" s="76"/>
      <c r="D53" s="76"/>
      <c r="E53" s="76"/>
      <c r="F53" s="76"/>
    </row>
  </sheetData>
  <mergeCells count="9">
    <mergeCell ref="A1:F1"/>
    <mergeCell ref="A50:F50"/>
    <mergeCell ref="A48:F48"/>
    <mergeCell ref="A53:F53"/>
    <mergeCell ref="A49:F49"/>
    <mergeCell ref="A51:F51"/>
    <mergeCell ref="A47:F47"/>
    <mergeCell ref="A52:F52"/>
    <mergeCell ref="A46:F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266"/>
  <sheetViews>
    <sheetView topLeftCell="E1" workbookViewId="0">
      <selection activeCell="AK13" sqref="AK13"/>
    </sheetView>
  </sheetViews>
  <sheetFormatPr defaultColWidth="11.5546875" defaultRowHeight="17.399999999999999" x14ac:dyDescent="0.45"/>
  <cols>
    <col min="1" max="1" width="11.5546875" style="2" customWidth="1"/>
    <col min="2" max="3" width="16.77734375" style="2" customWidth="1"/>
    <col min="4" max="6" width="4.33203125" style="2" customWidth="1"/>
    <col min="7" max="8" width="11.5546875" style="2" customWidth="1"/>
    <col min="9" max="10" width="16.77734375" style="2" customWidth="1"/>
    <col min="11" max="13" width="4.33203125" style="2" customWidth="1"/>
    <col min="14" max="15" width="11.5546875" style="2" customWidth="1"/>
    <col min="16" max="17" width="16.77734375" style="2" customWidth="1"/>
    <col min="18" max="18" width="5.33203125" style="2" customWidth="1"/>
    <col min="19" max="20" width="4.33203125" style="2" customWidth="1"/>
    <col min="21" max="21" width="16.77734375" style="2" customWidth="1"/>
    <col min="22" max="22" width="11.5546875" style="2" customWidth="1"/>
    <col min="23" max="24" width="16.77734375" style="2" customWidth="1"/>
    <col min="25" max="27" width="4.33203125" style="2" customWidth="1"/>
    <col min="28" max="29" width="11.5546875" style="2" customWidth="1"/>
    <col min="30" max="31" width="16.77734375" style="2" customWidth="1"/>
    <col min="32" max="32" width="4.33203125" style="2" customWidth="1"/>
    <col min="33" max="33" width="4.44140625" style="2" customWidth="1"/>
    <col min="34" max="35" width="4.33203125" style="2" customWidth="1"/>
    <col min="36" max="36" width="11.5546875" style="2" customWidth="1"/>
    <col min="37" max="38" width="16.77734375" style="2" customWidth="1"/>
    <col min="39" max="41" width="4.33203125" style="2" customWidth="1"/>
    <col min="42" max="42" width="11.5546875" style="2" customWidth="1"/>
    <col min="43" max="16384" width="11.5546875" style="2"/>
  </cols>
  <sheetData>
    <row r="1" spans="1:42" ht="17.399999999999999" customHeight="1" x14ac:dyDescent="0.7">
      <c r="A1" s="17"/>
      <c r="B1" s="79" t="s">
        <v>18</v>
      </c>
      <c r="C1" s="79"/>
      <c r="D1" s="4"/>
      <c r="E1" s="6"/>
      <c r="F1" s="6"/>
      <c r="G1" s="4"/>
      <c r="H1" s="79" t="s">
        <v>19</v>
      </c>
      <c r="I1" s="79"/>
      <c r="J1" s="79"/>
      <c r="K1" s="79"/>
      <c r="L1" s="6"/>
      <c r="M1" s="6"/>
      <c r="N1" s="4"/>
      <c r="O1" s="79" t="s">
        <v>20</v>
      </c>
      <c r="P1" s="79"/>
      <c r="Q1" s="79"/>
      <c r="R1" s="79"/>
      <c r="S1" s="6"/>
      <c r="T1" s="6"/>
      <c r="U1" s="4"/>
      <c r="V1" s="79" t="s">
        <v>21</v>
      </c>
      <c r="W1" s="79"/>
      <c r="X1" s="79"/>
      <c r="Y1" s="79"/>
      <c r="Z1" s="6"/>
      <c r="AA1" s="6"/>
      <c r="AB1" s="4"/>
      <c r="AC1" s="79" t="s">
        <v>22</v>
      </c>
      <c r="AD1" s="79"/>
      <c r="AE1" s="79"/>
      <c r="AF1" s="79"/>
      <c r="AG1" s="6"/>
      <c r="AH1" s="6"/>
      <c r="AI1" s="4"/>
      <c r="AJ1" s="79" t="s">
        <v>23</v>
      </c>
      <c r="AK1" s="79"/>
      <c r="AL1" s="79"/>
      <c r="AM1" s="79"/>
      <c r="AN1" s="6"/>
      <c r="AO1" s="6"/>
      <c r="AP1" s="4"/>
    </row>
    <row r="2" spans="1:42" ht="17.399999999999999" customHeight="1" x14ac:dyDescent="0.45">
      <c r="A2" s="4"/>
      <c r="B2" s="79"/>
      <c r="C2" s="79"/>
      <c r="D2" s="4"/>
      <c r="E2" s="6"/>
      <c r="F2" s="6"/>
      <c r="G2" s="4"/>
      <c r="H2" s="79"/>
      <c r="I2" s="79"/>
      <c r="J2" s="79"/>
      <c r="K2" s="79"/>
      <c r="L2" s="6"/>
      <c r="M2" s="6"/>
      <c r="N2" s="4"/>
      <c r="O2" s="79"/>
      <c r="P2" s="79"/>
      <c r="Q2" s="79"/>
      <c r="R2" s="79"/>
      <c r="S2" s="6"/>
      <c r="T2" s="6"/>
      <c r="U2" s="4"/>
      <c r="V2" s="79"/>
      <c r="W2" s="79"/>
      <c r="X2" s="79"/>
      <c r="Y2" s="79"/>
      <c r="Z2" s="6"/>
      <c r="AA2" s="6"/>
      <c r="AB2" s="4"/>
      <c r="AC2" s="79"/>
      <c r="AD2" s="79"/>
      <c r="AE2" s="79"/>
      <c r="AF2" s="79"/>
      <c r="AG2" s="6"/>
      <c r="AH2" s="6"/>
      <c r="AI2" s="4"/>
      <c r="AJ2" s="79"/>
      <c r="AK2" s="79"/>
      <c r="AL2" s="79"/>
      <c r="AM2" s="79"/>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0</v>
      </c>
      <c r="D5" s="4"/>
      <c r="E5" s="4"/>
      <c r="F5" s="4"/>
      <c r="G5" s="4"/>
      <c r="H5" s="4"/>
      <c r="I5" s="3">
        <v>1</v>
      </c>
      <c r="J5" s="3">
        <v>1</v>
      </c>
      <c r="K5" s="4"/>
      <c r="L5" s="4"/>
      <c r="M5" s="4"/>
      <c r="N5" s="4"/>
      <c r="O5" s="4"/>
      <c r="P5" s="3">
        <v>1</v>
      </c>
      <c r="Q5" s="3">
        <v>1</v>
      </c>
      <c r="R5" s="4"/>
      <c r="S5" s="4"/>
      <c r="T5" s="4"/>
      <c r="U5" s="4"/>
      <c r="V5" s="4"/>
      <c r="W5" s="3">
        <v>4</v>
      </c>
      <c r="X5" s="3">
        <v>1</v>
      </c>
      <c r="Y5" s="4"/>
      <c r="Z5" s="4"/>
      <c r="AA5" s="4"/>
      <c r="AB5" s="4"/>
      <c r="AC5" s="4"/>
      <c r="AD5" s="3">
        <v>7</v>
      </c>
      <c r="AE5" s="3">
        <v>1</v>
      </c>
      <c r="AF5" s="4"/>
      <c r="AG5" s="4"/>
      <c r="AH5" s="4"/>
      <c r="AI5" s="4"/>
      <c r="AJ5" s="4"/>
      <c r="AK5" s="3">
        <v>2</v>
      </c>
      <c r="AL5" s="3">
        <v>2</v>
      </c>
      <c r="AM5" s="4"/>
      <c r="AN5" s="4"/>
      <c r="AO5" s="4"/>
      <c r="AP5" s="4"/>
    </row>
    <row r="6" spans="1:42" x14ac:dyDescent="0.45">
      <c r="A6" s="4"/>
      <c r="B6" s="80" t="str">
        <f>IF(B5=C5,"Unentschieden",IF(B5&gt;C5,B4,C4))</f>
        <v>Mexiko</v>
      </c>
      <c r="C6" s="80"/>
      <c r="D6" s="4"/>
      <c r="E6" s="4"/>
      <c r="F6" s="4"/>
      <c r="G6" s="4"/>
      <c r="H6" s="4"/>
      <c r="I6" s="80" t="str">
        <f>IF(I5=J5,"Unentschieden",IF(I5&gt;J5,I4,J4))</f>
        <v>Unentschieden</v>
      </c>
      <c r="J6" s="80"/>
      <c r="K6" s="4"/>
      <c r="L6" s="4"/>
      <c r="M6" s="4"/>
      <c r="N6" s="4"/>
      <c r="O6" s="4"/>
      <c r="P6" s="80" t="str">
        <f>IF(P5=Q5,"Unentschieden",IF(P5&gt;Q5,P4,Q4))</f>
        <v>Unentschieden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v>2</v>
      </c>
      <c r="C10" s="3">
        <v>1</v>
      </c>
      <c r="D10" s="4"/>
      <c r="E10" s="4"/>
      <c r="F10" s="4"/>
      <c r="G10" s="4"/>
      <c r="H10" s="4"/>
      <c r="I10" s="3">
        <v>1</v>
      </c>
      <c r="J10" s="3">
        <v>1</v>
      </c>
      <c r="K10" s="4"/>
      <c r="L10" s="4"/>
      <c r="M10" s="4"/>
      <c r="N10" s="4"/>
      <c r="O10" s="4"/>
      <c r="P10" s="3">
        <v>0</v>
      </c>
      <c r="Q10" s="3">
        <v>1</v>
      </c>
      <c r="R10" s="4"/>
      <c r="S10" s="4"/>
      <c r="T10" s="4"/>
      <c r="U10" s="4"/>
      <c r="V10" s="4"/>
      <c r="W10" s="3">
        <v>2</v>
      </c>
      <c r="X10" s="3">
        <v>0</v>
      </c>
      <c r="Y10" s="4"/>
      <c r="Z10" s="4"/>
      <c r="AA10" s="4"/>
      <c r="AB10" s="4"/>
      <c r="AC10" s="4"/>
      <c r="AD10" s="3">
        <v>1</v>
      </c>
      <c r="AE10" s="3">
        <v>0</v>
      </c>
      <c r="AF10" s="4"/>
      <c r="AG10" s="4"/>
      <c r="AH10" s="4"/>
      <c r="AI10" s="4"/>
      <c r="AJ10" s="4"/>
      <c r="AK10" s="3">
        <v>5</v>
      </c>
      <c r="AL10" s="3">
        <v>1</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Unentschieden</v>
      </c>
      <c r="J11" s="80"/>
      <c r="K11" s="4"/>
      <c r="L11" s="4"/>
      <c r="M11" s="4"/>
      <c r="N11" s="4"/>
      <c r="O11" s="4"/>
      <c r="P11" s="80" t="str">
        <f>IF(P10=Q10,"Unentschieden",IF(P10&gt;Q10,P9,Q9))</f>
        <v>Schottland</v>
      </c>
      <c r="Q11" s="80"/>
      <c r="R11" s="4"/>
      <c r="S11" s="4"/>
      <c r="T11" s="4"/>
      <c r="U11" s="4"/>
      <c r="V11" s="4"/>
      <c r="W11" s="80" t="str">
        <f>IF(W10=X10,"Unentschieden",IF(W10&gt;X10,W9,X9))</f>
        <v>Australien</v>
      </c>
      <c r="X11" s="80"/>
      <c r="Y11" s="4"/>
      <c r="Z11" s="4"/>
      <c r="AA11" s="4"/>
      <c r="AB11" s="4"/>
      <c r="AC11" s="4"/>
      <c r="AD11" s="80" t="str">
        <f>IF(AD10=AE10,"Unentschieden",IF(AD10&gt;AE10,AD9,AE9))</f>
        <v>Elfenbeinküste</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3</v>
      </c>
      <c r="C12" s="1">
        <f>IF(C10=B10,1,IF(C10&gt;B10,3,0))</f>
        <v>0</v>
      </c>
      <c r="D12" s="4"/>
      <c r="E12" s="4"/>
      <c r="F12" s="4"/>
      <c r="G12" s="4"/>
      <c r="H12" s="4"/>
      <c r="I12" s="1">
        <f>IF(I10=J10,1,IF(I10&gt;J10,3,0))</f>
        <v>1</v>
      </c>
      <c r="J12" s="1">
        <f>IF(J10=I10,1,IF(J10&gt;I10,3,0))</f>
        <v>1</v>
      </c>
      <c r="K12" s="4"/>
      <c r="L12" s="4"/>
      <c r="M12" s="4"/>
      <c r="N12" s="4"/>
      <c r="O12" s="4"/>
      <c r="P12" s="1">
        <f>IF(P10=Q10,1,IF(P10&gt;Q10,3,0))</f>
        <v>0</v>
      </c>
      <c r="Q12" s="1">
        <f>IF(Q10=P10,1,IF(Q10&gt;P10,3,0))</f>
        <v>3</v>
      </c>
      <c r="R12" s="4"/>
      <c r="S12" s="4"/>
      <c r="T12" s="4"/>
      <c r="U12" s="4"/>
      <c r="V12" s="4"/>
      <c r="W12" s="1">
        <f>IF(W10=X10,1,IF(W10&gt;X10,3,0))</f>
        <v>3</v>
      </c>
      <c r="X12" s="1">
        <f>IF(X10=W10,1,IF(X10&gt;W10,3,0))</f>
        <v>0</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1</v>
      </c>
      <c r="C16" s="3">
        <v>1</v>
      </c>
      <c r="D16" s="4"/>
      <c r="E16" s="4"/>
      <c r="F16" s="4"/>
      <c r="G16" s="4"/>
      <c r="H16" s="4"/>
      <c r="I16" s="3">
        <v>4</v>
      </c>
      <c r="J16" s="3">
        <v>1</v>
      </c>
      <c r="K16" s="4"/>
      <c r="L16" s="4"/>
      <c r="M16" s="4"/>
      <c r="N16" s="4"/>
      <c r="O16" s="4"/>
      <c r="P16" s="3">
        <v>0</v>
      </c>
      <c r="Q16" s="3">
        <v>1</v>
      </c>
      <c r="R16" s="4"/>
      <c r="S16" s="4"/>
      <c r="T16" s="4"/>
      <c r="U16" s="4"/>
      <c r="V16" s="4"/>
      <c r="W16" s="3">
        <v>0</v>
      </c>
      <c r="X16" s="3">
        <v>1</v>
      </c>
      <c r="Y16" s="4"/>
      <c r="Z16" s="4"/>
      <c r="AA16" s="4"/>
      <c r="AB16" s="4"/>
      <c r="AC16" s="4"/>
      <c r="AD16" s="3">
        <v>0</v>
      </c>
      <c r="AE16" s="3">
        <v>0</v>
      </c>
      <c r="AF16" s="4"/>
      <c r="AG16" s="4"/>
      <c r="AH16" s="4"/>
      <c r="AI16" s="4"/>
      <c r="AJ16" s="4"/>
      <c r="AK16" s="3">
        <v>0</v>
      </c>
      <c r="AL16" s="3">
        <v>4</v>
      </c>
      <c r="AM16" s="4"/>
      <c r="AN16" s="4"/>
      <c r="AO16" s="4"/>
      <c r="AP16" s="4"/>
    </row>
    <row r="17" spans="1:42" x14ac:dyDescent="0.45">
      <c r="A17" s="4"/>
      <c r="B17" s="80" t="str">
        <f>IF(B16=C16,"Unentschieden",IF(B16&gt;C16,B15,C15))</f>
        <v>Unentschieden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Paraguay</v>
      </c>
      <c r="X17" s="80"/>
      <c r="Y17" s="4"/>
      <c r="Z17" s="4"/>
      <c r="AA17" s="4"/>
      <c r="AB17" s="4"/>
      <c r="AC17" s="4"/>
      <c r="AD17" s="80" t="str">
        <f>IF(AD16=AE16,"Unentschieden",IF(AD16&gt;AE16,AD15,AE15))</f>
        <v>Unentschieden</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1</v>
      </c>
      <c r="C18" s="1">
        <f>IF(C16=B16,1,IF(C16&gt;B16,3,0))</f>
        <v>1</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0</v>
      </c>
      <c r="X18" s="1">
        <f>IF(X16=W16,1,IF(X16&gt;W16,3,0))</f>
        <v>3</v>
      </c>
      <c r="Y18" s="4"/>
      <c r="Z18" s="4"/>
      <c r="AA18" s="4"/>
      <c r="AB18" s="4"/>
      <c r="AC18" s="4"/>
      <c r="AD18" s="1">
        <f>IF(AD16=AE16,1,IF(AD16&gt;AE16,3,0))</f>
        <v>1</v>
      </c>
      <c r="AE18" s="1">
        <f>IF(AE16=AD16,1,IF(AE16&gt;AD16,3,0))</f>
        <v>1</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v>1</v>
      </c>
      <c r="C21" s="3">
        <v>0</v>
      </c>
      <c r="D21" s="4"/>
      <c r="E21" s="4"/>
      <c r="F21" s="4"/>
      <c r="G21" s="4"/>
      <c r="H21" s="4"/>
      <c r="I21" s="3">
        <v>6</v>
      </c>
      <c r="J21" s="3">
        <v>0</v>
      </c>
      <c r="K21" s="4"/>
      <c r="L21" s="4"/>
      <c r="M21" s="4"/>
      <c r="N21" s="4"/>
      <c r="O21" s="4"/>
      <c r="P21" s="3">
        <v>3</v>
      </c>
      <c r="Q21" s="3">
        <v>0</v>
      </c>
      <c r="R21" s="4"/>
      <c r="S21" s="4"/>
      <c r="T21" s="4"/>
      <c r="U21" s="4"/>
      <c r="V21" s="4"/>
      <c r="W21" s="3">
        <v>2</v>
      </c>
      <c r="X21" s="3">
        <v>0</v>
      </c>
      <c r="Y21" s="4"/>
      <c r="Z21" s="4"/>
      <c r="AA21" s="4"/>
      <c r="AB21" s="4"/>
      <c r="AC21" s="4"/>
      <c r="AD21" s="3">
        <v>2</v>
      </c>
      <c r="AE21" s="3">
        <v>1</v>
      </c>
      <c r="AF21" s="4"/>
      <c r="AG21" s="4"/>
      <c r="AH21" s="4"/>
      <c r="AI21" s="4"/>
      <c r="AJ21" s="4"/>
      <c r="AK21" s="3">
        <v>5</v>
      </c>
      <c r="AL21" s="3">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USA</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v>1</v>
      </c>
      <c r="C27" s="3">
        <v>0</v>
      </c>
      <c r="D27" s="4"/>
      <c r="E27" s="4"/>
      <c r="F27" s="4"/>
      <c r="G27" s="4"/>
      <c r="H27" s="4"/>
      <c r="I27" s="3">
        <v>3</v>
      </c>
      <c r="J27" s="3">
        <v>1</v>
      </c>
      <c r="K27" s="4"/>
      <c r="L27" s="4"/>
      <c r="M27" s="4"/>
      <c r="N27" s="4"/>
      <c r="O27" s="4"/>
      <c r="P27" s="3">
        <v>4</v>
      </c>
      <c r="Q27" s="3">
        <v>2</v>
      </c>
      <c r="R27" s="4"/>
      <c r="S27" s="4"/>
      <c r="T27" s="4"/>
      <c r="U27" s="4"/>
      <c r="V27" s="4"/>
      <c r="W27" s="3">
        <v>0</v>
      </c>
      <c r="X27" s="3">
        <v>0</v>
      </c>
      <c r="Y27" s="4"/>
      <c r="Z27" s="4"/>
      <c r="AA27" s="4"/>
      <c r="AB27" s="4"/>
      <c r="AC27" s="4"/>
      <c r="AD27" s="3">
        <v>0</v>
      </c>
      <c r="AE27" s="3">
        <v>2</v>
      </c>
      <c r="AF27" s="4"/>
      <c r="AG27" s="4"/>
      <c r="AH27" s="4"/>
      <c r="AI27" s="4"/>
      <c r="AJ27" s="4"/>
      <c r="AK27" s="3">
        <v>1</v>
      </c>
      <c r="AL27" s="3">
        <v>1</v>
      </c>
      <c r="AM27" s="4"/>
      <c r="AN27" s="4"/>
      <c r="AO27" s="4"/>
      <c r="AP27" s="4"/>
    </row>
    <row r="28" spans="1:42" x14ac:dyDescent="0.45">
      <c r="A28" s="4"/>
      <c r="B28" s="80" t="str">
        <f>IF(B27=C27,"Unentschieden",IF(B27&gt;C27,B26,C26))</f>
        <v>Südafrika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Unentschieden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Unentschieden</v>
      </c>
      <c r="AL28" s="80"/>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v>0</v>
      </c>
      <c r="C32" s="3">
        <v>3</v>
      </c>
      <c r="D32" s="4"/>
      <c r="E32" s="4"/>
      <c r="F32" s="4"/>
      <c r="G32" s="4"/>
      <c r="H32" s="4"/>
      <c r="I32" s="3">
        <v>2</v>
      </c>
      <c r="J32" s="3">
        <v>1</v>
      </c>
      <c r="K32" s="4"/>
      <c r="L32" s="4"/>
      <c r="M32" s="4"/>
      <c r="N32" s="4"/>
      <c r="O32" s="4"/>
      <c r="P32" s="3">
        <v>0</v>
      </c>
      <c r="Q32" s="3">
        <v>3</v>
      </c>
      <c r="R32" s="4"/>
      <c r="S32" s="4"/>
      <c r="T32" s="4"/>
      <c r="U32" s="4"/>
      <c r="V32" s="4"/>
      <c r="W32" s="3">
        <v>3</v>
      </c>
      <c r="X32" s="3">
        <v>2</v>
      </c>
      <c r="Y32" s="4"/>
      <c r="Z32" s="4"/>
      <c r="AA32" s="4"/>
      <c r="AB32" s="4"/>
      <c r="AC32" s="4"/>
      <c r="AD32" s="3">
        <v>2</v>
      </c>
      <c r="AE32" s="3">
        <v>1</v>
      </c>
      <c r="AF32" s="4"/>
      <c r="AG32" s="4"/>
      <c r="AH32" s="4"/>
      <c r="AI32" s="4"/>
      <c r="AJ32" s="4"/>
      <c r="AK32" s="3">
        <v>1</v>
      </c>
      <c r="AL32" s="3">
        <v>3</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Ecuador</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3</v>
      </c>
      <c r="AE34" s="1">
        <f>IF(AE32=AD32,1,IF(AE32&gt;AD32,3,0))</f>
        <v>0</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9</v>
      </c>
      <c r="D37" s="1">
        <f>B5+B21+C32</f>
        <v>6</v>
      </c>
      <c r="E37" s="1">
        <f>C5+C21+B32</f>
        <v>0</v>
      </c>
      <c r="F37" s="1">
        <f>D37-E37</f>
        <v>6</v>
      </c>
      <c r="G37" s="4"/>
      <c r="H37" s="7"/>
      <c r="I37" s="2" t="s">
        <v>27</v>
      </c>
      <c r="J37" s="1">
        <f>I7+I23+J34</f>
        <v>4</v>
      </c>
      <c r="K37" s="1">
        <f>I5+I21+J32</f>
        <v>8</v>
      </c>
      <c r="L37" s="1">
        <f>J5+J21+I32</f>
        <v>3</v>
      </c>
      <c r="M37" s="1">
        <f>K37-L37</f>
        <v>5</v>
      </c>
      <c r="N37" s="4"/>
      <c r="O37" s="13"/>
      <c r="P37" s="2" t="s">
        <v>29</v>
      </c>
      <c r="Q37" s="1">
        <f>P7+P23+Q34</f>
        <v>7</v>
      </c>
      <c r="R37" s="1">
        <f>P5+P21+Q32</f>
        <v>7</v>
      </c>
      <c r="S37" s="1">
        <f>Q5+Q21+P32</f>
        <v>1</v>
      </c>
      <c r="T37" s="1">
        <f>R37-S37</f>
        <v>6</v>
      </c>
      <c r="U37" s="4"/>
      <c r="V37" s="13"/>
      <c r="W37" s="2" t="s">
        <v>31</v>
      </c>
      <c r="X37" s="1">
        <f>W7+W23+X34</f>
        <v>6</v>
      </c>
      <c r="Y37" s="1">
        <f>W5+W21+X32</f>
        <v>8</v>
      </c>
      <c r="Z37" s="1">
        <f>X5+X21+W32</f>
        <v>4</v>
      </c>
      <c r="AA37" s="1">
        <f>Y37-Z37</f>
        <v>4</v>
      </c>
      <c r="AB37" s="4"/>
      <c r="AC37" s="13"/>
      <c r="AD37" s="2" t="s">
        <v>33</v>
      </c>
      <c r="AE37" s="1">
        <f>AD7+AD23+AE34</f>
        <v>6</v>
      </c>
      <c r="AF37" s="1">
        <f>AD5+AD21+AE32</f>
        <v>10</v>
      </c>
      <c r="AG37" s="1">
        <f>AE5+AE21+AD32</f>
        <v>4</v>
      </c>
      <c r="AH37" s="1">
        <f>AF37-AG37</f>
        <v>6</v>
      </c>
      <c r="AI37" s="4"/>
      <c r="AJ37" s="4"/>
      <c r="AK37" s="2" t="s">
        <v>35</v>
      </c>
      <c r="AL37" s="1">
        <f>AK7+AK23+AL34</f>
        <v>7</v>
      </c>
      <c r="AM37" s="1">
        <f>AK5+AK21+AL32</f>
        <v>10</v>
      </c>
      <c r="AN37" s="1">
        <f>AL5+AL21+AK32</f>
        <v>4</v>
      </c>
      <c r="AO37" s="1">
        <f>AM37-AN37</f>
        <v>6</v>
      </c>
      <c r="AP37" s="4"/>
    </row>
    <row r="38" spans="1:42" x14ac:dyDescent="0.45">
      <c r="A38" s="7"/>
      <c r="B38" s="2" t="s">
        <v>26</v>
      </c>
      <c r="C38" s="1">
        <f>C7+C18+B29</f>
        <v>4</v>
      </c>
      <c r="D38" s="1">
        <f>C5+C16+B27</f>
        <v>2</v>
      </c>
      <c r="E38" s="1">
        <f>B5+B16+C27</f>
        <v>3</v>
      </c>
      <c r="F38" s="1">
        <f>D38-E38</f>
        <v>-1</v>
      </c>
      <c r="G38" s="4"/>
      <c r="H38" s="7"/>
      <c r="I38" s="2" t="s">
        <v>28</v>
      </c>
      <c r="J38" s="1">
        <f>J7+J18+I29</f>
        <v>4</v>
      </c>
      <c r="K38" s="1">
        <f>J5+J16+I27</f>
        <v>5</v>
      </c>
      <c r="L38" s="1">
        <f>I5+I16+J27</f>
        <v>6</v>
      </c>
      <c r="M38" s="1">
        <f>K38-L38</f>
        <v>-1</v>
      </c>
      <c r="N38" s="4"/>
      <c r="O38" s="13"/>
      <c r="P38" s="2" t="s">
        <v>30</v>
      </c>
      <c r="Q38" s="1">
        <f>Q7+Q18+P29</f>
        <v>7</v>
      </c>
      <c r="R38" s="1">
        <f>Q5+Q16+P27</f>
        <v>6</v>
      </c>
      <c r="S38" s="1">
        <f>P5+P16+Q27</f>
        <v>3</v>
      </c>
      <c r="T38" s="1">
        <f>R38-S38</f>
        <v>3</v>
      </c>
      <c r="U38" s="4"/>
      <c r="V38" s="13"/>
      <c r="W38" s="2" t="s">
        <v>32</v>
      </c>
      <c r="X38" s="1">
        <f>X7+X18+W29</f>
        <v>4</v>
      </c>
      <c r="Y38" s="1">
        <f>X5+X16+W27</f>
        <v>2</v>
      </c>
      <c r="Z38" s="1">
        <f>W5+W16+X27</f>
        <v>4</v>
      </c>
      <c r="AA38" s="1">
        <f>Y38-Z38</f>
        <v>-2</v>
      </c>
      <c r="AB38" s="4"/>
      <c r="AC38" s="13"/>
      <c r="AD38" s="2" t="s">
        <v>34</v>
      </c>
      <c r="AE38" s="1">
        <f>AE7+AE18+AD29</f>
        <v>1</v>
      </c>
      <c r="AF38" s="1">
        <f>AE5+AE16+AD27</f>
        <v>1</v>
      </c>
      <c r="AG38" s="1">
        <f>AD5+AD16+AE27</f>
        <v>9</v>
      </c>
      <c r="AH38" s="1">
        <f>AF38-AG38</f>
        <v>-8</v>
      </c>
      <c r="AI38" s="4"/>
      <c r="AJ38" s="4"/>
      <c r="AK38" s="2" t="s">
        <v>36</v>
      </c>
      <c r="AL38" s="1">
        <f>AL7+AL18+AK29</f>
        <v>5</v>
      </c>
      <c r="AM38" s="1">
        <f>AL5+AL16+AK27</f>
        <v>7</v>
      </c>
      <c r="AN38" s="1">
        <f>AK5+AK16+AL27</f>
        <v>3</v>
      </c>
      <c r="AO38" s="1">
        <f>AM38-AN38</f>
        <v>4</v>
      </c>
      <c r="AP38" s="4"/>
    </row>
    <row r="39" spans="1:42" x14ac:dyDescent="0.45">
      <c r="A39" s="8"/>
      <c r="B39" s="2" t="s">
        <v>37</v>
      </c>
      <c r="C39" s="1">
        <f>B12+C23+C29</f>
        <v>3</v>
      </c>
      <c r="D39" s="1">
        <f>B10+C21+C27</f>
        <v>2</v>
      </c>
      <c r="E39" s="1">
        <f>C10+B21+B27</f>
        <v>3</v>
      </c>
      <c r="F39" s="1">
        <f>D39-E39</f>
        <v>-1</v>
      </c>
      <c r="G39" s="4"/>
      <c r="H39" s="8"/>
      <c r="I39" s="2" t="s">
        <v>39</v>
      </c>
      <c r="J39" s="1">
        <f>I12+J23+J29</f>
        <v>1</v>
      </c>
      <c r="K39" s="1">
        <f>I10+J21+J27</f>
        <v>2</v>
      </c>
      <c r="L39" s="1">
        <f>J10+I21+I27</f>
        <v>10</v>
      </c>
      <c r="M39" s="1">
        <f>K39-L39</f>
        <v>-8</v>
      </c>
      <c r="N39" s="4"/>
      <c r="O39" s="13"/>
      <c r="P39" s="2" t="s">
        <v>41</v>
      </c>
      <c r="Q39" s="1">
        <f>P12+Q23+Q29</f>
        <v>0</v>
      </c>
      <c r="R39" s="1">
        <f>P10+Q21+Q27</f>
        <v>2</v>
      </c>
      <c r="S39" s="1">
        <f>Q10+P21+P27</f>
        <v>8</v>
      </c>
      <c r="T39" s="1">
        <f>R39-S39</f>
        <v>-6</v>
      </c>
      <c r="U39" s="4"/>
      <c r="V39" s="13"/>
      <c r="W39" s="2" t="s">
        <v>43</v>
      </c>
      <c r="X39" s="1">
        <f>W12+X23+X29</f>
        <v>4</v>
      </c>
      <c r="Y39" s="1">
        <f>W10+X21+X27</f>
        <v>2</v>
      </c>
      <c r="Z39" s="1">
        <f>X10+W21+W27</f>
        <v>2</v>
      </c>
      <c r="AA39" s="1">
        <f>Y39-Z39</f>
        <v>0</v>
      </c>
      <c r="AB39" s="4"/>
      <c r="AC39" s="13"/>
      <c r="AD39" s="2" t="s">
        <v>45</v>
      </c>
      <c r="AE39" s="1">
        <f>AD12+AE23+AE29</f>
        <v>6</v>
      </c>
      <c r="AF39" s="1">
        <f>AD10+AE21+AE27</f>
        <v>4</v>
      </c>
      <c r="AG39" s="1">
        <f>AE10+AD21+AD27</f>
        <v>2</v>
      </c>
      <c r="AH39" s="1">
        <f>AF39-AG39</f>
        <v>2</v>
      </c>
      <c r="AI39" s="4"/>
      <c r="AJ39" s="4"/>
      <c r="AK39" s="2" t="s">
        <v>47</v>
      </c>
      <c r="AL39" s="1">
        <f>AK12+AL23+AL29</f>
        <v>4</v>
      </c>
      <c r="AM39" s="1">
        <f>AK10+AL21+AL27</f>
        <v>7</v>
      </c>
      <c r="AN39" s="1">
        <f>AL10+AK21+AK27</f>
        <v>7</v>
      </c>
      <c r="AO39" s="1">
        <f>AM39-AN39</f>
        <v>0</v>
      </c>
      <c r="AP39" s="4"/>
    </row>
    <row r="40" spans="1:42" x14ac:dyDescent="0.45">
      <c r="A40" s="9"/>
      <c r="B40" s="2" t="s">
        <v>38</v>
      </c>
      <c r="C40" s="1">
        <f>C12+B18+B34</f>
        <v>1</v>
      </c>
      <c r="D40" s="1">
        <f>C10+B16+B32</f>
        <v>2</v>
      </c>
      <c r="E40" s="1">
        <f>B10+C16+C32</f>
        <v>6</v>
      </c>
      <c r="F40" s="1">
        <f>D40-E40</f>
        <v>-4</v>
      </c>
      <c r="G40" s="4"/>
      <c r="H40" s="9"/>
      <c r="I40" s="2" t="s">
        <v>40</v>
      </c>
      <c r="J40" s="1">
        <f>J12+I18+I34</f>
        <v>7</v>
      </c>
      <c r="K40" s="1">
        <f>J10+I16+I32</f>
        <v>7</v>
      </c>
      <c r="L40" s="1">
        <f>I10+J16+J32</f>
        <v>3</v>
      </c>
      <c r="M40" s="1">
        <f>K40-L40</f>
        <v>4</v>
      </c>
      <c r="N40" s="4"/>
      <c r="O40" s="13"/>
      <c r="P40" s="2" t="s">
        <v>42</v>
      </c>
      <c r="Q40" s="1">
        <f>Q12+P18+P34</f>
        <v>3</v>
      </c>
      <c r="R40" s="1">
        <f>Q10+P16+P32</f>
        <v>1</v>
      </c>
      <c r="S40" s="1">
        <f>P10+Q16+Q32</f>
        <v>4</v>
      </c>
      <c r="T40" s="1">
        <f>R40-S40</f>
        <v>-3</v>
      </c>
      <c r="U40" s="4"/>
      <c r="V40" s="13"/>
      <c r="W40" s="2" t="s">
        <v>44</v>
      </c>
      <c r="X40" s="1">
        <f>X12+W18+W34</f>
        <v>3</v>
      </c>
      <c r="Y40" s="1">
        <f>X10+W16+W32</f>
        <v>3</v>
      </c>
      <c r="Z40" s="1">
        <f>W10+X16+X32</f>
        <v>5</v>
      </c>
      <c r="AA40" s="1">
        <f>Y40-Z40</f>
        <v>-2</v>
      </c>
      <c r="AB40" s="4"/>
      <c r="AC40" s="13"/>
      <c r="AD40" s="2" t="s">
        <v>46</v>
      </c>
      <c r="AE40" s="1">
        <f>AE12+AD18+AD34</f>
        <v>4</v>
      </c>
      <c r="AF40" s="1">
        <f>AE10+AD16+AD32</f>
        <v>2</v>
      </c>
      <c r="AG40" s="1">
        <f>AD10+AE16+AE32</f>
        <v>2</v>
      </c>
      <c r="AH40" s="1">
        <f>AF40-AG40</f>
        <v>0</v>
      </c>
      <c r="AI40" s="4"/>
      <c r="AJ40" s="4"/>
      <c r="AK40" s="2" t="s">
        <v>48</v>
      </c>
      <c r="AL40" s="1">
        <f>AL12+AK18+AK34</f>
        <v>0</v>
      </c>
      <c r="AM40" s="1">
        <f>AL10+AK16+AK32</f>
        <v>2</v>
      </c>
      <c r="AN40" s="1">
        <f>AK10+AL16+AL32</f>
        <v>12</v>
      </c>
      <c r="AO40" s="1">
        <f>AM40-AN40</f>
        <v>-10</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10">
        <v>1</v>
      </c>
      <c r="B43" s="2" t="str">
        <f t="array" ref="B43:B46">_xlfn.SORTBY(B37:B40,C37:C40,-1,F37:F40,-1,D37:D40,-1)</f>
        <v>Mexiko</v>
      </c>
      <c r="C43" s="1">
        <f t="array" ref="C43:C46">_xlfn.SORTBY(C37:C40,C37:C40,-1,F37:F40,-1,D37:D40,-1)</f>
        <v>9</v>
      </c>
      <c r="D43" s="1">
        <f t="array" ref="D43:D46">_xlfn.SORTBY(D37:D40,C37:C40,-1,F37:F40,-1,D37:D40,-1)</f>
        <v>6</v>
      </c>
      <c r="E43" s="1">
        <f t="array" ref="E43:E46">_xlfn.SORTBY(E37:E40,C37:C40,-1,F37:F40,-1,D37:D40,-1)</f>
        <v>0</v>
      </c>
      <c r="F43" s="1">
        <f t="array" ref="F43:F46">_xlfn.SORTBY(F37:F40,C37:C40,-1,F37:F40,-1,D37:D40,-1)</f>
        <v>6</v>
      </c>
      <c r="G43" s="4"/>
      <c r="H43" s="10">
        <v>1</v>
      </c>
      <c r="I43" s="2" t="str">
        <f t="array" ref="I43:I46">_xlfn.SORTBY(I37:I40,J37:J40,-1,M37:M40,-1,K37:K40,-1)</f>
        <v>Schweiz</v>
      </c>
      <c r="J43" s="1">
        <f t="array" ref="J43:J46">_xlfn.SORTBY(J37:J40,J37:J40,-1,M37:M40,-1,K37:K40,-1)</f>
        <v>7</v>
      </c>
      <c r="K43" s="1">
        <f t="array" ref="K43:K46">_xlfn.SORTBY(K37:K40,J37:J40,-1,M37:M40,-1,K37:K40,-1)</f>
        <v>7</v>
      </c>
      <c r="L43" s="1">
        <f t="array" ref="L43:L46">_xlfn.SORTBY(L37:L40,J37:J40,-1,M37:M40,-1,K37:K40,-1)</f>
        <v>3</v>
      </c>
      <c r="M43" s="1">
        <f t="array" ref="M43:M46">_xlfn.SORTBY(M37:M40,J37:J40,-1,M37:M40,-1,K37:K40,-1)</f>
        <v>4</v>
      </c>
      <c r="N43" s="4"/>
      <c r="O43" s="10">
        <v>1</v>
      </c>
      <c r="P43" s="2" t="str">
        <f t="array" ref="P43:P46">_xlfn.SORTBY(P37:P40,Q37:Q40,-1,T37:T40,-1,R37:R40,-1)</f>
        <v>Brasilien</v>
      </c>
      <c r="Q43" s="1">
        <f t="array" ref="Q43:Q46">_xlfn.SORTBY(Q37:Q40,Q37:Q40,-1,T37:T40,-1,R37:R40,-1)</f>
        <v>7</v>
      </c>
      <c r="R43" s="1">
        <f t="array" ref="R43:R46">_xlfn.SORTBY(R37:R40,Q37:Q40,-1,T37:T40,-1,R37:R40,-1)</f>
        <v>7</v>
      </c>
      <c r="S43" s="1">
        <f t="array" ref="S43:S46">_xlfn.SORTBY(S37:S40,Q37:Q40,-1,T37:T40,-1,R37:R40,-1)</f>
        <v>1</v>
      </c>
      <c r="T43" s="1">
        <f t="array" ref="T43:T46">_xlfn.SORTBY(T37:T40,Q37:Q40,-1,T37:T40,-1,R37:R40,-1)</f>
        <v>6</v>
      </c>
      <c r="U43" s="4"/>
      <c r="V43" s="10">
        <v>1</v>
      </c>
      <c r="W43" s="2" t="str">
        <f t="array" ref="W43:W46">_xlfn.SORTBY(W37:W40,X37:X40,-1,AA37:AA40,-1,Y37:Y40,-1)</f>
        <v>USA</v>
      </c>
      <c r="X43" s="1">
        <f t="array" ref="X43:X46">_xlfn.SORTBY(X37:X40,X37:X40,-1,AA37:AA40,-1,Y37:Y40,-1)</f>
        <v>6</v>
      </c>
      <c r="Y43" s="1">
        <f t="array" ref="Y43:Y46">_xlfn.SORTBY(Y37:Y40,X37:X40,-1,AA37:AA40,-1,Y37:Y40,-1)</f>
        <v>8</v>
      </c>
      <c r="Z43" s="1">
        <f t="array" ref="Z43:Z46">_xlfn.SORTBY(Z37:Z40,X37:X40,-1,AA37:AA40,-1,Y37:Y40,-1)</f>
        <v>4</v>
      </c>
      <c r="AA43" s="1">
        <f t="array" ref="AA43:AA46">_xlfn.SORTBY(AA37:AA40,X37:X40,-1,AA37:AA40,-1,Y37:Y40,-1)</f>
        <v>4</v>
      </c>
      <c r="AB43" s="4"/>
      <c r="AC43" s="10">
        <v>1</v>
      </c>
      <c r="AD43" s="2" t="str">
        <f t="array" ref="AD43:AD46">_xlfn.SORTBY(AD37:AD40,AE37:AE40,-1,AH37:AH40,-1,AF37:AF40,-1)</f>
        <v>Deutschland</v>
      </c>
      <c r="AE43" s="1">
        <f t="array" ref="AE43:AE46">_xlfn.SORTBY(AE37:AE40,AE37:AE40,-1,AH37:AH40,-1,AF37:AF40,-1)</f>
        <v>6</v>
      </c>
      <c r="AF43" s="1">
        <f t="array" ref="AF43:AF46">_xlfn.SORTBY(AF37:AF40,AE37:AE40,-1,AH37:AH40,-1,AF37:AF40,-1)</f>
        <v>10</v>
      </c>
      <c r="AG43" s="1">
        <f t="array" ref="AG43:AG46">_xlfn.SORTBY(AG37:AG40,AE37:AE40,-1,AH37:AH40,-1,AF37:AF40,-1)</f>
        <v>4</v>
      </c>
      <c r="AH43" s="1">
        <f t="array" ref="AH43:AH46">_xlfn.SORTBY(AH37:AH40,AE37:AE40,-1,AH37:AH40,-1,AF37:AF40,-1)</f>
        <v>6</v>
      </c>
      <c r="AI43" s="4"/>
      <c r="AJ43" s="10">
        <v>1</v>
      </c>
      <c r="AK43" s="2" t="str">
        <f t="array" ref="AK43:AK46">_xlfn.SORTBY(AK37:AK40,AL37:AL40,-1,AO37:AO40,-1,AM37:AM40,-1)</f>
        <v>Niederlande</v>
      </c>
      <c r="AL43" s="1">
        <f t="array" ref="AL43:AL46">_xlfn.SORTBY(AL37:AL40,AL37:AL40,-1,AO37:AO40,-1,AM37:AM40,-1)</f>
        <v>7</v>
      </c>
      <c r="AM43" s="1">
        <f t="array" ref="AM43:AM46">_xlfn.SORTBY(AM37:AM40,AL37:AL40,-1,AO37:AO40,-1,AM37:AM40,-1)</f>
        <v>10</v>
      </c>
      <c r="AN43" s="1">
        <f t="array" ref="AN43:AN46">_xlfn.SORTBY(AN37:AN40,AL37:AL40,-1,AO37:AO40,-1,AM37:AM40,-1)</f>
        <v>4</v>
      </c>
      <c r="AO43" s="1">
        <f t="array" ref="AO43:AO46">_xlfn.SORTBY(AO37:AO40,AL37:AL40,-1,AO37:AO40,-1,AM37:AM40,-1)</f>
        <v>6</v>
      </c>
      <c r="AP43" s="4"/>
    </row>
    <row r="44" spans="1:42" x14ac:dyDescent="0.45">
      <c r="A44" s="10">
        <v>2</v>
      </c>
      <c r="B44" s="2" t="str">
        <v>Südafrika</v>
      </c>
      <c r="C44" s="1">
        <v>4</v>
      </c>
      <c r="D44" s="1">
        <v>2</v>
      </c>
      <c r="E44" s="1">
        <v>3</v>
      </c>
      <c r="F44" s="1">
        <v>-1</v>
      </c>
      <c r="G44" s="4"/>
      <c r="H44" s="10">
        <v>2</v>
      </c>
      <c r="I44" s="2" t="str">
        <v>Kanada</v>
      </c>
      <c r="J44" s="1">
        <v>4</v>
      </c>
      <c r="K44" s="1">
        <v>8</v>
      </c>
      <c r="L44" s="1">
        <v>3</v>
      </c>
      <c r="M44" s="1">
        <v>5</v>
      </c>
      <c r="N44" s="4"/>
      <c r="O44" s="10">
        <v>2</v>
      </c>
      <c r="P44" s="2" t="str">
        <v>Marokko</v>
      </c>
      <c r="Q44" s="1">
        <v>7</v>
      </c>
      <c r="R44" s="1">
        <v>6</v>
      </c>
      <c r="S44" s="1">
        <v>3</v>
      </c>
      <c r="T44" s="1">
        <v>3</v>
      </c>
      <c r="U44" s="4"/>
      <c r="V44" s="10">
        <v>2</v>
      </c>
      <c r="W44" s="2" t="str">
        <v>Australien</v>
      </c>
      <c r="X44" s="1">
        <v>4</v>
      </c>
      <c r="Y44" s="1">
        <v>2</v>
      </c>
      <c r="Z44" s="1">
        <v>2</v>
      </c>
      <c r="AA44" s="1">
        <v>0</v>
      </c>
      <c r="AB44" s="4"/>
      <c r="AC44" s="10">
        <v>2</v>
      </c>
      <c r="AD44" s="2" t="str">
        <v>Elfenbeinküste</v>
      </c>
      <c r="AE44" s="1">
        <v>6</v>
      </c>
      <c r="AF44" s="1">
        <v>4</v>
      </c>
      <c r="AG44" s="1">
        <v>2</v>
      </c>
      <c r="AH44" s="1">
        <v>2</v>
      </c>
      <c r="AI44" s="4"/>
      <c r="AJ44" s="10">
        <v>2</v>
      </c>
      <c r="AK44" s="2" t="str">
        <v>Japan</v>
      </c>
      <c r="AL44" s="1">
        <v>5</v>
      </c>
      <c r="AM44" s="1">
        <v>7</v>
      </c>
      <c r="AN44" s="1">
        <v>3</v>
      </c>
      <c r="AO44" s="1">
        <v>4</v>
      </c>
      <c r="AP44" s="4"/>
    </row>
    <row r="45" spans="1:42" x14ac:dyDescent="0.45">
      <c r="A45" s="11">
        <v>3</v>
      </c>
      <c r="B45" s="2" t="str">
        <v>Südkorea</v>
      </c>
      <c r="C45" s="1">
        <v>3</v>
      </c>
      <c r="D45" s="1">
        <v>2</v>
      </c>
      <c r="E45" s="1">
        <v>3</v>
      </c>
      <c r="F45" s="1">
        <v>-1</v>
      </c>
      <c r="G45" s="4"/>
      <c r="H45" s="11">
        <v>3</v>
      </c>
      <c r="I45" s="2" t="str">
        <v>Bosnien-Herz.</v>
      </c>
      <c r="J45" s="1">
        <v>4</v>
      </c>
      <c r="K45" s="1">
        <v>5</v>
      </c>
      <c r="L45" s="1">
        <v>6</v>
      </c>
      <c r="M45" s="1">
        <v>-1</v>
      </c>
      <c r="N45" s="4"/>
      <c r="O45" s="11">
        <v>3</v>
      </c>
      <c r="P45" s="2" t="str">
        <v>Schottland</v>
      </c>
      <c r="Q45" s="1">
        <v>3</v>
      </c>
      <c r="R45" s="1">
        <v>1</v>
      </c>
      <c r="S45" s="1">
        <v>4</v>
      </c>
      <c r="T45" s="1">
        <v>-3</v>
      </c>
      <c r="U45" s="4"/>
      <c r="V45" s="11">
        <v>3</v>
      </c>
      <c r="W45" s="2" t="str">
        <v>Paraguay</v>
      </c>
      <c r="X45" s="1">
        <v>4</v>
      </c>
      <c r="Y45" s="1">
        <v>2</v>
      </c>
      <c r="Z45" s="1">
        <v>4</v>
      </c>
      <c r="AA45" s="1">
        <v>-2</v>
      </c>
      <c r="AB45" s="4"/>
      <c r="AC45" s="11">
        <v>3</v>
      </c>
      <c r="AD45" s="2" t="str">
        <v>Ecuador</v>
      </c>
      <c r="AE45" s="1">
        <v>4</v>
      </c>
      <c r="AF45" s="1">
        <v>2</v>
      </c>
      <c r="AG45" s="1">
        <v>2</v>
      </c>
      <c r="AH45" s="1">
        <v>0</v>
      </c>
      <c r="AI45" s="4"/>
      <c r="AJ45" s="11">
        <v>3</v>
      </c>
      <c r="AK45" s="2" t="str">
        <v>Schweden</v>
      </c>
      <c r="AL45" s="1">
        <v>4</v>
      </c>
      <c r="AM45" s="1">
        <v>7</v>
      </c>
      <c r="AN45" s="1">
        <v>7</v>
      </c>
      <c r="AO45" s="1">
        <v>0</v>
      </c>
      <c r="AP45" s="4"/>
    </row>
    <row r="46" spans="1:42" x14ac:dyDescent="0.45">
      <c r="A46" s="12">
        <v>4</v>
      </c>
      <c r="B46" s="2" t="str">
        <v>Tschechien</v>
      </c>
      <c r="C46" s="1">
        <v>1</v>
      </c>
      <c r="D46" s="1">
        <v>2</v>
      </c>
      <c r="E46" s="1">
        <v>6</v>
      </c>
      <c r="F46" s="1">
        <v>-4</v>
      </c>
      <c r="G46" s="4"/>
      <c r="H46" s="12">
        <v>4</v>
      </c>
      <c r="I46" s="2" t="str">
        <v>Katar</v>
      </c>
      <c r="J46" s="1">
        <v>1</v>
      </c>
      <c r="K46" s="1">
        <v>2</v>
      </c>
      <c r="L46" s="1">
        <v>10</v>
      </c>
      <c r="M46" s="1">
        <v>-8</v>
      </c>
      <c r="N46" s="4"/>
      <c r="O46" s="12">
        <v>4</v>
      </c>
      <c r="P46" s="2" t="str">
        <v>Haiti</v>
      </c>
      <c r="Q46" s="1">
        <v>0</v>
      </c>
      <c r="R46" s="1">
        <v>2</v>
      </c>
      <c r="S46" s="1">
        <v>8</v>
      </c>
      <c r="T46" s="1">
        <v>-6</v>
      </c>
      <c r="U46" s="4"/>
      <c r="V46" s="12">
        <v>4</v>
      </c>
      <c r="W46" s="2" t="str">
        <v>Türkei</v>
      </c>
      <c r="X46" s="1">
        <v>3</v>
      </c>
      <c r="Y46" s="1">
        <v>3</v>
      </c>
      <c r="Z46" s="1">
        <v>5</v>
      </c>
      <c r="AA46" s="1">
        <v>-2</v>
      </c>
      <c r="AB46" s="4"/>
      <c r="AC46" s="12">
        <v>4</v>
      </c>
      <c r="AD46" s="2" t="str">
        <v>Curacao</v>
      </c>
      <c r="AE46" s="1">
        <v>1</v>
      </c>
      <c r="AF46" s="1">
        <v>1</v>
      </c>
      <c r="AG46" s="1">
        <v>9</v>
      </c>
      <c r="AH46" s="1">
        <v>-8</v>
      </c>
      <c r="AI46" s="4"/>
      <c r="AJ46" s="12">
        <v>4</v>
      </c>
      <c r="AK46" s="2" t="str">
        <v>Tunesien</v>
      </c>
      <c r="AL46" s="1">
        <v>0</v>
      </c>
      <c r="AM46" s="1">
        <v>2</v>
      </c>
      <c r="AN46" s="1">
        <v>12</v>
      </c>
      <c r="AO46" s="1">
        <v>-10</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79"/>
      <c r="C48" s="79"/>
      <c r="D48" s="79"/>
      <c r="E48" s="6"/>
      <c r="F48" s="6"/>
      <c r="G48" s="4"/>
      <c r="H48" s="79" t="s">
        <v>58</v>
      </c>
      <c r="I48" s="79"/>
      <c r="J48" s="79"/>
      <c r="K48" s="79"/>
      <c r="L48" s="6"/>
      <c r="M48" s="6"/>
      <c r="N48" s="4"/>
      <c r="O48" s="79" t="s">
        <v>59</v>
      </c>
      <c r="P48" s="79"/>
      <c r="Q48" s="79"/>
      <c r="R48" s="79"/>
      <c r="S48" s="6"/>
      <c r="T48" s="6"/>
      <c r="U48" s="4"/>
      <c r="V48" s="79" t="s">
        <v>60</v>
      </c>
      <c r="W48" s="79"/>
      <c r="X48" s="79"/>
      <c r="Y48" s="79"/>
      <c r="Z48" s="6"/>
      <c r="AA48" s="6"/>
      <c r="AB48" s="4"/>
      <c r="AC48" s="79" t="s">
        <v>61</v>
      </c>
      <c r="AD48" s="79"/>
      <c r="AE48" s="79"/>
      <c r="AF48" s="79"/>
      <c r="AG48" s="6"/>
      <c r="AH48" s="6"/>
      <c r="AI48" s="4"/>
      <c r="AJ48" s="79" t="s">
        <v>62</v>
      </c>
      <c r="AK48" s="79"/>
      <c r="AL48" s="79"/>
      <c r="AM48" s="79"/>
      <c r="AN48" s="6"/>
      <c r="AO48" s="6"/>
      <c r="AP48" s="4"/>
    </row>
    <row r="49" spans="1:42" x14ac:dyDescent="0.45">
      <c r="A49" s="79"/>
      <c r="B49" s="79"/>
      <c r="C49" s="79"/>
      <c r="D49" s="79"/>
      <c r="E49" s="6"/>
      <c r="F49" s="6"/>
      <c r="G49" s="4"/>
      <c r="H49" s="79"/>
      <c r="I49" s="79"/>
      <c r="J49" s="79"/>
      <c r="K49" s="79"/>
      <c r="L49" s="6"/>
      <c r="M49" s="6"/>
      <c r="N49" s="4"/>
      <c r="O49" s="79"/>
      <c r="P49" s="79"/>
      <c r="Q49" s="79"/>
      <c r="R49" s="79"/>
      <c r="S49" s="6"/>
      <c r="T49" s="6"/>
      <c r="U49" s="4"/>
      <c r="V49" s="79"/>
      <c r="W49" s="79"/>
      <c r="X49" s="79"/>
      <c r="Y49" s="79"/>
      <c r="Z49" s="6"/>
      <c r="AA49" s="6"/>
      <c r="AB49" s="4"/>
      <c r="AC49" s="79"/>
      <c r="AD49" s="79"/>
      <c r="AE49" s="79"/>
      <c r="AF49" s="79"/>
      <c r="AG49" s="6"/>
      <c r="AH49" s="6"/>
      <c r="AI49" s="4"/>
      <c r="AJ49" s="79"/>
      <c r="AK49" s="79"/>
      <c r="AL49" s="79"/>
      <c r="AM49" s="79"/>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v>1</v>
      </c>
      <c r="C52" s="3">
        <v>1</v>
      </c>
      <c r="D52" s="4"/>
      <c r="E52" s="4"/>
      <c r="F52" s="4"/>
      <c r="G52" s="4"/>
      <c r="H52" s="4"/>
      <c r="I52" s="3">
        <v>0</v>
      </c>
      <c r="J52" s="3">
        <v>0</v>
      </c>
      <c r="K52" s="4"/>
      <c r="L52" s="4"/>
      <c r="M52" s="4"/>
      <c r="N52" s="4"/>
      <c r="O52" s="4"/>
      <c r="P52" s="3">
        <v>3</v>
      </c>
      <c r="Q52" s="3">
        <v>1</v>
      </c>
      <c r="R52" s="4"/>
      <c r="S52" s="4"/>
      <c r="T52" s="4"/>
      <c r="U52" s="4"/>
      <c r="V52" s="4"/>
      <c r="W52" s="3">
        <v>3</v>
      </c>
      <c r="X52" s="3">
        <v>0</v>
      </c>
      <c r="Y52" s="4"/>
      <c r="Z52" s="4"/>
      <c r="AA52" s="4"/>
      <c r="AB52" s="4"/>
      <c r="AC52" s="4"/>
      <c r="AD52" s="3">
        <v>1</v>
      </c>
      <c r="AE52" s="3">
        <v>1</v>
      </c>
      <c r="AF52" s="4"/>
      <c r="AG52" s="4"/>
      <c r="AH52" s="4"/>
      <c r="AI52" s="4"/>
      <c r="AJ52" s="4"/>
      <c r="AK52" s="3">
        <v>4</v>
      </c>
      <c r="AL52" s="3">
        <v>2</v>
      </c>
      <c r="AM52" s="4"/>
      <c r="AN52" s="4"/>
      <c r="AO52" s="4"/>
      <c r="AP52" s="4"/>
    </row>
    <row r="53" spans="1:42" x14ac:dyDescent="0.45">
      <c r="A53" s="4"/>
      <c r="B53" s="80" t="str">
        <f>IF(B52=C52,"Unentschieden",IF(B52&gt;C52,B51,C51))</f>
        <v>Unentschieden</v>
      </c>
      <c r="C53" s="80"/>
      <c r="D53" s="4"/>
      <c r="E53" s="4"/>
      <c r="F53" s="4"/>
      <c r="G53" s="4"/>
      <c r="H53" s="4"/>
      <c r="I53" s="80" t="str">
        <f>IF(I52=J52,"Unentschieden",IF(I52&gt;J52,I51,J51))</f>
        <v>Unentschieden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Unentschieden</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1</v>
      </c>
      <c r="C54" s="1">
        <f>IF(C52=B52,1,IF(C52&gt;B52,3,0))</f>
        <v>1</v>
      </c>
      <c r="D54" s="4"/>
      <c r="E54" s="4"/>
      <c r="F54" s="4"/>
      <c r="G54" s="4"/>
      <c r="H54" s="4"/>
      <c r="I54" s="1">
        <f>IF(I52=J52,1,IF(I52&gt;J52,3,0))</f>
        <v>1</v>
      </c>
      <c r="J54" s="1">
        <f>IF(J52=I52,1,IF(J52&gt;I52,3,0))</f>
        <v>1</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1</v>
      </c>
      <c r="AE54" s="1">
        <f>IF(AE52=AD52,1,IF(AE52&gt;AD52,3,0))</f>
        <v>1</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v>2</v>
      </c>
      <c r="C57" s="3">
        <v>2</v>
      </c>
      <c r="D57" s="4"/>
      <c r="E57" s="4"/>
      <c r="F57" s="4"/>
      <c r="G57" s="4"/>
      <c r="H57" s="4"/>
      <c r="I57" s="3">
        <v>1</v>
      </c>
      <c r="J57" s="3">
        <v>1</v>
      </c>
      <c r="K57" s="4"/>
      <c r="L57" s="4"/>
      <c r="M57" s="4"/>
      <c r="N57" s="4"/>
      <c r="O57" s="4"/>
      <c r="P57" s="3">
        <v>1</v>
      </c>
      <c r="Q57" s="3">
        <v>4</v>
      </c>
      <c r="R57" s="4"/>
      <c r="S57" s="4"/>
      <c r="T57" s="4"/>
      <c r="U57" s="4"/>
      <c r="V57" s="4"/>
      <c r="W57" s="3">
        <v>3</v>
      </c>
      <c r="X57" s="3">
        <v>1</v>
      </c>
      <c r="Y57" s="4"/>
      <c r="Z57" s="4"/>
      <c r="AA57" s="4"/>
      <c r="AB57" s="4"/>
      <c r="AC57" s="4"/>
      <c r="AD57" s="3">
        <v>1</v>
      </c>
      <c r="AE57" s="3">
        <v>3</v>
      </c>
      <c r="AF57" s="4"/>
      <c r="AG57" s="4"/>
      <c r="AH57" s="4"/>
      <c r="AI57" s="4"/>
      <c r="AJ57" s="4"/>
      <c r="AK57" s="3">
        <v>1</v>
      </c>
      <c r="AL57" s="3">
        <v>0</v>
      </c>
      <c r="AM57" s="4"/>
      <c r="AN57" s="4"/>
      <c r="AO57" s="4"/>
      <c r="AP57" s="4"/>
    </row>
    <row r="58" spans="1:42" x14ac:dyDescent="0.45">
      <c r="A58" s="4"/>
      <c r="B58" s="80" t="str">
        <f>IF(B57=C57,"Unentschieden",IF(B57&gt;C57,B56,C56))</f>
        <v>Unentschieden</v>
      </c>
      <c r="C58" s="80"/>
      <c r="D58" s="4"/>
      <c r="E58" s="4"/>
      <c r="F58" s="4"/>
      <c r="G58" s="4"/>
      <c r="H58" s="4"/>
      <c r="I58" s="80" t="str">
        <f>IF(I57=J57,"Unentschieden",IF(I57&gt;J57,I56,J56))</f>
        <v>Unentschieden</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1</v>
      </c>
      <c r="C59" s="1">
        <f>IF(C57=B57,1,IF(C57&gt;B57,3,0))</f>
        <v>1</v>
      </c>
      <c r="D59" s="4"/>
      <c r="E59" s="4"/>
      <c r="F59" s="4"/>
      <c r="G59" s="4"/>
      <c r="H59" s="4"/>
      <c r="I59" s="1">
        <f>IF(I57=J57,1,IF(I57&gt;J57,3,0))</f>
        <v>1</v>
      </c>
      <c r="J59" s="1">
        <f>IF(J57=I57,1,IF(J57&gt;I57,3,0))</f>
        <v>1</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v>0</v>
      </c>
      <c r="C63" s="3">
        <v>0</v>
      </c>
      <c r="D63" s="4"/>
      <c r="E63" s="4"/>
      <c r="F63" s="4"/>
      <c r="G63" s="4"/>
      <c r="H63" s="4"/>
      <c r="I63" s="3">
        <v>4</v>
      </c>
      <c r="J63" s="3">
        <v>0</v>
      </c>
      <c r="K63" s="4"/>
      <c r="L63" s="4"/>
      <c r="M63" s="4"/>
      <c r="N63" s="4"/>
      <c r="O63" s="4"/>
      <c r="P63" s="3">
        <v>3</v>
      </c>
      <c r="Q63" s="3">
        <v>0</v>
      </c>
      <c r="R63" s="4"/>
      <c r="S63" s="4"/>
      <c r="T63" s="4"/>
      <c r="U63" s="4"/>
      <c r="V63" s="4"/>
      <c r="W63" s="3">
        <v>2</v>
      </c>
      <c r="X63" s="3">
        <v>0</v>
      </c>
      <c r="Y63" s="4"/>
      <c r="Z63" s="4"/>
      <c r="AA63" s="4"/>
      <c r="AB63" s="4"/>
      <c r="AC63" s="4"/>
      <c r="AD63" s="3">
        <v>5</v>
      </c>
      <c r="AE63" s="3">
        <v>0</v>
      </c>
      <c r="AF63" s="4"/>
      <c r="AG63" s="4"/>
      <c r="AH63" s="4"/>
      <c r="AI63" s="4"/>
      <c r="AJ63" s="4"/>
      <c r="AK63" s="3">
        <v>0</v>
      </c>
      <c r="AL63" s="3">
        <v>0</v>
      </c>
      <c r="AM63" s="4"/>
      <c r="AN63" s="4"/>
      <c r="AO63" s="4"/>
      <c r="AP63" s="4"/>
    </row>
    <row r="64" spans="1:42" x14ac:dyDescent="0.45">
      <c r="A64" s="4"/>
      <c r="B64" s="80" t="str">
        <f>IF(B63=C63,"Unentschieden",IF(B63&gt;C63,B62,C62))</f>
        <v>Unentschieden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Unentschieden</v>
      </c>
      <c r="AL64" s="80"/>
      <c r="AM64" s="4"/>
      <c r="AN64" s="4"/>
      <c r="AO64" s="4"/>
      <c r="AP64" s="4"/>
    </row>
    <row r="65" spans="1:42" x14ac:dyDescent="0.45">
      <c r="A65" s="4"/>
      <c r="B65" s="1">
        <f>IF(B63=C63,1,IF(B63&gt;C63,3,0))</f>
        <v>1</v>
      </c>
      <c r="C65" s="1">
        <f>IF(C63=B63,1,IF(C63&gt;B63,3,0))</f>
        <v>1</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v>1</v>
      </c>
      <c r="C68" s="3">
        <v>3</v>
      </c>
      <c r="D68" s="4"/>
      <c r="E68" s="4"/>
      <c r="F68" s="4"/>
      <c r="G68" s="4"/>
      <c r="H68" s="4"/>
      <c r="I68" s="3">
        <v>2</v>
      </c>
      <c r="J68" s="3">
        <v>2</v>
      </c>
      <c r="K68" s="4"/>
      <c r="L68" s="4"/>
      <c r="M68" s="4"/>
      <c r="N68" s="4"/>
      <c r="O68" s="4"/>
      <c r="P68" s="3">
        <v>3</v>
      </c>
      <c r="Q68" s="3">
        <v>2</v>
      </c>
      <c r="R68" s="4"/>
      <c r="S68" s="4"/>
      <c r="T68" s="4"/>
      <c r="U68" s="4"/>
      <c r="V68" s="4"/>
      <c r="W68" s="3">
        <v>1</v>
      </c>
      <c r="X68" s="3">
        <v>2</v>
      </c>
      <c r="Y68" s="4"/>
      <c r="Z68" s="4"/>
      <c r="AA68" s="4"/>
      <c r="AB68" s="4"/>
      <c r="AC68" s="4"/>
      <c r="AD68" s="3">
        <v>1</v>
      </c>
      <c r="AE68" s="3">
        <v>0</v>
      </c>
      <c r="AF68" s="4"/>
      <c r="AG68" s="4"/>
      <c r="AH68" s="4"/>
      <c r="AI68" s="4"/>
      <c r="AJ68" s="4"/>
      <c r="AK68" s="3">
        <v>0</v>
      </c>
      <c r="AL68" s="3">
        <v>1</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Unentschieden</v>
      </c>
      <c r="J69" s="80"/>
      <c r="K69" s="4"/>
      <c r="L69" s="4"/>
      <c r="M69" s="4"/>
      <c r="N69" s="4"/>
      <c r="O69" s="4"/>
      <c r="P69" s="80" t="str">
        <f>IF(P68=Q68,"Unentschieden",IF(P68&gt;Q68,P67,Q67))</f>
        <v>Norwegen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1</v>
      </c>
      <c r="J70" s="1">
        <f>IF(J68=I68,1,IF(J68&gt;I68,3,0))</f>
        <v>1</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x14ac:dyDescent="0.45">
      <c r="A74" s="4"/>
      <c r="B74" s="3">
        <v>1</v>
      </c>
      <c r="C74" s="3">
        <v>5</v>
      </c>
      <c r="D74" s="4"/>
      <c r="E74" s="4"/>
      <c r="F74" s="4"/>
      <c r="G74" s="4"/>
      <c r="H74" s="4"/>
      <c r="I74" s="3">
        <v>0</v>
      </c>
      <c r="J74" s="3">
        <v>1</v>
      </c>
      <c r="K74" s="4"/>
      <c r="L74" s="4"/>
      <c r="M74" s="4"/>
      <c r="N74" s="4"/>
      <c r="O74" s="4"/>
      <c r="P74" s="3">
        <v>1</v>
      </c>
      <c r="Q74" s="3">
        <v>4</v>
      </c>
      <c r="R74" s="4"/>
      <c r="S74" s="4"/>
      <c r="T74" s="4"/>
      <c r="U74" s="4"/>
      <c r="V74" s="4"/>
      <c r="W74" s="3">
        <v>1</v>
      </c>
      <c r="X74" s="3">
        <v>3</v>
      </c>
      <c r="Y74" s="4"/>
      <c r="Z74" s="4"/>
      <c r="AA74" s="4"/>
      <c r="AB74" s="4"/>
      <c r="AC74" s="4"/>
      <c r="AD74" s="3">
        <v>0</v>
      </c>
      <c r="AE74" s="3">
        <v>0</v>
      </c>
      <c r="AF74" s="4"/>
      <c r="AG74" s="4"/>
      <c r="AH74" s="4"/>
      <c r="AI74" s="4"/>
      <c r="AJ74" s="4"/>
      <c r="AK74" s="3">
        <v>0</v>
      </c>
      <c r="AL74" s="3">
        <v>2</v>
      </c>
      <c r="AM74" s="4"/>
      <c r="AN74" s="4"/>
      <c r="AO74" s="4"/>
      <c r="AP74" s="4"/>
    </row>
    <row r="75" spans="1:42"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England</v>
      </c>
      <c r="AL75" s="80"/>
      <c r="AM75" s="4"/>
      <c r="AN75" s="4"/>
      <c r="AO75" s="4"/>
      <c r="AP75" s="4"/>
    </row>
    <row r="76" spans="1:42"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x14ac:dyDescent="0.45">
      <c r="A79" s="4"/>
      <c r="B79" s="3">
        <v>1</v>
      </c>
      <c r="C79" s="3">
        <v>1</v>
      </c>
      <c r="D79" s="4"/>
      <c r="E79" s="4"/>
      <c r="F79" s="4"/>
      <c r="G79" s="4"/>
      <c r="H79" s="4"/>
      <c r="I79" s="3">
        <v>0</v>
      </c>
      <c r="J79" s="3">
        <v>0</v>
      </c>
      <c r="K79" s="4"/>
      <c r="L79" s="4"/>
      <c r="M79" s="4"/>
      <c r="N79" s="4"/>
      <c r="O79" s="4"/>
      <c r="P79" s="3">
        <v>5</v>
      </c>
      <c r="Q79" s="3">
        <v>0</v>
      </c>
      <c r="R79" s="4"/>
      <c r="S79" s="4"/>
      <c r="T79" s="4"/>
      <c r="U79" s="4"/>
      <c r="V79" s="4"/>
      <c r="W79" s="3">
        <v>3</v>
      </c>
      <c r="X79" s="3">
        <v>3</v>
      </c>
      <c r="Y79" s="4"/>
      <c r="Z79" s="4"/>
      <c r="AA79" s="4"/>
      <c r="AB79" s="4"/>
      <c r="AC79" s="4"/>
      <c r="AD79" s="3">
        <v>3</v>
      </c>
      <c r="AE79" s="3">
        <v>1</v>
      </c>
      <c r="AF79" s="4"/>
      <c r="AG79" s="4"/>
      <c r="AH79" s="4"/>
      <c r="AI79" s="4"/>
      <c r="AJ79" s="4"/>
      <c r="AK79" s="3">
        <v>2</v>
      </c>
      <c r="AL79" s="3">
        <v>1</v>
      </c>
      <c r="AM79" s="4"/>
      <c r="AN79" s="4"/>
      <c r="AO79" s="4"/>
      <c r="AP79" s="4"/>
    </row>
    <row r="80" spans="1:42" x14ac:dyDescent="0.45">
      <c r="A80" s="4"/>
      <c r="B80" s="80" t="str">
        <f>IF(B79=C79,"Unentschieden",IF(B79&gt;C79,B78,C78))</f>
        <v>Unentschieden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x14ac:dyDescent="0.45">
      <c r="A84" s="7"/>
      <c r="B84" s="2" t="s">
        <v>63</v>
      </c>
      <c r="C84" s="1">
        <f>B54+B65+C76</f>
        <v>5</v>
      </c>
      <c r="D84" s="1">
        <f>B52+B63+C74</f>
        <v>6</v>
      </c>
      <c r="E84" s="1">
        <f>C52+C63+B74</f>
        <v>2</v>
      </c>
      <c r="F84" s="1">
        <f>D84-E84</f>
        <v>4</v>
      </c>
      <c r="G84" s="4"/>
      <c r="H84" s="7"/>
      <c r="I84" s="2" t="s">
        <v>65</v>
      </c>
      <c r="J84" s="1">
        <f>I54+I65+J76</f>
        <v>7</v>
      </c>
      <c r="K84" s="1">
        <f>I52+I63+J74</f>
        <v>5</v>
      </c>
      <c r="L84" s="1">
        <f>J52+J63+I74</f>
        <v>0</v>
      </c>
      <c r="M84" s="1">
        <f>K84-L84</f>
        <v>5</v>
      </c>
      <c r="N84" s="4"/>
      <c r="O84" s="13"/>
      <c r="P84" s="2" t="s">
        <v>67</v>
      </c>
      <c r="Q84" s="1">
        <f>P54+P65+Q76</f>
        <v>9</v>
      </c>
      <c r="R84" s="1">
        <f>P52+P63+Q74</f>
        <v>10</v>
      </c>
      <c r="S84" s="1">
        <f>Q52+Q63+P74</f>
        <v>2</v>
      </c>
      <c r="T84" s="1">
        <f>R84-S84</f>
        <v>8</v>
      </c>
      <c r="U84" s="4"/>
      <c r="V84" s="13"/>
      <c r="W84" s="2" t="s">
        <v>69</v>
      </c>
      <c r="X84" s="1">
        <f>W54+W65+X76</f>
        <v>9</v>
      </c>
      <c r="Y84" s="1">
        <f>W52+W63+X74</f>
        <v>8</v>
      </c>
      <c r="Z84" s="1">
        <f>X52+X63+W74</f>
        <v>1</v>
      </c>
      <c r="AA84" s="1">
        <f>Y84-Z84</f>
        <v>7</v>
      </c>
      <c r="AB84" s="4"/>
      <c r="AC84" s="13"/>
      <c r="AD84" s="2" t="s">
        <v>71</v>
      </c>
      <c r="AE84" s="1">
        <f>AD54+AD65+AE76</f>
        <v>5</v>
      </c>
      <c r="AF84" s="1">
        <f>AD52+AD63+AE74</f>
        <v>6</v>
      </c>
      <c r="AG84" s="1">
        <f>AE52+AE63+AD74</f>
        <v>1</v>
      </c>
      <c r="AH84" s="1">
        <f>AF84-AG84</f>
        <v>5</v>
      </c>
      <c r="AI84" s="4"/>
      <c r="AJ84" s="4"/>
      <c r="AK84" s="2" t="s">
        <v>73</v>
      </c>
      <c r="AL84" s="1">
        <f>AK54+AK65+AL76</f>
        <v>7</v>
      </c>
      <c r="AM84" s="1">
        <f>AK52+AK63+AL74</f>
        <v>6</v>
      </c>
      <c r="AN84" s="1">
        <f>AL52+AL63+AK74</f>
        <v>2</v>
      </c>
      <c r="AO84" s="1">
        <f>AM84-AN84</f>
        <v>4</v>
      </c>
      <c r="AP84" s="4"/>
    </row>
    <row r="85" spans="1:42" x14ac:dyDescent="0.45">
      <c r="A85" s="7"/>
      <c r="B85" s="2" t="s">
        <v>64</v>
      </c>
      <c r="C85" s="1">
        <f>C54+C70+B81</f>
        <v>5</v>
      </c>
      <c r="D85" s="1">
        <f>C52+C68+B79</f>
        <v>5</v>
      </c>
      <c r="E85" s="1">
        <f>B52+B68+C79</f>
        <v>3</v>
      </c>
      <c r="F85" s="1">
        <f>D85-E85</f>
        <v>2</v>
      </c>
      <c r="G85" s="4"/>
      <c r="H85" s="7"/>
      <c r="I85" s="2" t="s">
        <v>66</v>
      </c>
      <c r="J85" s="1">
        <f>J54+J70+I81</f>
        <v>3</v>
      </c>
      <c r="K85" s="1">
        <f>J52+J68+I79</f>
        <v>2</v>
      </c>
      <c r="L85" s="1">
        <f>I52+I68+J79</f>
        <v>2</v>
      </c>
      <c r="M85" s="1">
        <f>K85-L85</f>
        <v>0</v>
      </c>
      <c r="N85" s="4"/>
      <c r="O85" s="13"/>
      <c r="P85" s="2" t="s">
        <v>68</v>
      </c>
      <c r="Q85" s="1">
        <f>Q54+Q70+P81</f>
        <v>3</v>
      </c>
      <c r="R85" s="1">
        <f>Q52+Q68+P79</f>
        <v>8</v>
      </c>
      <c r="S85" s="1">
        <f>P52+P68+Q79</f>
        <v>6</v>
      </c>
      <c r="T85" s="1">
        <f>R85-S85</f>
        <v>2</v>
      </c>
      <c r="U85" s="4"/>
      <c r="V85" s="13"/>
      <c r="W85" s="2" t="s">
        <v>70</v>
      </c>
      <c r="X85" s="1">
        <f>X54+X70+W81</f>
        <v>4</v>
      </c>
      <c r="Y85" s="1">
        <f>X52+X68+W79</f>
        <v>5</v>
      </c>
      <c r="Z85" s="1">
        <f>W52+W68+X79</f>
        <v>7</v>
      </c>
      <c r="AA85" s="1">
        <f>Y85-Z85</f>
        <v>-2</v>
      </c>
      <c r="AB85" s="4"/>
      <c r="AC85" s="13"/>
      <c r="AD85" s="2" t="s">
        <v>72</v>
      </c>
      <c r="AE85" s="1">
        <f>AE54+AE70+AD81</f>
        <v>4</v>
      </c>
      <c r="AF85" s="1">
        <f>AE52+AE68+AD79</f>
        <v>4</v>
      </c>
      <c r="AG85" s="1">
        <f>AD52+AD68+AE79</f>
        <v>3</v>
      </c>
      <c r="AH85" s="1">
        <f>AF85-AG85</f>
        <v>1</v>
      </c>
      <c r="AI85" s="4"/>
      <c r="AJ85" s="4"/>
      <c r="AK85" s="2" t="s">
        <v>74</v>
      </c>
      <c r="AL85" s="1">
        <f>AL54+AL70+AK81</f>
        <v>6</v>
      </c>
      <c r="AM85" s="1">
        <f>AL52+AL68+AK79</f>
        <v>5</v>
      </c>
      <c r="AN85" s="1">
        <f>AK52+AK68+AL79</f>
        <v>5</v>
      </c>
      <c r="AO85" s="1">
        <f>AM85-AN85</f>
        <v>0</v>
      </c>
      <c r="AP85" s="4"/>
    </row>
    <row r="86" spans="1:42" x14ac:dyDescent="0.45">
      <c r="A86" s="8"/>
      <c r="B86" s="2" t="s">
        <v>75</v>
      </c>
      <c r="C86" s="1">
        <f>B59+C65+C81</f>
        <v>3</v>
      </c>
      <c r="D86" s="1">
        <f>B57+C63+C79</f>
        <v>3</v>
      </c>
      <c r="E86" s="1">
        <f>C57+B63+B79</f>
        <v>3</v>
      </c>
      <c r="F86" s="1">
        <f>D86-E86</f>
        <v>0</v>
      </c>
      <c r="G86" s="4"/>
      <c r="H86" s="8"/>
      <c r="I86" s="2" t="s">
        <v>77</v>
      </c>
      <c r="J86" s="1">
        <f>I59+J65+J81</f>
        <v>2</v>
      </c>
      <c r="K86" s="1">
        <f>I57+J63+J79</f>
        <v>1</v>
      </c>
      <c r="L86" s="1">
        <f>J57+I63+I79</f>
        <v>5</v>
      </c>
      <c r="M86" s="1">
        <f>K86-L86</f>
        <v>-4</v>
      </c>
      <c r="N86" s="4"/>
      <c r="O86" s="13"/>
      <c r="P86" s="2" t="s">
        <v>79</v>
      </c>
      <c r="Q86" s="1">
        <f>P59+Q65+Q81</f>
        <v>0</v>
      </c>
      <c r="R86" s="1">
        <f>P57+Q63+Q79</f>
        <v>1</v>
      </c>
      <c r="S86" s="1">
        <f>Q57+P63+P79</f>
        <v>12</v>
      </c>
      <c r="T86" s="1">
        <f>R86-S86</f>
        <v>-11</v>
      </c>
      <c r="U86" s="4"/>
      <c r="V86" s="13"/>
      <c r="W86" s="2" t="s">
        <v>81</v>
      </c>
      <c r="X86" s="1">
        <f>W59+X65+X81</f>
        <v>4</v>
      </c>
      <c r="Y86" s="1">
        <f>W57+X63+X79</f>
        <v>6</v>
      </c>
      <c r="Z86" s="1">
        <f>X57+W63+W79</f>
        <v>6</v>
      </c>
      <c r="AA86" s="1">
        <f>Y86-Z86</f>
        <v>0</v>
      </c>
      <c r="AB86" s="4"/>
      <c r="AC86" s="13"/>
      <c r="AD86" s="2" t="s">
        <v>83</v>
      </c>
      <c r="AE86" s="1">
        <f>AD59+AE65+AE81</f>
        <v>0</v>
      </c>
      <c r="AF86" s="1">
        <f>AD57+AE63+AE79</f>
        <v>2</v>
      </c>
      <c r="AG86" s="1">
        <f>AE57+AD63+AD79</f>
        <v>11</v>
      </c>
      <c r="AH86" s="1">
        <f>AF86-AG86</f>
        <v>-9</v>
      </c>
      <c r="AI86" s="4"/>
      <c r="AJ86" s="4"/>
      <c r="AK86" s="2" t="s">
        <v>85</v>
      </c>
      <c r="AL86" s="1">
        <f>AK59+AL65+AL81</f>
        <v>4</v>
      </c>
      <c r="AM86" s="1">
        <f>AK57+AL63+AL79</f>
        <v>2</v>
      </c>
      <c r="AN86" s="1">
        <f>AL57+AK63+AK79</f>
        <v>2</v>
      </c>
      <c r="AO86" s="1">
        <f>AM86-AN86</f>
        <v>0</v>
      </c>
      <c r="AP86" s="4"/>
    </row>
    <row r="87" spans="1:42" x14ac:dyDescent="0.45">
      <c r="A87" s="9"/>
      <c r="B87" s="2" t="s">
        <v>76</v>
      </c>
      <c r="C87" s="1">
        <f>C59+B70+B76</f>
        <v>1</v>
      </c>
      <c r="D87" s="1">
        <f>C57+B68+B74</f>
        <v>4</v>
      </c>
      <c r="E87" s="1">
        <f>B57+C68+C74</f>
        <v>10</v>
      </c>
      <c r="F87" s="1">
        <f>D87-E87</f>
        <v>-6</v>
      </c>
      <c r="G87" s="4"/>
      <c r="H87" s="9"/>
      <c r="I87" s="2" t="s">
        <v>78</v>
      </c>
      <c r="J87" s="1">
        <f>J59+I70+I76</f>
        <v>2</v>
      </c>
      <c r="K87" s="1">
        <f>J57+I68+I74</f>
        <v>3</v>
      </c>
      <c r="L87" s="1">
        <f>I57+J68+J74</f>
        <v>4</v>
      </c>
      <c r="M87" s="1">
        <f>K87-L87</f>
        <v>-1</v>
      </c>
      <c r="N87" s="4"/>
      <c r="O87" s="13"/>
      <c r="P87" s="2" t="s">
        <v>80</v>
      </c>
      <c r="Q87" s="1">
        <f>Q59+P70+P76</f>
        <v>6</v>
      </c>
      <c r="R87" s="1">
        <f>Q57+P68+P74</f>
        <v>8</v>
      </c>
      <c r="S87" s="1">
        <f>P57+Q68+Q74</f>
        <v>7</v>
      </c>
      <c r="T87" s="1">
        <f>R87-S87</f>
        <v>1</v>
      </c>
      <c r="U87" s="4"/>
      <c r="V87" s="13"/>
      <c r="W87" s="2" t="s">
        <v>82</v>
      </c>
      <c r="X87" s="1">
        <f>X59+W70+W76</f>
        <v>0</v>
      </c>
      <c r="Y87" s="1">
        <f>X57+W68+W74</f>
        <v>3</v>
      </c>
      <c r="Z87" s="1">
        <f>W57+X68+X74</f>
        <v>8</v>
      </c>
      <c r="AA87" s="1">
        <f>Y87-Z87</f>
        <v>-5</v>
      </c>
      <c r="AB87" s="4"/>
      <c r="AC87" s="13"/>
      <c r="AD87" s="2" t="s">
        <v>84</v>
      </c>
      <c r="AE87" s="1">
        <f>AE59+AD70+AD76</f>
        <v>7</v>
      </c>
      <c r="AF87" s="1">
        <f>AE57+AD68+AD74</f>
        <v>4</v>
      </c>
      <c r="AG87" s="1">
        <f>AD57+AE68+AE74</f>
        <v>1</v>
      </c>
      <c r="AH87" s="1">
        <f>AF87-AG87</f>
        <v>3</v>
      </c>
      <c r="AI87" s="4"/>
      <c r="AJ87" s="4"/>
      <c r="AK87" s="2" t="s">
        <v>86</v>
      </c>
      <c r="AL87" s="1">
        <f>AL59+AK70+AK76</f>
        <v>0</v>
      </c>
      <c r="AM87" s="1">
        <f>AL57+AK68+AK74</f>
        <v>0</v>
      </c>
      <c r="AN87" s="1">
        <f>AK57+AL68+AL74</f>
        <v>4</v>
      </c>
      <c r="AO87" s="1">
        <f>AM87-AN87</f>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10">
        <v>1</v>
      </c>
      <c r="B90" s="2" t="str">
        <f t="array" ref="B90:B93">_xlfn.SORTBY(B84:B87,C84:C87,-1,F84:F87,-1,D84:D87,-1)</f>
        <v>Belgien</v>
      </c>
      <c r="C90" s="1">
        <f t="array" ref="C90:C93">_xlfn.SORTBY(C84:C87,C84:C87,-1,F84:F87,-1,D84:D87,-1)</f>
        <v>5</v>
      </c>
      <c r="D90" s="1">
        <f t="array" ref="D90:D93">_xlfn.SORTBY(D84:D87,C84:C87,-1,F84:F87,-1,D84:D87,-1)</f>
        <v>6</v>
      </c>
      <c r="E90" s="1">
        <f t="array" ref="E90:E93">_xlfn.SORTBY(E84:E87,C84:C87,-1,F84:F87,-1,D84:D87,-1)</f>
        <v>2</v>
      </c>
      <c r="F90" s="1">
        <f t="array" ref="F90:F93">_xlfn.SORTBY(F84:F87,C84:C87,-1,F84:F87,-1,D84:D87,-1)</f>
        <v>4</v>
      </c>
      <c r="G90" s="4"/>
      <c r="H90" s="10">
        <v>1</v>
      </c>
      <c r="I90" s="2" t="str">
        <f t="array" ref="I90:I93">_xlfn.SORTBY(I84:I87,J84:J87,-1,M84:M87,-1,K84:K87,-1)</f>
        <v>Spanien</v>
      </c>
      <c r="J90" s="1">
        <f t="array" ref="J90:J93">_xlfn.SORTBY(J84:J87,J84:J87,-1,M84:M87,-1,K84:K87,-1)</f>
        <v>7</v>
      </c>
      <c r="K90" s="1">
        <f t="array" ref="K90:K93">_xlfn.SORTBY(K84:K87,J84:J87,-1,M84:M87,-1,K84:K87,-1)</f>
        <v>5</v>
      </c>
      <c r="L90" s="1">
        <f t="array" ref="L90:L93">_xlfn.SORTBY(L84:L87,J84:J87,-1,M84:M87,-1,K84:K87,-1)</f>
        <v>0</v>
      </c>
      <c r="M90" s="1">
        <f t="array" ref="M90:M93">_xlfn.SORTBY(M84:M87,J84:J87,-1,M84:M87,-1,K84:K87,-1)</f>
        <v>5</v>
      </c>
      <c r="N90" s="4"/>
      <c r="O90" s="10">
        <v>1</v>
      </c>
      <c r="P90" s="2" t="str">
        <f t="array" ref="P90:P93">_xlfn.SORTBY(P84:P87,Q84:Q87,-1,T84:T87,-1,R84:R87,-1)</f>
        <v>Frankreich</v>
      </c>
      <c r="Q90" s="1">
        <f t="array" ref="Q90:Q93">_xlfn.SORTBY(Q84:Q87,Q84:Q87,-1,T84:T87,-1,R84:R87,-1)</f>
        <v>9</v>
      </c>
      <c r="R90" s="1">
        <f t="array" ref="R90:R93">_xlfn.SORTBY(R84:R87,Q84:Q87,-1,T84:T87,-1,R84:R87,-1)</f>
        <v>10</v>
      </c>
      <c r="S90" s="1">
        <f t="array" ref="S90:S93">_xlfn.SORTBY(S84:S87,Q84:Q87,-1,T84:T87,-1,R84:R87,-1)</f>
        <v>2</v>
      </c>
      <c r="T90" s="1">
        <f t="array" ref="T90:T93">_xlfn.SORTBY(T84:T87,Q84:Q87,-1,T84:T87,-1,R84:R87,-1)</f>
        <v>8</v>
      </c>
      <c r="U90" s="4"/>
      <c r="V90" s="10">
        <v>1</v>
      </c>
      <c r="W90" s="2" t="str">
        <f t="array" ref="W90:W93">_xlfn.SORTBY(W84:W87,X84:X87,-1,AA84:AA87,-1,Y84:Y87,-1)</f>
        <v>Argentinien</v>
      </c>
      <c r="X90" s="1">
        <f t="array" ref="X90:X93">_xlfn.SORTBY(X84:X87,X84:X87,-1,AA84:AA87,-1,Y84:Y87,-1)</f>
        <v>9</v>
      </c>
      <c r="Y90" s="1">
        <f t="array" ref="Y90:Y93">_xlfn.SORTBY(Y84:Y87,X84:X87,-1,AA84:AA87,-1,Y84:Y87,-1)</f>
        <v>8</v>
      </c>
      <c r="Z90" s="1">
        <f t="array" ref="Z90:Z93">_xlfn.SORTBY(Z84:Z87,X84:X87,-1,AA84:AA87,-1,Y84:Y87,-1)</f>
        <v>1</v>
      </c>
      <c r="AA90" s="1">
        <f t="array" ref="AA90:AA93">_xlfn.SORTBY(AA84:AA87,X84:X87,-1,AA84:AA87,-1,Y84:Y87,-1)</f>
        <v>7</v>
      </c>
      <c r="AB90" s="4"/>
      <c r="AC90" s="10">
        <v>1</v>
      </c>
      <c r="AD90" s="2" t="str">
        <f t="array" ref="AD90:AD93">_xlfn.SORTBY(AD84:AD87,AE84:AE87,-1,AH84:AH87,-1,AF84:AF87,-1)</f>
        <v>Kolumbien</v>
      </c>
      <c r="AE90" s="1">
        <f t="array" ref="AE90:AE93">_xlfn.SORTBY(AE84:AE87,AE84:AE87,-1,AH84:AH87,-1,AF84:AF87,-1)</f>
        <v>7</v>
      </c>
      <c r="AF90" s="1">
        <f t="array" ref="AF90:AF93">_xlfn.SORTBY(AF84:AF87,AE84:AE87,-1,AH84:AH87,-1,AF84:AF87,-1)</f>
        <v>4</v>
      </c>
      <c r="AG90" s="1">
        <f t="array" ref="AG90:AG93">_xlfn.SORTBY(AG84:AG87,AE84:AE87,-1,AH84:AH87,-1,AF84:AF87,-1)</f>
        <v>1</v>
      </c>
      <c r="AH90" s="1">
        <f t="array" ref="AH90:AH93">_xlfn.SORTBY(AH84:AH87,AE84:AE87,-1,AH84:AH87,-1,AF84:AF87,-1)</f>
        <v>3</v>
      </c>
      <c r="AI90" s="4"/>
      <c r="AJ90" s="10">
        <v>1</v>
      </c>
      <c r="AK90" s="2" t="str">
        <f t="array" ref="AK90:AK93">_xlfn.SORTBY(AK84:AK87,AL84:AL87,-1,AO84:AO87,-1,AM84:AM87,-1)</f>
        <v>England</v>
      </c>
      <c r="AL90" s="1">
        <f t="array" ref="AL90:AL93">_xlfn.SORTBY(AL84:AL87,AL84:AL87,-1,AO84:AO87,-1,AM84:AM87,-1)</f>
        <v>7</v>
      </c>
      <c r="AM90" s="1">
        <f t="array" ref="AM90:AM93">_xlfn.SORTBY(AM84:AM87,AL84:AL87,-1,AO84:AO87,-1,AM84:AM87,-1)</f>
        <v>6</v>
      </c>
      <c r="AN90" s="1">
        <f t="array" ref="AN90:AN93">_xlfn.SORTBY(AN84:AN87,AL84:AL87,-1,AO84:AO87,-1,AM84:AM87,-1)</f>
        <v>2</v>
      </c>
      <c r="AO90" s="1">
        <f t="array" ref="AO90:AO93">_xlfn.SORTBY(AO84:AO87,AL84:AL87,-1,AO84:AO87,-1,AM84:AM87,-1)</f>
        <v>4</v>
      </c>
      <c r="AP90" s="4"/>
    </row>
    <row r="91" spans="1:42" x14ac:dyDescent="0.45">
      <c r="A91" s="10">
        <v>2</v>
      </c>
      <c r="B91" s="2" t="str">
        <v>Ägypten</v>
      </c>
      <c r="C91" s="1">
        <v>5</v>
      </c>
      <c r="D91" s="1">
        <v>5</v>
      </c>
      <c r="E91" s="1">
        <v>3</v>
      </c>
      <c r="F91" s="1">
        <v>2</v>
      </c>
      <c r="G91" s="4"/>
      <c r="H91" s="10">
        <v>2</v>
      </c>
      <c r="I91" s="2" t="str">
        <v>Kap Verde</v>
      </c>
      <c r="J91" s="1">
        <v>3</v>
      </c>
      <c r="K91" s="1">
        <v>2</v>
      </c>
      <c r="L91" s="1">
        <v>2</v>
      </c>
      <c r="M91" s="1">
        <v>0</v>
      </c>
      <c r="N91" s="4"/>
      <c r="O91" s="10">
        <v>2</v>
      </c>
      <c r="P91" s="2" t="str">
        <v>Norwegen</v>
      </c>
      <c r="Q91" s="1">
        <v>6</v>
      </c>
      <c r="R91" s="1">
        <v>8</v>
      </c>
      <c r="S91" s="1">
        <v>7</v>
      </c>
      <c r="T91" s="1">
        <v>1</v>
      </c>
      <c r="U91" s="4"/>
      <c r="V91" s="10">
        <v>2</v>
      </c>
      <c r="W91" s="2" t="str">
        <v>Österreich</v>
      </c>
      <c r="X91" s="1">
        <v>4</v>
      </c>
      <c r="Y91" s="1">
        <v>6</v>
      </c>
      <c r="Z91" s="1">
        <v>6</v>
      </c>
      <c r="AA91" s="1">
        <v>0</v>
      </c>
      <c r="AB91" s="4"/>
      <c r="AC91" s="10">
        <v>2</v>
      </c>
      <c r="AD91" s="2" t="str">
        <v>Portugal</v>
      </c>
      <c r="AE91" s="1">
        <v>5</v>
      </c>
      <c r="AF91" s="1">
        <v>6</v>
      </c>
      <c r="AG91" s="1">
        <v>1</v>
      </c>
      <c r="AH91" s="1">
        <v>5</v>
      </c>
      <c r="AI91" s="4"/>
      <c r="AJ91" s="10">
        <v>2</v>
      </c>
      <c r="AK91" s="2" t="str">
        <v>Kroatien</v>
      </c>
      <c r="AL91" s="1">
        <v>6</v>
      </c>
      <c r="AM91" s="1">
        <v>5</v>
      </c>
      <c r="AN91" s="1">
        <v>5</v>
      </c>
      <c r="AO91" s="1">
        <v>0</v>
      </c>
      <c r="AP91" s="4"/>
    </row>
    <row r="92" spans="1:42" x14ac:dyDescent="0.45">
      <c r="A92" s="11">
        <v>3</v>
      </c>
      <c r="B92" s="2" t="str">
        <v>Iran</v>
      </c>
      <c r="C92" s="1">
        <v>3</v>
      </c>
      <c r="D92" s="1">
        <v>3</v>
      </c>
      <c r="E92" s="1">
        <v>3</v>
      </c>
      <c r="F92" s="1">
        <v>0</v>
      </c>
      <c r="G92" s="4"/>
      <c r="H92" s="11">
        <v>3</v>
      </c>
      <c r="I92" s="2" t="str">
        <v>Uruguay</v>
      </c>
      <c r="J92" s="1">
        <v>2</v>
      </c>
      <c r="K92" s="1">
        <v>3</v>
      </c>
      <c r="L92" s="1">
        <v>4</v>
      </c>
      <c r="M92" s="1">
        <v>-1</v>
      </c>
      <c r="N92" s="4"/>
      <c r="O92" s="11">
        <v>3</v>
      </c>
      <c r="P92" s="2" t="str">
        <v>Senegal</v>
      </c>
      <c r="Q92" s="1">
        <v>3</v>
      </c>
      <c r="R92" s="1">
        <v>8</v>
      </c>
      <c r="S92" s="1">
        <v>6</v>
      </c>
      <c r="T92" s="1">
        <v>2</v>
      </c>
      <c r="U92" s="4"/>
      <c r="V92" s="11">
        <v>3</v>
      </c>
      <c r="W92" s="2" t="str">
        <v>Algerien</v>
      </c>
      <c r="X92" s="1">
        <v>4</v>
      </c>
      <c r="Y92" s="1">
        <v>5</v>
      </c>
      <c r="Z92" s="1">
        <v>7</v>
      </c>
      <c r="AA92" s="1">
        <v>-2</v>
      </c>
      <c r="AB92" s="4"/>
      <c r="AC92" s="11">
        <v>3</v>
      </c>
      <c r="AD92" s="2" t="str">
        <v>DR Kongo</v>
      </c>
      <c r="AE92" s="1">
        <v>4</v>
      </c>
      <c r="AF92" s="1">
        <v>4</v>
      </c>
      <c r="AG92" s="1">
        <v>3</v>
      </c>
      <c r="AH92" s="1">
        <v>1</v>
      </c>
      <c r="AI92" s="4"/>
      <c r="AJ92" s="11">
        <v>3</v>
      </c>
      <c r="AK92" s="2" t="str">
        <v>Ghana</v>
      </c>
      <c r="AL92" s="1">
        <v>4</v>
      </c>
      <c r="AM92" s="1">
        <v>2</v>
      </c>
      <c r="AN92" s="1">
        <v>2</v>
      </c>
      <c r="AO92" s="1">
        <v>0</v>
      </c>
      <c r="AP92" s="4"/>
    </row>
    <row r="93" spans="1:42" x14ac:dyDescent="0.45">
      <c r="A93" s="12">
        <v>4</v>
      </c>
      <c r="B93" s="2" t="str">
        <v>Neuseeland</v>
      </c>
      <c r="C93" s="1">
        <v>1</v>
      </c>
      <c r="D93" s="1">
        <v>4</v>
      </c>
      <c r="E93" s="1">
        <v>10</v>
      </c>
      <c r="F93" s="1">
        <v>-6</v>
      </c>
      <c r="G93" s="4"/>
      <c r="H93" s="12">
        <v>4</v>
      </c>
      <c r="I93" s="2" t="str">
        <v>Saudi-Arabien</v>
      </c>
      <c r="J93" s="1">
        <v>2</v>
      </c>
      <c r="K93" s="1">
        <v>1</v>
      </c>
      <c r="L93" s="1">
        <v>5</v>
      </c>
      <c r="M93" s="1">
        <v>-4</v>
      </c>
      <c r="N93" s="4"/>
      <c r="O93" s="12">
        <v>4</v>
      </c>
      <c r="P93" s="2" t="str">
        <v>Irak</v>
      </c>
      <c r="Q93" s="1">
        <v>0</v>
      </c>
      <c r="R93" s="1">
        <v>1</v>
      </c>
      <c r="S93" s="1">
        <v>12</v>
      </c>
      <c r="T93" s="1">
        <v>-11</v>
      </c>
      <c r="U93" s="4"/>
      <c r="V93" s="12">
        <v>4</v>
      </c>
      <c r="W93" s="2" t="str">
        <v>Jordanien</v>
      </c>
      <c r="X93" s="1">
        <v>0</v>
      </c>
      <c r="Y93" s="1">
        <v>3</v>
      </c>
      <c r="Z93" s="1">
        <v>8</v>
      </c>
      <c r="AA93" s="1">
        <v>-5</v>
      </c>
      <c r="AB93" s="4"/>
      <c r="AC93" s="12">
        <v>4</v>
      </c>
      <c r="AD93" s="2" t="str">
        <v>Usbekistan</v>
      </c>
      <c r="AE93" s="1">
        <v>0</v>
      </c>
      <c r="AF93" s="1">
        <v>2</v>
      </c>
      <c r="AG93" s="1">
        <v>11</v>
      </c>
      <c r="AH93" s="1">
        <v>-9</v>
      </c>
      <c r="AI93" s="4"/>
      <c r="AJ93" s="12">
        <v>4</v>
      </c>
      <c r="AK93" s="2" t="str">
        <v>Panama</v>
      </c>
      <c r="AL93" s="1">
        <v>0</v>
      </c>
      <c r="AM93" s="1">
        <v>0</v>
      </c>
      <c r="AN93" s="1">
        <v>4</v>
      </c>
      <c r="AO93" s="1">
        <v>-4</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R98" s="82" t="str">
        <f>B92</f>
        <v>Iran</v>
      </c>
      <c r="S98" s="82"/>
      <c r="T98" s="82"/>
      <c r="U98" s="2">
        <f>C92</f>
        <v>3</v>
      </c>
      <c r="V98" s="2">
        <f>D92</f>
        <v>3</v>
      </c>
      <c r="W98" s="2">
        <f>E92</f>
        <v>3</v>
      </c>
      <c r="X98" s="2">
        <f>F92</f>
        <v>0</v>
      </c>
    </row>
    <row r="99" spans="17:24" x14ac:dyDescent="0.45">
      <c r="R99" s="82" t="str">
        <f>I92</f>
        <v>Uruguay</v>
      </c>
      <c r="S99" s="82"/>
      <c r="T99" s="82"/>
      <c r="U99" s="2">
        <f>J92</f>
        <v>2</v>
      </c>
      <c r="V99" s="2">
        <f>K92</f>
        <v>3</v>
      </c>
      <c r="W99" s="2">
        <f>L92</f>
        <v>4</v>
      </c>
      <c r="X99" s="2">
        <f>M92</f>
        <v>-1</v>
      </c>
    </row>
    <row r="100" spans="17:24" x14ac:dyDescent="0.45">
      <c r="R100" s="82" t="str">
        <f>P92</f>
        <v>Senegal</v>
      </c>
      <c r="S100" s="82"/>
      <c r="T100" s="82"/>
      <c r="U100" s="2">
        <f>Q92</f>
        <v>3</v>
      </c>
      <c r="V100" s="2">
        <f>R92</f>
        <v>8</v>
      </c>
      <c r="W100" s="2">
        <f>S92</f>
        <v>6</v>
      </c>
      <c r="X100" s="2">
        <f>T92</f>
        <v>2</v>
      </c>
    </row>
    <row r="101" spans="17:24" x14ac:dyDescent="0.45">
      <c r="R101" s="82" t="str">
        <f>W92</f>
        <v>Algerien</v>
      </c>
      <c r="S101" s="82"/>
      <c r="T101" s="82"/>
      <c r="U101" s="2">
        <f>X92</f>
        <v>4</v>
      </c>
      <c r="V101" s="2">
        <f>Y92</f>
        <v>5</v>
      </c>
      <c r="W101" s="2">
        <f>Z92</f>
        <v>7</v>
      </c>
      <c r="X101" s="2">
        <f>AA92</f>
        <v>-2</v>
      </c>
    </row>
    <row r="102" spans="17:24" x14ac:dyDescent="0.45">
      <c r="R102" s="82" t="str">
        <f>AD92</f>
        <v>DR Kongo</v>
      </c>
      <c r="S102" s="82"/>
      <c r="T102" s="82"/>
      <c r="U102" s="2">
        <f>AE92</f>
        <v>4</v>
      </c>
      <c r="V102" s="2">
        <f>AF92</f>
        <v>4</v>
      </c>
      <c r="W102" s="2">
        <f>AG92</f>
        <v>3</v>
      </c>
      <c r="X102" s="2">
        <f>AH92</f>
        <v>1</v>
      </c>
    </row>
    <row r="103" spans="17:24" x14ac:dyDescent="0.45">
      <c r="R103" s="82" t="str">
        <f>AK92</f>
        <v>Ghana</v>
      </c>
      <c r="S103" s="82"/>
      <c r="T103" s="82"/>
      <c r="U103" s="2">
        <f>AL92</f>
        <v>4</v>
      </c>
      <c r="V103" s="2">
        <f>AM92</f>
        <v>2</v>
      </c>
      <c r="W103" s="2">
        <f>AN92</f>
        <v>2</v>
      </c>
      <c r="X103" s="2">
        <f>AO92</f>
        <v>0</v>
      </c>
    </row>
    <row r="104" spans="17:24" x14ac:dyDescent="0.45">
      <c r="R104" s="82" t="str">
        <f>B45</f>
        <v>Südkorea</v>
      </c>
      <c r="S104" s="82"/>
      <c r="T104" s="82"/>
      <c r="U104" s="2">
        <f>C45</f>
        <v>3</v>
      </c>
      <c r="V104" s="2">
        <f>D45</f>
        <v>2</v>
      </c>
      <c r="W104" s="2">
        <f>E45</f>
        <v>3</v>
      </c>
      <c r="X104" s="2">
        <f>F45</f>
        <v>-1</v>
      </c>
    </row>
    <row r="105" spans="17:24" x14ac:dyDescent="0.45">
      <c r="R105" s="82" t="str">
        <f>I45</f>
        <v>Bosnien-Herz.</v>
      </c>
      <c r="S105" s="82"/>
      <c r="T105" s="82"/>
      <c r="U105" s="2">
        <f>J45</f>
        <v>4</v>
      </c>
      <c r="V105" s="2">
        <f>K45</f>
        <v>5</v>
      </c>
      <c r="W105" s="2">
        <f>L45</f>
        <v>6</v>
      </c>
      <c r="X105" s="2">
        <f>M45</f>
        <v>-1</v>
      </c>
    </row>
    <row r="106" spans="17:24" x14ac:dyDescent="0.45">
      <c r="R106" s="82" t="str">
        <f>P45</f>
        <v>Schottland</v>
      </c>
      <c r="S106" s="82"/>
      <c r="T106" s="82"/>
      <c r="U106" s="2">
        <f>Q45</f>
        <v>3</v>
      </c>
      <c r="V106" s="2">
        <f>R45</f>
        <v>1</v>
      </c>
      <c r="W106" s="2">
        <f>S45</f>
        <v>4</v>
      </c>
      <c r="X106" s="2">
        <f>T45</f>
        <v>-3</v>
      </c>
    </row>
    <row r="107" spans="17:24" x14ac:dyDescent="0.45">
      <c r="R107" s="82" t="str">
        <f>W45</f>
        <v>Paraguay</v>
      </c>
      <c r="S107" s="82"/>
      <c r="T107" s="82"/>
      <c r="U107" s="2">
        <f>X45</f>
        <v>4</v>
      </c>
      <c r="V107" s="2">
        <f>Y45</f>
        <v>2</v>
      </c>
      <c r="W107" s="2">
        <f>Z45</f>
        <v>4</v>
      </c>
      <c r="X107" s="2">
        <f>AA45</f>
        <v>-2</v>
      </c>
    </row>
    <row r="108" spans="17:24" x14ac:dyDescent="0.45">
      <c r="R108" s="82" t="str">
        <f>AD45</f>
        <v>Ecuador</v>
      </c>
      <c r="S108" s="82"/>
      <c r="T108" s="82"/>
      <c r="U108" s="2">
        <f>AE45</f>
        <v>4</v>
      </c>
      <c r="V108" s="2">
        <f>AF45</f>
        <v>2</v>
      </c>
      <c r="W108" s="2">
        <f>AG45</f>
        <v>2</v>
      </c>
      <c r="X108" s="2">
        <f>AH45</f>
        <v>0</v>
      </c>
    </row>
    <row r="109" spans="17:24" x14ac:dyDescent="0.45">
      <c r="R109" s="82" t="str">
        <f>AK45</f>
        <v>Schweden</v>
      </c>
      <c r="S109" s="82"/>
      <c r="T109" s="82"/>
      <c r="U109" s="2">
        <f>AL45</f>
        <v>4</v>
      </c>
      <c r="V109" s="2">
        <f>AM45</f>
        <v>7</v>
      </c>
      <c r="W109" s="2">
        <f>AN45</f>
        <v>7</v>
      </c>
      <c r="X109" s="2">
        <f>AO45</f>
        <v>0</v>
      </c>
    </row>
    <row r="112" spans="17:24" x14ac:dyDescent="0.45">
      <c r="Q112" s="10">
        <v>1</v>
      </c>
      <c r="R112" s="2" t="str">
        <f t="array" ref="R112:R123">_xlfn.SORTBY(R98:R109,U98:U109,-1,X98:X109,-1,V98:V109,-1)</f>
        <v>DR Kongo</v>
      </c>
      <c r="U112" s="2">
        <f t="array" ref="U112:U123">_xlfn.SORTBY(U98:U109,U98:U109,-1,X98:X109,-1,V98:V109,-1)</f>
        <v>4</v>
      </c>
      <c r="V112" s="2">
        <f t="array" ref="V112:V123">_xlfn.SORTBY(V98:V109,U98:U109,-1,X98:X109,-1,V98:V109,-1)</f>
        <v>4</v>
      </c>
      <c r="W112" s="2">
        <f t="array" ref="W112:W123">_xlfn.SORTBY(W98:W109,U98:U109,-1,X98:X109,-1,V98:V109,-1)</f>
        <v>3</v>
      </c>
      <c r="X112" s="2">
        <f t="array" ref="X112:X123">_xlfn.SORTBY(X98:X109,U98:U109,-1,X98:X109,-1,V98:V109,-1)</f>
        <v>1</v>
      </c>
    </row>
    <row r="113" spans="17:24" x14ac:dyDescent="0.45">
      <c r="Q113" s="10">
        <v>2</v>
      </c>
      <c r="R113" s="2" t="str">
        <v>Schweden</v>
      </c>
      <c r="U113" s="2">
        <v>4</v>
      </c>
      <c r="V113" s="2">
        <v>7</v>
      </c>
      <c r="W113" s="2">
        <v>7</v>
      </c>
      <c r="X113" s="2">
        <v>0</v>
      </c>
    </row>
    <row r="114" spans="17:24" x14ac:dyDescent="0.45">
      <c r="Q114" s="10">
        <v>3</v>
      </c>
      <c r="R114" s="2" t="str">
        <v>Ghana</v>
      </c>
      <c r="U114" s="2">
        <v>4</v>
      </c>
      <c r="V114" s="2">
        <v>2</v>
      </c>
      <c r="W114" s="2">
        <v>2</v>
      </c>
      <c r="X114" s="2">
        <v>0</v>
      </c>
    </row>
    <row r="115" spans="17:24" x14ac:dyDescent="0.45">
      <c r="Q115" s="10">
        <v>4</v>
      </c>
      <c r="R115" s="2" t="str">
        <v>Ecuador</v>
      </c>
      <c r="U115" s="2">
        <v>4</v>
      </c>
      <c r="V115" s="2">
        <v>2</v>
      </c>
      <c r="W115" s="2">
        <v>2</v>
      </c>
      <c r="X115" s="2">
        <v>0</v>
      </c>
    </row>
    <row r="116" spans="17:24" x14ac:dyDescent="0.45">
      <c r="Q116" s="10">
        <v>5</v>
      </c>
      <c r="R116" s="2" t="str">
        <v>Bosnien-Herz.</v>
      </c>
      <c r="U116" s="2">
        <v>4</v>
      </c>
      <c r="V116" s="2">
        <v>5</v>
      </c>
      <c r="W116" s="2">
        <v>6</v>
      </c>
      <c r="X116" s="2">
        <v>-1</v>
      </c>
    </row>
    <row r="117" spans="17:24" x14ac:dyDescent="0.45">
      <c r="Q117" s="10">
        <v>6</v>
      </c>
      <c r="R117" s="2" t="str">
        <v>Algerien</v>
      </c>
      <c r="U117" s="2">
        <v>4</v>
      </c>
      <c r="V117" s="2">
        <v>5</v>
      </c>
      <c r="W117" s="2">
        <v>7</v>
      </c>
      <c r="X117" s="2">
        <v>-2</v>
      </c>
    </row>
    <row r="118" spans="17:24" x14ac:dyDescent="0.45">
      <c r="Q118" s="10">
        <v>7</v>
      </c>
      <c r="R118" s="2" t="str">
        <v>Paraguay</v>
      </c>
      <c r="U118" s="2">
        <v>4</v>
      </c>
      <c r="V118" s="2">
        <v>2</v>
      </c>
      <c r="W118" s="2">
        <v>4</v>
      </c>
      <c r="X118" s="2">
        <v>-2</v>
      </c>
    </row>
    <row r="119" spans="17:24" x14ac:dyDescent="0.45">
      <c r="Q119" s="10">
        <v>8</v>
      </c>
      <c r="R119" s="2" t="str">
        <v>Senegal</v>
      </c>
      <c r="U119" s="2">
        <v>3</v>
      </c>
      <c r="V119" s="2">
        <v>8</v>
      </c>
      <c r="W119" s="2">
        <v>6</v>
      </c>
      <c r="X119" s="2">
        <v>2</v>
      </c>
    </row>
    <row r="120" spans="17:24" x14ac:dyDescent="0.45">
      <c r="Q120" s="12">
        <v>9</v>
      </c>
      <c r="R120" s="2" t="str">
        <v>Iran</v>
      </c>
      <c r="U120" s="2">
        <v>3</v>
      </c>
      <c r="V120" s="2">
        <v>3</v>
      </c>
      <c r="W120" s="2">
        <v>3</v>
      </c>
      <c r="X120" s="2">
        <v>0</v>
      </c>
    </row>
    <row r="121" spans="17:24" x14ac:dyDescent="0.45">
      <c r="Q121" s="12">
        <v>10</v>
      </c>
      <c r="R121" s="2" t="str">
        <v>Südkorea</v>
      </c>
      <c r="U121" s="2">
        <v>3</v>
      </c>
      <c r="V121" s="2">
        <v>2</v>
      </c>
      <c r="W121" s="2">
        <v>3</v>
      </c>
      <c r="X121" s="2">
        <v>-1</v>
      </c>
    </row>
    <row r="122" spans="17:24" x14ac:dyDescent="0.45">
      <c r="Q122" s="12">
        <v>11</v>
      </c>
      <c r="R122" s="2" t="str">
        <v>Schottland</v>
      </c>
      <c r="U122" s="2">
        <v>3</v>
      </c>
      <c r="V122" s="2">
        <v>1</v>
      </c>
      <c r="W122" s="2">
        <v>4</v>
      </c>
      <c r="X122" s="2">
        <v>-3</v>
      </c>
    </row>
    <row r="123" spans="17:24" x14ac:dyDescent="0.45">
      <c r="Q123" s="12">
        <v>12</v>
      </c>
      <c r="R123" s="2" t="str">
        <v>Uruguay</v>
      </c>
      <c r="U123" s="2">
        <v>2</v>
      </c>
      <c r="V123" s="2">
        <v>3</v>
      </c>
      <c r="W123" s="2">
        <v>4</v>
      </c>
      <c r="X123" s="2">
        <v>-1</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360</v>
      </c>
    </row>
    <row r="155" spans="1:23" x14ac:dyDescent="0.45">
      <c r="A155" s="23" t="s">
        <v>103</v>
      </c>
      <c r="B155" s="24">
        <f>SUM(H160:H231)</f>
        <v>360</v>
      </c>
    </row>
    <row r="156" spans="1:23" x14ac:dyDescent="0.45">
      <c r="A156" s="23" t="s">
        <v>104</v>
      </c>
      <c r="B156" s="24">
        <f>SUM(E234:E265)</f>
        <v>160</v>
      </c>
    </row>
    <row r="157" spans="1:23" x14ac:dyDescent="0.45">
      <c r="A157" s="25" t="s">
        <v>105</v>
      </c>
      <c r="B157" s="26">
        <f>B154+B155+B156</f>
        <v>880</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5</v>
      </c>
    </row>
    <row r="162" spans="1:8" x14ac:dyDescent="0.45">
      <c r="A162" s="28">
        <v>3</v>
      </c>
      <c r="B162" s="29" t="s">
        <v>119</v>
      </c>
      <c r="C162" s="30" t="s">
        <v>120</v>
      </c>
      <c r="D162" s="30" t="s">
        <v>121</v>
      </c>
      <c r="E162" s="28">
        <f>Realität!B16</f>
        <v>1</v>
      </c>
      <c r="F162" s="28">
        <f>Realität!C16</f>
        <v>1</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5</v>
      </c>
    </row>
    <row r="164" spans="1:8" x14ac:dyDescent="0.45">
      <c r="A164" s="28">
        <v>5</v>
      </c>
      <c r="B164" s="29" t="s">
        <v>125</v>
      </c>
      <c r="C164" s="30" t="s">
        <v>126</v>
      </c>
      <c r="D164" s="30" t="s">
        <v>127</v>
      </c>
      <c r="E164" s="28">
        <f>Realität!B27</f>
        <v>1</v>
      </c>
      <c r="F164" s="28">
        <f>Realität!C27</f>
        <v>0</v>
      </c>
      <c r="G164" s="28">
        <f>IF(OR(B27="",Realität!B27=""),0,IF(SIGN(B27-C27)=SIGN(Realität!B27-Realität!C27),5,0))</f>
        <v>5</v>
      </c>
      <c r="H164" s="28">
        <f>IF(OR(B27="",Realität!B27=""),0,MAX(0,5-ABS(B27-Realität!B27)-ABS(C27-Realität!C27)))</f>
        <v>5</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5</v>
      </c>
    </row>
    <row r="166" spans="1:8" x14ac:dyDescent="0.45">
      <c r="A166" s="28">
        <v>7</v>
      </c>
      <c r="B166" s="29" t="s">
        <v>131</v>
      </c>
      <c r="C166" s="30" t="s">
        <v>132</v>
      </c>
      <c r="D166" s="30" t="s">
        <v>133</v>
      </c>
      <c r="E166" s="28">
        <f>Realität!I5</f>
        <v>1</v>
      </c>
      <c r="F166" s="28">
        <f>Realität!J5</f>
        <v>1</v>
      </c>
      <c r="G166" s="28">
        <f>IF(OR(I5="",Realität!I5=""),0,IF(SIGN(I5-J5)=SIGN(Realität!I5-Realität!J5),5,0))</f>
        <v>5</v>
      </c>
      <c r="H166" s="28">
        <f>IF(OR(I5="",Realität!I5=""),0,MAX(0,5-ABS(I5-Realität!I5)-ABS(J5-Realität!J5)))</f>
        <v>5</v>
      </c>
    </row>
    <row r="167" spans="1:8" x14ac:dyDescent="0.45">
      <c r="A167" s="28">
        <v>8</v>
      </c>
      <c r="B167" s="29" t="s">
        <v>134</v>
      </c>
      <c r="C167" s="30" t="s">
        <v>135</v>
      </c>
      <c r="D167" s="30" t="s">
        <v>136</v>
      </c>
      <c r="E167" s="28">
        <f>Realität!I10</f>
        <v>1</v>
      </c>
      <c r="F167" s="28">
        <f>Realität!J10</f>
        <v>1</v>
      </c>
      <c r="G167" s="28">
        <f>IF(OR(I10="",Realität!I10=""),0,IF(SIGN(I10-J10)=SIGN(Realität!I10-Realität!J10),5,0))</f>
        <v>5</v>
      </c>
      <c r="H167" s="28">
        <f>IF(OR(I10="",Realität!I10=""),0,MAX(0,5-ABS(I10-Realität!I10)-ABS(J10-Realität!J10)))</f>
        <v>5</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5</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5</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5</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5</v>
      </c>
      <c r="H172" s="28">
        <f>IF(OR(P5="",Realität!P5=""),0,MAX(0,5-ABS(P5-Realität!P5)-ABS(Q5-Realität!Q5)))</f>
        <v>5</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5</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5</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5</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5</v>
      </c>
    </row>
    <row r="179" spans="1:8" x14ac:dyDescent="0.45">
      <c r="A179" s="28">
        <v>20</v>
      </c>
      <c r="B179" s="29" t="s">
        <v>170</v>
      </c>
      <c r="C179" s="30" t="s">
        <v>171</v>
      </c>
      <c r="D179" s="30" t="s">
        <v>172</v>
      </c>
      <c r="E179" s="28">
        <f>Realität!W10</f>
        <v>2</v>
      </c>
      <c r="F179" s="28">
        <f>Realität!X10</f>
        <v>0</v>
      </c>
      <c r="G179" s="28">
        <f>IF(OR(W10="",Realität!W10=""),0,IF(SIGN(W10-X10)=SIGN(Realität!W10-Realität!X10),5,0))</f>
        <v>5</v>
      </c>
      <c r="H179" s="28">
        <f>IF(OR(W10="",Realität!W10=""),0,MAX(0,5-ABS(W10-Realität!W10)-ABS(X10-Realität!X10)))</f>
        <v>5</v>
      </c>
    </row>
    <row r="180" spans="1:8" x14ac:dyDescent="0.45">
      <c r="A180" s="28">
        <v>21</v>
      </c>
      <c r="B180" s="29" t="s">
        <v>173</v>
      </c>
      <c r="C180" s="30" t="s">
        <v>174</v>
      </c>
      <c r="D180" s="30" t="s">
        <v>175</v>
      </c>
      <c r="E180" s="28">
        <f>Realität!W16</f>
        <v>0</v>
      </c>
      <c r="F180" s="28">
        <f>Realität!X16</f>
        <v>1</v>
      </c>
      <c r="G180" s="28">
        <f>IF(OR(W16="",Realität!W16=""),0,IF(SIGN(W16-X16)=SIGN(Realität!W16-Realität!X16),5,0))</f>
        <v>5</v>
      </c>
      <c r="H180" s="28">
        <f>IF(OR(W16="",Realität!W16=""),0,MAX(0,5-ABS(W16-Realität!W16)-ABS(X16-Realität!X16)))</f>
        <v>5</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5</v>
      </c>
    </row>
    <row r="182" spans="1:8" x14ac:dyDescent="0.45">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5</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5</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5</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5</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5</v>
      </c>
      <c r="H186" s="28">
        <f>IF(OR(AD16="",Realität!AD16=""),0,MAX(0,5-ABS(AD16-Realität!AD16)-ABS(AE16-Realität!AE16)))</f>
        <v>5</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5</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5</v>
      </c>
      <c r="H189" s="28">
        <f>IF(OR(AD32="",Realität!AD32=""),0,MAX(0,5-ABS(AD32-Realität!AD32)-ABS(AE32-Realität!AE32)))</f>
        <v>5</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5</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5</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5</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5</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5</v>
      </c>
    </row>
    <row r="196" spans="1:8" x14ac:dyDescent="0.45">
      <c r="A196" s="28">
        <v>37</v>
      </c>
      <c r="B196" s="29" t="s">
        <v>221</v>
      </c>
      <c r="C196" s="30" t="s">
        <v>222</v>
      </c>
      <c r="D196" s="30" t="s">
        <v>223</v>
      </c>
      <c r="E196" s="28">
        <f>Realität!B52</f>
        <v>1</v>
      </c>
      <c r="F196" s="28">
        <f>Realität!C52</f>
        <v>1</v>
      </c>
      <c r="G196" s="28">
        <f>IF(OR(B52="",Realität!B52=""),0,IF(SIGN(B52-C52)=SIGN(Realität!B52-Realität!C52),5,0))</f>
        <v>5</v>
      </c>
      <c r="H196" s="28">
        <f>IF(OR(B52="",Realität!B52=""),0,MAX(0,5-ABS(B52-Realität!B52)-ABS(C52-Realität!C52)))</f>
        <v>5</v>
      </c>
    </row>
    <row r="197" spans="1:8" x14ac:dyDescent="0.45">
      <c r="A197" s="28">
        <v>38</v>
      </c>
      <c r="B197" s="29" t="s">
        <v>224</v>
      </c>
      <c r="C197" s="30" t="s">
        <v>225</v>
      </c>
      <c r="D197" s="30" t="s">
        <v>226</v>
      </c>
      <c r="E197" s="28">
        <f>Realität!B57</f>
        <v>2</v>
      </c>
      <c r="F197" s="28">
        <f>Realität!C57</f>
        <v>2</v>
      </c>
      <c r="G197" s="28">
        <f>IF(OR(B57="",Realität!B57=""),0,IF(SIGN(B57-C57)=SIGN(Realität!B57-Realität!C57),5,0))</f>
        <v>5</v>
      </c>
      <c r="H197" s="28">
        <f>IF(OR(B57="",Realität!B57=""),0,MAX(0,5-ABS(B57-Realität!B57)-ABS(C57-Realität!C57)))</f>
        <v>5</v>
      </c>
    </row>
    <row r="198" spans="1:8" x14ac:dyDescent="0.45">
      <c r="A198" s="28">
        <v>39</v>
      </c>
      <c r="B198" s="29" t="s">
        <v>227</v>
      </c>
      <c r="C198" s="30" t="s">
        <v>228</v>
      </c>
      <c r="D198" s="30" t="s">
        <v>229</v>
      </c>
      <c r="E198" s="28">
        <f>Realität!B63</f>
        <v>0</v>
      </c>
      <c r="F198" s="28">
        <f>Realität!C63</f>
        <v>0</v>
      </c>
      <c r="G198" s="28">
        <f>IF(OR(B63="",Realität!B63=""),0,IF(SIGN(B63-C63)=SIGN(Realität!B63-Realität!C63),5,0))</f>
        <v>5</v>
      </c>
      <c r="H198" s="28">
        <f>IF(OR(B63="",Realität!B63=""),0,MAX(0,5-ABS(B63-Realität!B63)-ABS(C63-Realität!C63)))</f>
        <v>5</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5</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5</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5</v>
      </c>
    </row>
    <row r="202" spans="1:8" x14ac:dyDescent="0.45">
      <c r="A202" s="28">
        <v>43</v>
      </c>
      <c r="B202" s="29" t="s">
        <v>239</v>
      </c>
      <c r="C202" s="30" t="s">
        <v>240</v>
      </c>
      <c r="D202" s="30" t="s">
        <v>241</v>
      </c>
      <c r="E202" s="28">
        <f>Realität!I52</f>
        <v>0</v>
      </c>
      <c r="F202" s="28">
        <f>Realität!J52</f>
        <v>0</v>
      </c>
      <c r="G202" s="28">
        <f>IF(OR(I52="",Realität!I52=""),0,IF(SIGN(I52-J52)=SIGN(Realität!I52-Realität!J52),5,0))</f>
        <v>5</v>
      </c>
      <c r="H202" s="28">
        <f>IF(OR(I52="",Realität!I52=""),0,MAX(0,5-ABS(I52-Realität!I52)-ABS(J52-Realität!J52)))</f>
        <v>5</v>
      </c>
    </row>
    <row r="203" spans="1:8" x14ac:dyDescent="0.45">
      <c r="A203" s="28">
        <v>44</v>
      </c>
      <c r="B203" s="29" t="s">
        <v>242</v>
      </c>
      <c r="C203" s="30" t="s">
        <v>243</v>
      </c>
      <c r="D203" s="30" t="s">
        <v>244</v>
      </c>
      <c r="E203" s="28">
        <f>Realität!I57</f>
        <v>1</v>
      </c>
      <c r="F203" s="28">
        <f>Realität!J57</f>
        <v>1</v>
      </c>
      <c r="G203" s="28">
        <f>IF(OR(I57="",Realität!I57=""),0,IF(SIGN(I57-J57)=SIGN(Realität!I57-Realität!J57),5,0))</f>
        <v>5</v>
      </c>
      <c r="H203" s="28">
        <f>IF(OR(I57="",Realität!I57=""),0,MAX(0,5-ABS(I57-Realität!I57)-ABS(J57-Realität!J57)))</f>
        <v>5</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5</v>
      </c>
    </row>
    <row r="205" spans="1:8" x14ac:dyDescent="0.45">
      <c r="A205" s="28">
        <v>46</v>
      </c>
      <c r="B205" s="29" t="s">
        <v>248</v>
      </c>
      <c r="C205" s="30" t="s">
        <v>249</v>
      </c>
      <c r="D205" s="30" t="s">
        <v>250</v>
      </c>
      <c r="E205" s="28">
        <f>Realität!I68</f>
        <v>2</v>
      </c>
      <c r="F205" s="28">
        <f>Realität!J68</f>
        <v>2</v>
      </c>
      <c r="G205" s="28">
        <f>IF(OR(I68="",Realität!I68=""),0,IF(SIGN(I68-J68)=SIGN(Realität!I68-Realität!J68),5,0))</f>
        <v>5</v>
      </c>
      <c r="H205" s="28">
        <f>IF(OR(I68="",Realität!I68=""),0,MAX(0,5-ABS(I68-Realität!I68)-ABS(J68-Realität!J68)))</f>
        <v>5</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5</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5</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5</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5</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5</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5</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5</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5</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5</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5</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5</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5</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5</v>
      </c>
      <c r="H220" s="28">
        <f>IF(OR(AD52="",Realität!AD52=""),0,MAX(0,5-ABS(AD52-Realität!AD52)-ABS(AE52-Realität!AE52)))</f>
        <v>5</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5</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5</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5</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5</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5</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5</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5</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5</v>
      </c>
      <c r="H228" s="28">
        <f>IF(OR(AK63="",Realität!AK63=""),0,MAX(0,5-ABS(AK63-Realität!AK63)-ABS(AL63-Realität!AL63)))</f>
        <v>5</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5</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5</v>
      </c>
    </row>
    <row r="232" spans="1:8" x14ac:dyDescent="0.45">
      <c r="A232" s="31" t="s">
        <v>329</v>
      </c>
      <c r="F232" s="23" t="s">
        <v>330</v>
      </c>
      <c r="G232" s="24">
        <f>SUM(G160:G231)</f>
        <v>360</v>
      </c>
      <c r="H232" s="24">
        <f>SUM(H160:H231)</f>
        <v>360</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Südafrika</v>
      </c>
      <c r="E235" s="28">
        <f t="shared" si="0"/>
        <v>5</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Kanada</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Australien</v>
      </c>
      <c r="D241" s="29" t="str">
        <f>W44</f>
        <v>Australien</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Elfenbeinküste</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Kap Verde</v>
      </c>
      <c r="E249" s="28">
        <f t="shared" si="0"/>
        <v>5</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Norwegen</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Österreich</v>
      </c>
      <c r="E253" s="28">
        <f t="shared" si="0"/>
        <v>5</v>
      </c>
    </row>
    <row r="254" spans="1:5" x14ac:dyDescent="0.45">
      <c r="A254" s="28">
        <v>21</v>
      </c>
      <c r="B254" s="29" t="s">
        <v>354</v>
      </c>
      <c r="C254" s="29" t="str">
        <f>Realität!AD90</f>
        <v>Kolumbien</v>
      </c>
      <c r="D254" s="29" t="str">
        <f>AD90</f>
        <v>Kolumbien</v>
      </c>
      <c r="E254" s="28">
        <f t="shared" si="0"/>
        <v>5</v>
      </c>
    </row>
    <row r="255" spans="1:5" x14ac:dyDescent="0.45">
      <c r="A255" s="28">
        <v>22</v>
      </c>
      <c r="B255" s="29" t="s">
        <v>355</v>
      </c>
      <c r="C255" s="29" t="str">
        <f>Realität!AD91</f>
        <v>Portugal</v>
      </c>
      <c r="D255" s="29" t="str">
        <f>AD91</f>
        <v>Portugal</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DR Kongo</v>
      </c>
      <c r="E258" s="28">
        <f t="shared" si="0"/>
        <v>5</v>
      </c>
    </row>
    <row r="259" spans="1:5" x14ac:dyDescent="0.45">
      <c r="A259" s="28">
        <v>26</v>
      </c>
      <c r="B259" s="29" t="s">
        <v>359</v>
      </c>
      <c r="C259" s="29" t="str">
        <f>Realität!R113</f>
        <v>Schweden</v>
      </c>
      <c r="D259" s="29" t="str">
        <f t="shared" si="1"/>
        <v>Schweden</v>
      </c>
      <c r="E259" s="28">
        <f t="shared" si="0"/>
        <v>5</v>
      </c>
    </row>
    <row r="260" spans="1:5" x14ac:dyDescent="0.45">
      <c r="A260" s="28">
        <v>27</v>
      </c>
      <c r="B260" s="29" t="s">
        <v>360</v>
      </c>
      <c r="C260" s="29" t="str">
        <f>Realität!R114</f>
        <v>Ghana</v>
      </c>
      <c r="D260" s="29" t="str">
        <f t="shared" si="1"/>
        <v>Ghana</v>
      </c>
      <c r="E260" s="28">
        <f t="shared" si="0"/>
        <v>5</v>
      </c>
    </row>
    <row r="261" spans="1:5" x14ac:dyDescent="0.45">
      <c r="A261" s="28">
        <v>28</v>
      </c>
      <c r="B261" s="29" t="s">
        <v>361</v>
      </c>
      <c r="C261" s="29" t="str">
        <f>Realität!R115</f>
        <v>Ecuador</v>
      </c>
      <c r="D261" s="29" t="str">
        <f t="shared" si="1"/>
        <v>Ecuador</v>
      </c>
      <c r="E261" s="28">
        <f t="shared" si="0"/>
        <v>5</v>
      </c>
    </row>
    <row r="262" spans="1:5" x14ac:dyDescent="0.45">
      <c r="A262" s="28">
        <v>29</v>
      </c>
      <c r="B262" s="29" t="s">
        <v>362</v>
      </c>
      <c r="C262" s="29" t="str">
        <f>Realität!R116</f>
        <v>Bosnien-Herz.</v>
      </c>
      <c r="D262" s="29" t="str">
        <f t="shared" si="1"/>
        <v>Bosnien-Herz.</v>
      </c>
      <c r="E262" s="28">
        <f t="shared" si="0"/>
        <v>5</v>
      </c>
    </row>
    <row r="263" spans="1:5" x14ac:dyDescent="0.45">
      <c r="A263" s="28">
        <v>30</v>
      </c>
      <c r="B263" s="29" t="s">
        <v>363</v>
      </c>
      <c r="C263" s="29" t="str">
        <f>Realität!R117</f>
        <v>Algerien</v>
      </c>
      <c r="D263" s="29" t="str">
        <f t="shared" si="1"/>
        <v>Algerien</v>
      </c>
      <c r="E263" s="28">
        <f t="shared" si="0"/>
        <v>5</v>
      </c>
    </row>
    <row r="264" spans="1:5" x14ac:dyDescent="0.45">
      <c r="A264" s="28">
        <v>31</v>
      </c>
      <c r="B264" s="29" t="s">
        <v>364</v>
      </c>
      <c r="C264" s="29" t="str">
        <f>Realität!R118</f>
        <v>Paraguay</v>
      </c>
      <c r="D264" s="29" t="str">
        <f t="shared" si="1"/>
        <v>Paraguay</v>
      </c>
      <c r="E264" s="28">
        <f t="shared" si="0"/>
        <v>5</v>
      </c>
    </row>
    <row r="265" spans="1:5" x14ac:dyDescent="0.45">
      <c r="A265" s="28">
        <v>32</v>
      </c>
      <c r="B265" s="29" t="s">
        <v>365</v>
      </c>
      <c r="C265" s="29" t="str">
        <f>Realität!R119</f>
        <v>Senegal</v>
      </c>
      <c r="D265" s="29" t="str">
        <f t="shared" si="1"/>
        <v>Senegal</v>
      </c>
      <c r="E265" s="28">
        <f t="shared" si="0"/>
        <v>5</v>
      </c>
    </row>
    <row r="266" spans="1:5" x14ac:dyDescent="0.45">
      <c r="D266" s="23" t="s">
        <v>330</v>
      </c>
      <c r="E266" s="24">
        <f>SUM(E234:E265)</f>
        <v>160</v>
      </c>
    </row>
  </sheetData>
  <mergeCells count="146">
    <mergeCell ref="AD80:AE80"/>
    <mergeCell ref="AD89:AE89"/>
    <mergeCell ref="AK33:AL33"/>
    <mergeCell ref="AK61:AL61"/>
    <mergeCell ref="AK75:AL75"/>
    <mergeCell ref="R106:T106"/>
    <mergeCell ref="P33:Q33"/>
    <mergeCell ref="A152:H152"/>
    <mergeCell ref="AC48:AF49"/>
    <mergeCell ref="P58:Q58"/>
    <mergeCell ref="P89:Q89"/>
    <mergeCell ref="R109:T109"/>
    <mergeCell ref="B75:C75"/>
    <mergeCell ref="W53:X53"/>
    <mergeCell ref="P64:Q64"/>
    <mergeCell ref="R104:T104"/>
    <mergeCell ref="I80:J80"/>
    <mergeCell ref="AD69:AE69"/>
    <mergeCell ref="P80:Q80"/>
    <mergeCell ref="B72:C72"/>
    <mergeCell ref="B80:C80"/>
    <mergeCell ref="AD72:AE72"/>
    <mergeCell ref="B89:C89"/>
    <mergeCell ref="O48:R49"/>
    <mergeCell ref="I89:J89"/>
    <mergeCell ref="R101:T101"/>
    <mergeCell ref="W89:X89"/>
    <mergeCell ref="P69:Q69"/>
    <mergeCell ref="R100:T100"/>
    <mergeCell ref="R107:T107"/>
    <mergeCell ref="P75:Q75"/>
    <mergeCell ref="R108:T108"/>
    <mergeCell ref="V48:Y49"/>
    <mergeCell ref="R98:T98"/>
    <mergeCell ref="W58:X58"/>
    <mergeCell ref="AK42:AL42"/>
    <mergeCell ref="B50:C50"/>
    <mergeCell ref="I53:J53"/>
    <mergeCell ref="R105:T105"/>
    <mergeCell ref="W72:X72"/>
    <mergeCell ref="R99:T99"/>
    <mergeCell ref="I69:J69"/>
    <mergeCell ref="AD58:AE58"/>
    <mergeCell ref="B69:C69"/>
    <mergeCell ref="B64:C64"/>
    <mergeCell ref="AK58:AL58"/>
    <mergeCell ref="I75:J75"/>
    <mergeCell ref="R97:T97"/>
    <mergeCell ref="W80:X80"/>
    <mergeCell ref="AK89:AL89"/>
    <mergeCell ref="AK72:AL72"/>
    <mergeCell ref="AD75:AE75"/>
    <mergeCell ref="H48:K49"/>
    <mergeCell ref="AK80:AL80"/>
    <mergeCell ref="P42:Q42"/>
    <mergeCell ref="R102:T102"/>
    <mergeCell ref="R103:T103"/>
    <mergeCell ref="P61:Q61"/>
    <mergeCell ref="B53:C53"/>
    <mergeCell ref="AD61:AE61"/>
    <mergeCell ref="I17:J17"/>
    <mergeCell ref="B22:C22"/>
    <mergeCell ref="B25:C25"/>
    <mergeCell ref="P50:Q50"/>
    <mergeCell ref="AD25:AE25"/>
    <mergeCell ref="I25:J25"/>
    <mergeCell ref="B61:C61"/>
    <mergeCell ref="I42:J42"/>
    <mergeCell ref="W42:X42"/>
    <mergeCell ref="B33:C33"/>
    <mergeCell ref="AD17:AE17"/>
    <mergeCell ref="P22:Q22"/>
    <mergeCell ref="W33:X33"/>
    <mergeCell ref="A48:D49"/>
    <mergeCell ref="B14:C14"/>
    <mergeCell ref="W50:X50"/>
    <mergeCell ref="I58:J58"/>
    <mergeCell ref="AD6:AE6"/>
    <mergeCell ref="W75:X75"/>
    <mergeCell ref="I22:J22"/>
    <mergeCell ref="AD22:AE22"/>
    <mergeCell ref="AK69:AL69"/>
    <mergeCell ref="AK11:AL11"/>
    <mergeCell ref="I14:J14"/>
    <mergeCell ref="AK22:AL22"/>
    <mergeCell ref="W61:X61"/>
    <mergeCell ref="AK6:AL6"/>
    <mergeCell ref="W25:X25"/>
    <mergeCell ref="AD64:AE64"/>
    <mergeCell ref="I11:J11"/>
    <mergeCell ref="AD33:AE33"/>
    <mergeCell ref="AK28:AL28"/>
    <mergeCell ref="AK14:AL14"/>
    <mergeCell ref="W22:X22"/>
    <mergeCell ref="AD42:AE42"/>
    <mergeCell ref="AK17:AL17"/>
    <mergeCell ref="W17:X17"/>
    <mergeCell ref="P25:Q25"/>
    <mergeCell ref="V1:Y2"/>
    <mergeCell ref="AJ48:AM49"/>
    <mergeCell ref="W64:X64"/>
    <mergeCell ref="I72:J72"/>
    <mergeCell ref="AD28:AE28"/>
    <mergeCell ref="P11:Q11"/>
    <mergeCell ref="W11:X11"/>
    <mergeCell ref="P14:Q14"/>
    <mergeCell ref="AC1:AF2"/>
    <mergeCell ref="I6:J6"/>
    <mergeCell ref="W69:X69"/>
    <mergeCell ref="AK50:AL50"/>
    <mergeCell ref="O1:R2"/>
    <mergeCell ref="AK3:AL3"/>
    <mergeCell ref="P72:Q72"/>
    <mergeCell ref="AK25:AL25"/>
    <mergeCell ref="H1:K2"/>
    <mergeCell ref="I61:J61"/>
    <mergeCell ref="I28:J28"/>
    <mergeCell ref="W14:X14"/>
    <mergeCell ref="W28:X28"/>
    <mergeCell ref="AK53:AL53"/>
    <mergeCell ref="I33:J33"/>
    <mergeCell ref="P28:Q28"/>
    <mergeCell ref="B1:C2"/>
    <mergeCell ref="B58:C58"/>
    <mergeCell ref="B42:C42"/>
    <mergeCell ref="B17:C17"/>
    <mergeCell ref="P17:Q17"/>
    <mergeCell ref="AK64:AL64"/>
    <mergeCell ref="B28:C28"/>
    <mergeCell ref="AD11:AE11"/>
    <mergeCell ref="P53:Q53"/>
    <mergeCell ref="AJ1:AM2"/>
    <mergeCell ref="I64:J64"/>
    <mergeCell ref="P3:Q3"/>
    <mergeCell ref="AD53:AE53"/>
    <mergeCell ref="AD50:AE50"/>
    <mergeCell ref="I50:J50"/>
    <mergeCell ref="I3:J3"/>
    <mergeCell ref="B11:C11"/>
    <mergeCell ref="B6:C6"/>
    <mergeCell ref="B3:C3"/>
    <mergeCell ref="W6:X6"/>
    <mergeCell ref="P6:Q6"/>
    <mergeCell ref="AD3:AE3"/>
    <mergeCell ref="W3:X3"/>
    <mergeCell ref="AD14:AE14"/>
  </mergeCells>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C044-030F-4BF5-A825-CB563B74E3A2}">
  <dimension ref="A1:AP266"/>
  <sheetViews>
    <sheetView workbookViewId="0">
      <selection activeCell="AO123" sqref="A1:AO123"/>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4</v>
      </c>
      <c r="C5" s="38">
        <v>0</v>
      </c>
      <c r="D5" s="4"/>
      <c r="E5" s="4"/>
      <c r="F5" s="4"/>
      <c r="G5" s="4"/>
      <c r="H5" s="4"/>
      <c r="I5" s="38">
        <v>1</v>
      </c>
      <c r="J5" s="38">
        <v>2</v>
      </c>
      <c r="K5" s="4"/>
      <c r="L5" s="4"/>
      <c r="M5" s="4"/>
      <c r="N5" s="4"/>
      <c r="O5" s="4"/>
      <c r="P5" s="38">
        <v>2</v>
      </c>
      <c r="Q5" s="38">
        <v>1</v>
      </c>
      <c r="R5" s="4"/>
      <c r="S5" s="4"/>
      <c r="T5" s="4"/>
      <c r="U5" s="4"/>
      <c r="V5" s="4"/>
      <c r="W5" s="38">
        <v>2</v>
      </c>
      <c r="X5" s="38">
        <v>1</v>
      </c>
      <c r="Y5" s="4"/>
      <c r="Z5" s="4"/>
      <c r="AA5" s="4"/>
      <c r="AB5" s="4"/>
      <c r="AC5" s="4"/>
      <c r="AD5" s="38">
        <v>4</v>
      </c>
      <c r="AE5" s="38">
        <v>1</v>
      </c>
      <c r="AF5" s="4"/>
      <c r="AG5" s="4"/>
      <c r="AH5" s="4"/>
      <c r="AI5" s="4"/>
      <c r="AJ5" s="4"/>
      <c r="AK5" s="38">
        <v>2</v>
      </c>
      <c r="AL5" s="38">
        <v>0</v>
      </c>
      <c r="AM5" s="4"/>
      <c r="AN5" s="4"/>
      <c r="AO5" s="4"/>
      <c r="AP5" s="4"/>
    </row>
    <row r="6" spans="1:42" x14ac:dyDescent="0.45">
      <c r="A6" s="4"/>
      <c r="B6" s="80" t="str">
        <f>IF(B5=C5,"Unentschieden",IF(B5&gt;C5,B4,C4))</f>
        <v>Mexiko</v>
      </c>
      <c r="C6" s="80"/>
      <c r="D6" s="4"/>
      <c r="E6" s="4"/>
      <c r="F6" s="4"/>
      <c r="G6" s="4"/>
      <c r="H6" s="4"/>
      <c r="I6" s="80" t="str">
        <f>IF(I5=J5,"Unentschieden",IF(I5&gt;J5,I4,J4))</f>
        <v>Bosnien-Herz.</v>
      </c>
      <c r="J6" s="80"/>
      <c r="K6" s="4"/>
      <c r="L6" s="4"/>
      <c r="M6" s="4"/>
      <c r="N6" s="4"/>
      <c r="O6" s="4"/>
      <c r="P6" s="80" t="str">
        <f>IF(P5=Q5,"Unentschieden",IF(P5&gt;Q5,P4,Q4))</f>
        <v>Brasilien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1</v>
      </c>
      <c r="D10" s="4"/>
      <c r="E10" s="4"/>
      <c r="F10" s="4"/>
      <c r="G10" s="4"/>
      <c r="H10" s="4"/>
      <c r="I10" s="38">
        <v>0</v>
      </c>
      <c r="J10" s="38">
        <v>3</v>
      </c>
      <c r="K10" s="4"/>
      <c r="L10" s="4"/>
      <c r="M10" s="4"/>
      <c r="N10" s="4"/>
      <c r="O10" s="4"/>
      <c r="P10" s="38">
        <v>0</v>
      </c>
      <c r="Q10" s="38">
        <v>2</v>
      </c>
      <c r="R10" s="4"/>
      <c r="S10" s="4"/>
      <c r="T10" s="4"/>
      <c r="U10" s="4"/>
      <c r="V10" s="4"/>
      <c r="W10" s="38">
        <v>0</v>
      </c>
      <c r="X10" s="38">
        <v>1</v>
      </c>
      <c r="Y10" s="4"/>
      <c r="Z10" s="4"/>
      <c r="AA10" s="4"/>
      <c r="AB10" s="4"/>
      <c r="AC10" s="4"/>
      <c r="AD10" s="38">
        <v>1</v>
      </c>
      <c r="AE10" s="38">
        <v>1</v>
      </c>
      <c r="AF10" s="4"/>
      <c r="AG10" s="4"/>
      <c r="AH10" s="4"/>
      <c r="AI10" s="4"/>
      <c r="AJ10" s="4"/>
      <c r="AK10" s="38">
        <v>2</v>
      </c>
      <c r="AL10" s="38">
        <v>0</v>
      </c>
      <c r="AM10" s="4"/>
      <c r="AN10" s="4"/>
      <c r="AO10" s="4"/>
      <c r="AP10" s="4"/>
    </row>
    <row r="11" spans="1:42" x14ac:dyDescent="0.45">
      <c r="A11" s="4"/>
      <c r="B11" s="80" t="str">
        <f>IF(B10=C10,"Unentschieden",IF(B10&gt;C10,B9,C9))</f>
        <v>Tschechien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Unentschieden</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0</v>
      </c>
      <c r="D16" s="4"/>
      <c r="E16" s="4"/>
      <c r="F16" s="4"/>
      <c r="G16" s="4"/>
      <c r="H16" s="4"/>
      <c r="I16" s="38">
        <v>2</v>
      </c>
      <c r="J16" s="38">
        <v>1</v>
      </c>
      <c r="K16" s="4"/>
      <c r="L16" s="4"/>
      <c r="M16" s="4"/>
      <c r="N16" s="4"/>
      <c r="O16" s="4"/>
      <c r="P16" s="38">
        <v>1</v>
      </c>
      <c r="Q16" s="38">
        <v>0</v>
      </c>
      <c r="R16" s="4"/>
      <c r="S16" s="4"/>
      <c r="T16" s="4"/>
      <c r="U16" s="4"/>
      <c r="V16" s="4"/>
      <c r="W16" s="38">
        <v>1</v>
      </c>
      <c r="X16" s="38">
        <v>1</v>
      </c>
      <c r="Y16" s="4"/>
      <c r="Z16" s="4"/>
      <c r="AA16" s="4"/>
      <c r="AB16" s="4"/>
      <c r="AC16" s="4"/>
      <c r="AD16" s="38">
        <v>2</v>
      </c>
      <c r="AE16" s="38">
        <v>0</v>
      </c>
      <c r="AF16" s="4"/>
      <c r="AG16" s="4"/>
      <c r="AH16" s="4"/>
      <c r="AI16" s="4"/>
      <c r="AJ16" s="4"/>
      <c r="AK16" s="38">
        <v>0</v>
      </c>
      <c r="AL16" s="38">
        <v>1</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Schottland</v>
      </c>
      <c r="Q17" s="80"/>
      <c r="R17" s="4"/>
      <c r="S17" s="4"/>
      <c r="T17" s="4"/>
      <c r="U17" s="4"/>
      <c r="V17" s="4"/>
      <c r="W17" s="80" t="str">
        <f>IF(W16=X16,"Unentschieden",IF(W16&gt;X16,W15,X15))</f>
        <v>Unentschieden</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3</v>
      </c>
      <c r="Q18" s="1">
        <f>IF(Q16=P16,1,IF(Q16&gt;P16,3,0))</f>
        <v>0</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2</v>
      </c>
      <c r="J21" s="38">
        <v>1</v>
      </c>
      <c r="K21" s="4"/>
      <c r="L21" s="4"/>
      <c r="M21" s="4"/>
      <c r="N21" s="4"/>
      <c r="O21" s="4"/>
      <c r="P21" s="38">
        <v>5</v>
      </c>
      <c r="Q21" s="38">
        <v>0</v>
      </c>
      <c r="R21" s="4"/>
      <c r="S21" s="4"/>
      <c r="T21" s="4"/>
      <c r="U21" s="4"/>
      <c r="V21" s="4"/>
      <c r="W21" s="38">
        <v>1</v>
      </c>
      <c r="X21" s="38">
        <v>1</v>
      </c>
      <c r="Y21" s="4"/>
      <c r="Z21" s="4"/>
      <c r="AA21" s="4"/>
      <c r="AB21" s="4"/>
      <c r="AC21" s="4"/>
      <c r="AD21" s="38">
        <v>1</v>
      </c>
      <c r="AE21" s="38">
        <v>1</v>
      </c>
      <c r="AF21" s="4"/>
      <c r="AG21" s="4"/>
      <c r="AH21" s="4"/>
      <c r="AI21" s="4"/>
      <c r="AJ21" s="4"/>
      <c r="AK21" s="38">
        <v>2</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Unentschieden</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1</v>
      </c>
      <c r="AE23" s="1">
        <f>IF(AE21=AD21,1,IF(AE21&gt;AD21,3,0))</f>
        <v>1</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2</v>
      </c>
      <c r="J27" s="38">
        <v>0</v>
      </c>
      <c r="K27" s="4"/>
      <c r="L27" s="4"/>
      <c r="M27" s="4"/>
      <c r="N27" s="4"/>
      <c r="O27" s="4"/>
      <c r="P27" s="38">
        <v>4</v>
      </c>
      <c r="Q27" s="38">
        <v>0</v>
      </c>
      <c r="R27" s="4"/>
      <c r="S27" s="4"/>
      <c r="T27" s="4"/>
      <c r="U27" s="4"/>
      <c r="V27" s="4"/>
      <c r="W27" s="38">
        <v>1</v>
      </c>
      <c r="X27" s="38">
        <v>2</v>
      </c>
      <c r="Y27" s="4"/>
      <c r="Z27" s="4"/>
      <c r="AA27" s="4"/>
      <c r="AB27" s="4"/>
      <c r="AC27" s="4"/>
      <c r="AD27" s="38">
        <v>1</v>
      </c>
      <c r="AE27" s="38">
        <v>1</v>
      </c>
      <c r="AF27" s="4"/>
      <c r="AG27" s="4"/>
      <c r="AH27" s="4"/>
      <c r="AI27" s="4"/>
      <c r="AJ27" s="4"/>
      <c r="AK27" s="38">
        <v>2</v>
      </c>
      <c r="AL27" s="38">
        <v>2</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Australien</v>
      </c>
      <c r="X28" s="80"/>
      <c r="Y28" s="4"/>
      <c r="Z28" s="4"/>
      <c r="AA28" s="4"/>
      <c r="AB28" s="4"/>
      <c r="AC28" s="4"/>
      <c r="AD28" s="80" t="str">
        <f>IF(AD27=AE27,"Unentschieden",IF(AD27&gt;AE27,AD26,AE26))</f>
        <v>Unentschieden</v>
      </c>
      <c r="AE28" s="80"/>
      <c r="AF28" s="4"/>
      <c r="AG28" s="4"/>
      <c r="AH28" s="4"/>
      <c r="AI28" s="4"/>
      <c r="AJ28" s="4"/>
      <c r="AK28" s="80" t="str">
        <f>IF(AK27=AL27,"Unentschieden",IF(AK27&gt;AL27,AK26,AL26))</f>
        <v>Unentschieden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1</v>
      </c>
      <c r="AE29" s="1">
        <f>IF(AE27=AD27,1,IF(AE27&gt;AD27,3,0))</f>
        <v>1</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0</v>
      </c>
      <c r="K32" s="4"/>
      <c r="L32" s="4"/>
      <c r="M32" s="4"/>
      <c r="N32" s="4"/>
      <c r="O32" s="4"/>
      <c r="P32" s="38">
        <v>0</v>
      </c>
      <c r="Q32" s="38">
        <v>1</v>
      </c>
      <c r="R32" s="4"/>
      <c r="S32" s="4"/>
      <c r="T32" s="4"/>
      <c r="U32" s="4"/>
      <c r="V32" s="4"/>
      <c r="W32" s="38">
        <v>2</v>
      </c>
      <c r="X32" s="38">
        <v>1</v>
      </c>
      <c r="Y32" s="4"/>
      <c r="Z32" s="4"/>
      <c r="AA32" s="4"/>
      <c r="AB32" s="4"/>
      <c r="AC32" s="4"/>
      <c r="AD32" s="38">
        <v>1</v>
      </c>
      <c r="AE32" s="38">
        <v>3</v>
      </c>
      <c r="AF32" s="4"/>
      <c r="AG32" s="4"/>
      <c r="AH32" s="4"/>
      <c r="AI32" s="4"/>
      <c r="AJ32" s="4"/>
      <c r="AK32" s="38">
        <v>0</v>
      </c>
      <c r="AL32" s="38">
        <v>4</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7</v>
      </c>
      <c r="E37" s="1">
        <f>C5+C21+B32</f>
        <v>2</v>
      </c>
      <c r="F37" s="1">
        <f>D37-E37</f>
        <v>5</v>
      </c>
      <c r="G37" s="4"/>
      <c r="H37" s="37"/>
      <c r="I37" s="2" t="s">
        <v>27</v>
      </c>
      <c r="J37" s="1">
        <f>I7+I23+J34</f>
        <v>3</v>
      </c>
      <c r="K37" s="1">
        <f>I5+I21+J32</f>
        <v>3</v>
      </c>
      <c r="L37" s="1">
        <f>J5+J21+I32</f>
        <v>4</v>
      </c>
      <c r="M37" s="1">
        <f>K37-L37</f>
        <v>-1</v>
      </c>
      <c r="N37" s="4"/>
      <c r="O37" s="13"/>
      <c r="P37" s="2" t="s">
        <v>29</v>
      </c>
      <c r="Q37" s="1">
        <f>P7+P23+Q34</f>
        <v>9</v>
      </c>
      <c r="R37" s="1">
        <f>P5+P21+Q32</f>
        <v>8</v>
      </c>
      <c r="S37" s="1">
        <f>Q5+Q21+P32</f>
        <v>1</v>
      </c>
      <c r="T37" s="1">
        <f>R37-S37</f>
        <v>7</v>
      </c>
      <c r="U37" s="4"/>
      <c r="V37" s="13"/>
      <c r="W37" s="2" t="s">
        <v>31</v>
      </c>
      <c r="X37" s="1">
        <f>W7+W23+X34</f>
        <v>4</v>
      </c>
      <c r="Y37" s="1">
        <f>W5+W21+X32</f>
        <v>4</v>
      </c>
      <c r="Z37" s="1">
        <f>X5+X21+W32</f>
        <v>4</v>
      </c>
      <c r="AA37" s="1">
        <f>Y37-Z37</f>
        <v>0</v>
      </c>
      <c r="AB37" s="4"/>
      <c r="AC37" s="13"/>
      <c r="AD37" s="2" t="s">
        <v>33</v>
      </c>
      <c r="AE37" s="1">
        <f>AD7+AD23+AE34</f>
        <v>7</v>
      </c>
      <c r="AF37" s="1">
        <f>AD5+AD21+AE32</f>
        <v>8</v>
      </c>
      <c r="AG37" s="1">
        <f>AE5+AE21+AD32</f>
        <v>3</v>
      </c>
      <c r="AH37" s="1">
        <f>AF37-AG37</f>
        <v>5</v>
      </c>
      <c r="AI37" s="4"/>
      <c r="AJ37" s="4"/>
      <c r="AK37" s="2" t="s">
        <v>35</v>
      </c>
      <c r="AL37" s="1">
        <f>AK7+AK23+AL34</f>
        <v>9</v>
      </c>
      <c r="AM37" s="1">
        <f>AK5+AK21+AL32</f>
        <v>8</v>
      </c>
      <c r="AN37" s="1">
        <f>AL5+AL21+AK32</f>
        <v>1</v>
      </c>
      <c r="AO37" s="1">
        <f>AM37-AN37</f>
        <v>7</v>
      </c>
      <c r="AP37" s="4"/>
    </row>
    <row r="38" spans="1:42" x14ac:dyDescent="0.45">
      <c r="A38" s="37"/>
      <c r="B38" s="2" t="s">
        <v>26</v>
      </c>
      <c r="C38" s="1">
        <f>C7+C18+B29</f>
        <v>0</v>
      </c>
      <c r="D38" s="1">
        <f>C5+C16+B27</f>
        <v>0</v>
      </c>
      <c r="E38" s="1">
        <f>B5+B16+C27</f>
        <v>8</v>
      </c>
      <c r="F38" s="1">
        <f>D38-E38</f>
        <v>-8</v>
      </c>
      <c r="G38" s="4"/>
      <c r="H38" s="37"/>
      <c r="I38" s="2" t="s">
        <v>28</v>
      </c>
      <c r="J38" s="1">
        <f>J7+J18+I29</f>
        <v>6</v>
      </c>
      <c r="K38" s="1">
        <f>J5+J16+I27</f>
        <v>5</v>
      </c>
      <c r="L38" s="1">
        <f>I5+I16+J27</f>
        <v>3</v>
      </c>
      <c r="M38" s="1">
        <f>K38-L38</f>
        <v>2</v>
      </c>
      <c r="N38" s="4"/>
      <c r="O38" s="13"/>
      <c r="P38" s="2" t="s">
        <v>30</v>
      </c>
      <c r="Q38" s="1">
        <f>Q7+Q18+P29</f>
        <v>3</v>
      </c>
      <c r="R38" s="1">
        <f>Q5+Q16+P27</f>
        <v>5</v>
      </c>
      <c r="S38" s="1">
        <f>P5+P16+Q27</f>
        <v>3</v>
      </c>
      <c r="T38" s="1">
        <f>R38-S38</f>
        <v>2</v>
      </c>
      <c r="U38" s="4"/>
      <c r="V38" s="13"/>
      <c r="W38" s="2" t="s">
        <v>32</v>
      </c>
      <c r="X38" s="1">
        <f>X7+X18+W29</f>
        <v>1</v>
      </c>
      <c r="Y38" s="1">
        <f>X5+X16+W27</f>
        <v>3</v>
      </c>
      <c r="Z38" s="1">
        <f>W5+W16+X27</f>
        <v>5</v>
      </c>
      <c r="AA38" s="1">
        <f>Y38-Z38</f>
        <v>-2</v>
      </c>
      <c r="AB38" s="4"/>
      <c r="AC38" s="13"/>
      <c r="AD38" s="2" t="s">
        <v>34</v>
      </c>
      <c r="AE38" s="1">
        <f>AE7+AE18+AD29</f>
        <v>1</v>
      </c>
      <c r="AF38" s="1">
        <f>AE5+AE16+AD27</f>
        <v>2</v>
      </c>
      <c r="AG38" s="1">
        <f>AD5+AD16+AE27</f>
        <v>7</v>
      </c>
      <c r="AH38" s="1">
        <f>AF38-AG38</f>
        <v>-5</v>
      </c>
      <c r="AI38" s="4"/>
      <c r="AJ38" s="4"/>
      <c r="AK38" s="2" t="s">
        <v>36</v>
      </c>
      <c r="AL38" s="1">
        <f>AL7+AL18+AK29</f>
        <v>4</v>
      </c>
      <c r="AM38" s="1">
        <f>AL5+AL16+AK27</f>
        <v>3</v>
      </c>
      <c r="AN38" s="1">
        <f>AK5+AK16+AL27</f>
        <v>4</v>
      </c>
      <c r="AO38" s="1">
        <f>AM38-AN38</f>
        <v>-1</v>
      </c>
      <c r="AP38" s="4"/>
    </row>
    <row r="39" spans="1:42" x14ac:dyDescent="0.45">
      <c r="A39" s="36"/>
      <c r="B39" s="2" t="s">
        <v>37</v>
      </c>
      <c r="C39" s="1">
        <f>B12+C23+C29</f>
        <v>3</v>
      </c>
      <c r="D39" s="1">
        <f>B10+C21+C27</f>
        <v>3</v>
      </c>
      <c r="E39" s="1">
        <f>C10+B21+B27</f>
        <v>3</v>
      </c>
      <c r="F39" s="1">
        <f>D39-E39</f>
        <v>0</v>
      </c>
      <c r="G39" s="4"/>
      <c r="H39" s="36"/>
      <c r="I39" s="2" t="s">
        <v>39</v>
      </c>
      <c r="J39" s="1">
        <f>I12+J23+J29</f>
        <v>0</v>
      </c>
      <c r="K39" s="1">
        <f>I10+J21+J27</f>
        <v>1</v>
      </c>
      <c r="L39" s="1">
        <f>J10+I21+I27</f>
        <v>7</v>
      </c>
      <c r="M39" s="1">
        <f>K39-L39</f>
        <v>-6</v>
      </c>
      <c r="N39" s="4"/>
      <c r="O39" s="13"/>
      <c r="P39" s="2" t="s">
        <v>41</v>
      </c>
      <c r="Q39" s="1">
        <f>P12+Q23+Q29</f>
        <v>0</v>
      </c>
      <c r="R39" s="1">
        <f>P10+Q21+Q27</f>
        <v>0</v>
      </c>
      <c r="S39" s="1">
        <f>Q10+P21+P27</f>
        <v>11</v>
      </c>
      <c r="T39" s="1">
        <f>R39-S39</f>
        <v>-11</v>
      </c>
      <c r="U39" s="4"/>
      <c r="V39" s="13"/>
      <c r="W39" s="2" t="s">
        <v>43</v>
      </c>
      <c r="X39" s="1">
        <f>W12+X23+X29</f>
        <v>4</v>
      </c>
      <c r="Y39" s="1">
        <f>W10+X21+X27</f>
        <v>3</v>
      </c>
      <c r="Z39" s="1">
        <f>X10+W21+W27</f>
        <v>3</v>
      </c>
      <c r="AA39" s="1">
        <f>Y39-Z39</f>
        <v>0</v>
      </c>
      <c r="AB39" s="4"/>
      <c r="AC39" s="13"/>
      <c r="AD39" s="2" t="s">
        <v>45</v>
      </c>
      <c r="AE39" s="1">
        <f>AD12+AE23+AE29</f>
        <v>3</v>
      </c>
      <c r="AF39" s="1">
        <f>AD10+AE21+AE27</f>
        <v>3</v>
      </c>
      <c r="AG39" s="1">
        <f>AE10+AD21+AD27</f>
        <v>3</v>
      </c>
      <c r="AH39" s="1">
        <f>AF39-AG39</f>
        <v>0</v>
      </c>
      <c r="AI39" s="4"/>
      <c r="AJ39" s="4"/>
      <c r="AK39" s="2" t="s">
        <v>47</v>
      </c>
      <c r="AL39" s="1">
        <f>AK12+AL23+AL29</f>
        <v>4</v>
      </c>
      <c r="AM39" s="1">
        <f>AK10+AL21+AL27</f>
        <v>5</v>
      </c>
      <c r="AN39" s="1">
        <f>AL10+AK21+AK27</f>
        <v>4</v>
      </c>
      <c r="AO39" s="1">
        <f>AM39-AN39</f>
        <v>1</v>
      </c>
      <c r="AP39" s="4"/>
    </row>
    <row r="40" spans="1:42" x14ac:dyDescent="0.45">
      <c r="A40" s="35"/>
      <c r="B40" s="2" t="s">
        <v>38</v>
      </c>
      <c r="C40" s="1">
        <f>C12+B18+B34</f>
        <v>7</v>
      </c>
      <c r="D40" s="1">
        <f>C10+B16+B32</f>
        <v>4</v>
      </c>
      <c r="E40" s="1">
        <f>B10+C16+C32</f>
        <v>1</v>
      </c>
      <c r="F40" s="1">
        <f>D40-E40</f>
        <v>3</v>
      </c>
      <c r="G40" s="4"/>
      <c r="H40" s="35"/>
      <c r="I40" s="2" t="s">
        <v>40</v>
      </c>
      <c r="J40" s="1">
        <f>J12+I18+I34</f>
        <v>9</v>
      </c>
      <c r="K40" s="1">
        <f>J10+I16+I32</f>
        <v>6</v>
      </c>
      <c r="L40" s="1">
        <f>I10+J16+J32</f>
        <v>1</v>
      </c>
      <c r="M40" s="1">
        <f>K40-L40</f>
        <v>5</v>
      </c>
      <c r="N40" s="4"/>
      <c r="O40" s="13"/>
      <c r="P40" s="2" t="s">
        <v>42</v>
      </c>
      <c r="Q40" s="1">
        <f>Q12+P18+P34</f>
        <v>6</v>
      </c>
      <c r="R40" s="1">
        <f>Q10+P16+P32</f>
        <v>3</v>
      </c>
      <c r="S40" s="1">
        <f>P10+Q16+Q32</f>
        <v>1</v>
      </c>
      <c r="T40" s="1">
        <f>R40-S40</f>
        <v>2</v>
      </c>
      <c r="U40" s="4"/>
      <c r="V40" s="13"/>
      <c r="W40" s="2" t="s">
        <v>44</v>
      </c>
      <c r="X40" s="1">
        <f>X12+W18+W34</f>
        <v>7</v>
      </c>
      <c r="Y40" s="1">
        <f>X10+W16+W32</f>
        <v>4</v>
      </c>
      <c r="Z40" s="1">
        <f>W10+X16+X32</f>
        <v>2</v>
      </c>
      <c r="AA40" s="1">
        <f>Y40-Z40</f>
        <v>2</v>
      </c>
      <c r="AB40" s="4"/>
      <c r="AC40" s="13"/>
      <c r="AD40" s="2" t="s">
        <v>46</v>
      </c>
      <c r="AE40" s="1">
        <f>AE12+AD18+AD34</f>
        <v>4</v>
      </c>
      <c r="AF40" s="1">
        <f>AE10+AD16+AD32</f>
        <v>4</v>
      </c>
      <c r="AG40" s="1">
        <f>AD10+AE16+AE32</f>
        <v>4</v>
      </c>
      <c r="AH40" s="1">
        <f>AF40-AG40</f>
        <v>0</v>
      </c>
      <c r="AI40" s="4"/>
      <c r="AJ40" s="4"/>
      <c r="AK40" s="2" t="s">
        <v>48</v>
      </c>
      <c r="AL40" s="1">
        <f>AL12+AK18+AK34</f>
        <v>0</v>
      </c>
      <c r="AM40" s="1">
        <f>AL10+AK16+AK32</f>
        <v>0</v>
      </c>
      <c r="AN40" s="1">
        <f>AK10+AL16+AL32</f>
        <v>7</v>
      </c>
      <c r="AO40" s="1">
        <f>AM40-AN40</f>
        <v>-7</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7</v>
      </c>
      <c r="E43" s="1" cm="1">
        <f t="array" ref="E43:E46">_xlfn.SORTBY(E37:E40,C37:C40,-1,F37:F40,-1,D37:D40,-1)</f>
        <v>2</v>
      </c>
      <c r="F43" s="1" cm="1">
        <f t="array" ref="F43:F46">_xlfn.SORTBY(F37:F40,C37:C40,-1,F37:F40,-1,D37:D40,-1)</f>
        <v>5</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1</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8</v>
      </c>
      <c r="S43" s="1" cm="1">
        <f t="array" ref="S43:S46">_xlfn.SORTBY(S37:S40,Q37:Q40,-1,T37:T40,-1,R37:R40,-1)</f>
        <v>1</v>
      </c>
      <c r="T43" s="1" cm="1">
        <f t="array" ref="T43:T46">_xlfn.SORTBY(T37:T40,Q37:Q40,-1,T37:T40,-1,R37:R40,-1)</f>
        <v>7</v>
      </c>
      <c r="U43" s="4"/>
      <c r="V43" s="33">
        <v>1</v>
      </c>
      <c r="W43" s="2" t="str" cm="1">
        <f t="array" ref="W43:W46">_xlfn.SORTBY(W37:W40,X37:X40,-1,AA37:AA40,-1,Y37:Y40,-1)</f>
        <v>Türkei</v>
      </c>
      <c r="X43" s="1" cm="1">
        <f t="array" ref="X43:X46">_xlfn.SORTBY(X37:X40,X37:X40,-1,AA37:AA40,-1,Y37:Y40,-1)</f>
        <v>7</v>
      </c>
      <c r="Y43" s="1" cm="1">
        <f t="array" ref="Y43:Y46">_xlfn.SORTBY(Y37:Y40,X37:X40,-1,AA37:AA40,-1,Y37:Y40,-1)</f>
        <v>4</v>
      </c>
      <c r="Z43" s="1" cm="1">
        <f t="array" ref="Z43:Z46">_xlfn.SORTBY(Z37:Z40,X37:X40,-1,AA37:AA40,-1,Y37:Y40,-1)</f>
        <v>2</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8</v>
      </c>
      <c r="AG43" s="1" cm="1">
        <f t="array" ref="AG43:AG46">_xlfn.SORTBY(AG37:AG40,AE37:AE40,-1,AH37:AH40,-1,AF37:AF40,-1)</f>
        <v>3</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8</v>
      </c>
      <c r="AN43" s="1" cm="1">
        <f t="array" ref="AN43:AN46">_xlfn.SORTBY(AN37:AN40,AL37:AL40,-1,AO37:AO40,-1,AM37:AM40,-1)</f>
        <v>1</v>
      </c>
      <c r="AO43" s="1" cm="1">
        <f t="array" ref="AO43:AO46">_xlfn.SORTBY(AO37:AO40,AL37:AL40,-1,AO37:AO40,-1,AM37:AM40,-1)</f>
        <v>7</v>
      </c>
      <c r="AP43" s="4"/>
    </row>
    <row r="44" spans="1:42" x14ac:dyDescent="0.45">
      <c r="A44" s="33">
        <v>2</v>
      </c>
      <c r="B44" s="2" t="str">
        <v>Tschechien</v>
      </c>
      <c r="C44" s="1">
        <v>7</v>
      </c>
      <c r="D44" s="1">
        <v>4</v>
      </c>
      <c r="E44" s="1">
        <v>1</v>
      </c>
      <c r="F44" s="1">
        <v>3</v>
      </c>
      <c r="G44" s="4"/>
      <c r="H44" s="33">
        <v>2</v>
      </c>
      <c r="I44" s="2" t="str">
        <v>Bosnien-Herz.</v>
      </c>
      <c r="J44" s="1">
        <v>6</v>
      </c>
      <c r="K44" s="1">
        <v>5</v>
      </c>
      <c r="L44" s="1">
        <v>3</v>
      </c>
      <c r="M44" s="1">
        <v>2</v>
      </c>
      <c r="N44" s="4"/>
      <c r="O44" s="33">
        <v>2</v>
      </c>
      <c r="P44" s="2" t="str">
        <v>Schottland</v>
      </c>
      <c r="Q44" s="1">
        <v>6</v>
      </c>
      <c r="R44" s="1">
        <v>3</v>
      </c>
      <c r="S44" s="1">
        <v>1</v>
      </c>
      <c r="T44" s="1">
        <v>2</v>
      </c>
      <c r="U44" s="4"/>
      <c r="V44" s="33">
        <v>2</v>
      </c>
      <c r="W44" s="2" t="str">
        <v>USA</v>
      </c>
      <c r="X44" s="1">
        <v>4</v>
      </c>
      <c r="Y44" s="1">
        <v>4</v>
      </c>
      <c r="Z44" s="1">
        <v>4</v>
      </c>
      <c r="AA44" s="1">
        <v>0</v>
      </c>
      <c r="AB44" s="4"/>
      <c r="AC44" s="33">
        <v>2</v>
      </c>
      <c r="AD44" s="2" t="str">
        <v>Ecuador</v>
      </c>
      <c r="AE44" s="1">
        <v>4</v>
      </c>
      <c r="AF44" s="1">
        <v>4</v>
      </c>
      <c r="AG44" s="1">
        <v>4</v>
      </c>
      <c r="AH44" s="1">
        <v>0</v>
      </c>
      <c r="AI44" s="4"/>
      <c r="AJ44" s="33">
        <v>2</v>
      </c>
      <c r="AK44" s="2" t="str">
        <v>Schweden</v>
      </c>
      <c r="AL44" s="1">
        <v>4</v>
      </c>
      <c r="AM44" s="1">
        <v>5</v>
      </c>
      <c r="AN44" s="1">
        <v>4</v>
      </c>
      <c r="AO44" s="1">
        <v>1</v>
      </c>
      <c r="AP44" s="4"/>
    </row>
    <row r="45" spans="1:42" x14ac:dyDescent="0.45">
      <c r="A45" s="34">
        <v>3</v>
      </c>
      <c r="B45" s="2" t="str">
        <v>Südkorea</v>
      </c>
      <c r="C45" s="1">
        <v>3</v>
      </c>
      <c r="D45" s="1">
        <v>3</v>
      </c>
      <c r="E45" s="1">
        <v>3</v>
      </c>
      <c r="F45" s="1">
        <v>0</v>
      </c>
      <c r="G45" s="4"/>
      <c r="H45" s="34">
        <v>3</v>
      </c>
      <c r="I45" s="2" t="str">
        <v>Kanada</v>
      </c>
      <c r="J45" s="1">
        <v>3</v>
      </c>
      <c r="K45" s="1">
        <v>3</v>
      </c>
      <c r="L45" s="1">
        <v>4</v>
      </c>
      <c r="M45" s="1">
        <v>-1</v>
      </c>
      <c r="N45" s="4"/>
      <c r="O45" s="34">
        <v>3</v>
      </c>
      <c r="P45" s="2" t="str">
        <v>Marokko</v>
      </c>
      <c r="Q45" s="1">
        <v>3</v>
      </c>
      <c r="R45" s="1">
        <v>5</v>
      </c>
      <c r="S45" s="1">
        <v>3</v>
      </c>
      <c r="T45" s="1">
        <v>2</v>
      </c>
      <c r="U45" s="4"/>
      <c r="V45" s="34">
        <v>3</v>
      </c>
      <c r="W45" s="2" t="str">
        <v>Australien</v>
      </c>
      <c r="X45" s="1">
        <v>4</v>
      </c>
      <c r="Y45" s="1">
        <v>3</v>
      </c>
      <c r="Z45" s="1">
        <v>3</v>
      </c>
      <c r="AA45" s="1">
        <v>0</v>
      </c>
      <c r="AB45" s="4"/>
      <c r="AC45" s="34">
        <v>3</v>
      </c>
      <c r="AD45" s="2" t="str">
        <v>Elfenbeinküste</v>
      </c>
      <c r="AE45" s="1">
        <v>3</v>
      </c>
      <c r="AF45" s="1">
        <v>3</v>
      </c>
      <c r="AG45" s="1">
        <v>3</v>
      </c>
      <c r="AH45" s="1">
        <v>0</v>
      </c>
      <c r="AI45" s="4"/>
      <c r="AJ45" s="34">
        <v>3</v>
      </c>
      <c r="AK45" s="2" t="str">
        <v>Japan</v>
      </c>
      <c r="AL45" s="1">
        <v>4</v>
      </c>
      <c r="AM45" s="1">
        <v>3</v>
      </c>
      <c r="AN45" s="1">
        <v>4</v>
      </c>
      <c r="AO45" s="1">
        <v>-1</v>
      </c>
      <c r="AP45" s="4"/>
    </row>
    <row r="46" spans="1:42" x14ac:dyDescent="0.45">
      <c r="A46" s="32">
        <v>4</v>
      </c>
      <c r="B46" s="2" t="str">
        <v>Südafrika</v>
      </c>
      <c r="C46" s="1">
        <v>0</v>
      </c>
      <c r="D46" s="1">
        <v>0</v>
      </c>
      <c r="E46" s="1">
        <v>8</v>
      </c>
      <c r="F46" s="1">
        <v>-8</v>
      </c>
      <c r="G46" s="4"/>
      <c r="H46" s="32">
        <v>4</v>
      </c>
      <c r="I46" s="2" t="str">
        <v>Katar</v>
      </c>
      <c r="J46" s="1">
        <v>0</v>
      </c>
      <c r="K46" s="1">
        <v>1</v>
      </c>
      <c r="L46" s="1">
        <v>7</v>
      </c>
      <c r="M46" s="1">
        <v>-6</v>
      </c>
      <c r="N46" s="4"/>
      <c r="O46" s="32">
        <v>4</v>
      </c>
      <c r="P46" s="2" t="str">
        <v>Haiti</v>
      </c>
      <c r="Q46" s="1">
        <v>0</v>
      </c>
      <c r="R46" s="1">
        <v>0</v>
      </c>
      <c r="S46" s="1">
        <v>11</v>
      </c>
      <c r="T46" s="1">
        <v>-11</v>
      </c>
      <c r="U46" s="4"/>
      <c r="V46" s="32">
        <v>4</v>
      </c>
      <c r="W46" s="2" t="str">
        <v>Paraguay</v>
      </c>
      <c r="X46" s="1">
        <v>1</v>
      </c>
      <c r="Y46" s="1">
        <v>3</v>
      </c>
      <c r="Z46" s="1">
        <v>5</v>
      </c>
      <c r="AA46" s="1">
        <v>-2</v>
      </c>
      <c r="AB46" s="4"/>
      <c r="AC46" s="32">
        <v>4</v>
      </c>
      <c r="AD46" s="2" t="str">
        <v>Curacao</v>
      </c>
      <c r="AE46" s="1">
        <v>1</v>
      </c>
      <c r="AF46" s="1">
        <v>2</v>
      </c>
      <c r="AG46" s="1">
        <v>7</v>
      </c>
      <c r="AH46" s="1">
        <v>-5</v>
      </c>
      <c r="AI46" s="4"/>
      <c r="AJ46" s="32">
        <v>4</v>
      </c>
      <c r="AK46" s="2" t="str">
        <v>Tunesien</v>
      </c>
      <c r="AL46" s="1">
        <v>0</v>
      </c>
      <c r="AM46" s="1">
        <v>0</v>
      </c>
      <c r="AN46" s="1">
        <v>7</v>
      </c>
      <c r="AO46" s="1">
        <v>-7</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55"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3</v>
      </c>
      <c r="C52" s="38">
        <v>1</v>
      </c>
      <c r="D52" s="4"/>
      <c r="E52" s="4"/>
      <c r="F52" s="4"/>
      <c r="G52" s="4"/>
      <c r="H52" s="4"/>
      <c r="I52" s="38">
        <v>6</v>
      </c>
      <c r="J52" s="38">
        <v>0</v>
      </c>
      <c r="K52" s="4"/>
      <c r="L52" s="4"/>
      <c r="M52" s="4"/>
      <c r="N52" s="4"/>
      <c r="O52" s="4"/>
      <c r="P52" s="38">
        <v>2</v>
      </c>
      <c r="Q52" s="38">
        <v>1</v>
      </c>
      <c r="R52" s="4"/>
      <c r="S52" s="4"/>
      <c r="T52" s="4"/>
      <c r="U52" s="4"/>
      <c r="V52" s="4"/>
      <c r="W52" s="38">
        <v>2</v>
      </c>
      <c r="X52" s="38">
        <v>1</v>
      </c>
      <c r="Y52" s="4"/>
      <c r="Z52" s="4"/>
      <c r="AA52" s="4"/>
      <c r="AB52" s="4"/>
      <c r="AC52" s="4"/>
      <c r="AD52" s="38">
        <v>3</v>
      </c>
      <c r="AE52" s="38">
        <v>1</v>
      </c>
      <c r="AF52" s="4"/>
      <c r="AG52" s="4"/>
      <c r="AH52" s="4"/>
      <c r="AI52" s="4"/>
      <c r="AJ52" s="4"/>
      <c r="AK52" s="38">
        <v>1</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Unentschieden</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1</v>
      </c>
      <c r="J57" s="38">
        <v>3</v>
      </c>
      <c r="K57" s="4"/>
      <c r="L57" s="4"/>
      <c r="M57" s="4"/>
      <c r="N57" s="4"/>
      <c r="O57" s="4"/>
      <c r="P57" s="38">
        <v>0</v>
      </c>
      <c r="Q57" s="38">
        <v>1</v>
      </c>
      <c r="R57" s="4"/>
      <c r="S57" s="4"/>
      <c r="T57" s="4"/>
      <c r="U57" s="4"/>
      <c r="V57" s="4"/>
      <c r="W57" s="38">
        <v>3</v>
      </c>
      <c r="X57" s="38">
        <v>0</v>
      </c>
      <c r="Y57" s="4"/>
      <c r="Z57" s="4"/>
      <c r="AA57" s="4"/>
      <c r="AB57" s="4"/>
      <c r="AC57" s="4"/>
      <c r="AD57" s="38">
        <v>0</v>
      </c>
      <c r="AE57" s="38">
        <v>2</v>
      </c>
      <c r="AF57" s="4"/>
      <c r="AG57" s="4"/>
      <c r="AH57" s="4"/>
      <c r="AI57" s="4"/>
      <c r="AJ57" s="4"/>
      <c r="AK57" s="38">
        <v>2</v>
      </c>
      <c r="AL57" s="38">
        <v>0</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0</v>
      </c>
      <c r="D63" s="4"/>
      <c r="E63" s="4"/>
      <c r="F63" s="4"/>
      <c r="G63" s="4"/>
      <c r="H63" s="4"/>
      <c r="I63" s="38">
        <v>4</v>
      </c>
      <c r="J63" s="38">
        <v>0</v>
      </c>
      <c r="K63" s="4"/>
      <c r="L63" s="4"/>
      <c r="M63" s="4"/>
      <c r="N63" s="4"/>
      <c r="O63" s="4"/>
      <c r="P63" s="38">
        <v>3</v>
      </c>
      <c r="Q63" s="38">
        <v>0</v>
      </c>
      <c r="R63" s="4"/>
      <c r="S63" s="4"/>
      <c r="T63" s="4"/>
      <c r="U63" s="4"/>
      <c r="V63" s="4"/>
      <c r="W63" s="38">
        <v>1</v>
      </c>
      <c r="X63" s="38">
        <v>1</v>
      </c>
      <c r="Y63" s="4"/>
      <c r="Z63" s="4"/>
      <c r="AA63" s="4"/>
      <c r="AB63" s="4"/>
      <c r="AC63" s="4"/>
      <c r="AD63" s="38">
        <v>4</v>
      </c>
      <c r="AE63" s="38">
        <v>0</v>
      </c>
      <c r="AF63" s="4"/>
      <c r="AG63" s="4"/>
      <c r="AH63" s="4"/>
      <c r="AI63" s="4"/>
      <c r="AJ63" s="4"/>
      <c r="AK63" s="38">
        <v>2</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Unentschieden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1</v>
      </c>
      <c r="D68" s="4"/>
      <c r="E68" s="4"/>
      <c r="F68" s="4"/>
      <c r="G68" s="4"/>
      <c r="H68" s="4"/>
      <c r="I68" s="38">
        <v>2</v>
      </c>
      <c r="J68" s="38">
        <v>0</v>
      </c>
      <c r="K68" s="4"/>
      <c r="L68" s="4"/>
      <c r="M68" s="4"/>
      <c r="N68" s="4"/>
      <c r="O68" s="4"/>
      <c r="P68" s="38">
        <v>1</v>
      </c>
      <c r="Q68" s="38">
        <v>2</v>
      </c>
      <c r="R68" s="4"/>
      <c r="S68" s="4"/>
      <c r="T68" s="4"/>
      <c r="U68" s="4"/>
      <c r="V68" s="4"/>
      <c r="W68" s="38">
        <v>1</v>
      </c>
      <c r="X68" s="38">
        <v>2</v>
      </c>
      <c r="Y68" s="4"/>
      <c r="Z68" s="4"/>
      <c r="AA68" s="4"/>
      <c r="AB68" s="4"/>
      <c r="AC68" s="4"/>
      <c r="AD68" s="38">
        <v>2</v>
      </c>
      <c r="AE68" s="38">
        <v>0</v>
      </c>
      <c r="AF68" s="4"/>
      <c r="AG68" s="4"/>
      <c r="AH68" s="4"/>
      <c r="AI68" s="4"/>
      <c r="AJ68" s="4"/>
      <c r="AK68" s="38">
        <v>0</v>
      </c>
      <c r="AL68" s="38">
        <v>3</v>
      </c>
      <c r="AM68" s="4"/>
      <c r="AN68" s="4"/>
      <c r="AO68" s="4"/>
      <c r="AP68" s="4"/>
    </row>
    <row r="69" spans="1:42" x14ac:dyDescent="0.45">
      <c r="A69" s="4"/>
      <c r="B69" s="80" t="str">
        <f>IF(B68=C68,"Unentschieden",IF(B68&gt;C68,B67,C67))</f>
        <v>Unentschieden</v>
      </c>
      <c r="C69" s="80"/>
      <c r="D69" s="4"/>
      <c r="E69" s="4"/>
      <c r="F69" s="4"/>
      <c r="G69" s="4"/>
      <c r="H69" s="4"/>
      <c r="I69" s="80" t="str">
        <f>IF(I68=J68,"Unentschieden",IF(I68&gt;J68,I67,J67))</f>
        <v>Uruguay</v>
      </c>
      <c r="J69" s="80"/>
      <c r="K69" s="4"/>
      <c r="L69" s="4"/>
      <c r="M69" s="4"/>
      <c r="N69" s="4"/>
      <c r="O69" s="4"/>
      <c r="P69" s="80" t="str">
        <f>IF(P68=Q68,"Unentschieden",IF(P68&gt;Q68,P67,Q67))</f>
        <v>Senegal</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1</v>
      </c>
      <c r="C70" s="1">
        <f>IF(C68=B68,1,IF(C68&gt;B68,3,0))</f>
        <v>1</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4</v>
      </c>
      <c r="D74" s="4"/>
      <c r="E74" s="4"/>
      <c r="F74" s="4"/>
      <c r="G74" s="4"/>
      <c r="H74" s="4"/>
      <c r="I74" s="38">
        <v>1</v>
      </c>
      <c r="J74" s="38">
        <v>3</v>
      </c>
      <c r="K74" s="4"/>
      <c r="L74" s="4"/>
      <c r="M74" s="4"/>
      <c r="N74" s="4"/>
      <c r="O74" s="4"/>
      <c r="P74" s="38">
        <v>2</v>
      </c>
      <c r="Q74" s="38">
        <v>2</v>
      </c>
      <c r="R74" s="4"/>
      <c r="S74" s="4"/>
      <c r="T74" s="4"/>
      <c r="U74" s="4"/>
      <c r="V74" s="4"/>
      <c r="W74" s="38">
        <v>0</v>
      </c>
      <c r="X74" s="38">
        <v>3</v>
      </c>
      <c r="Y74" s="4"/>
      <c r="Z74" s="4"/>
      <c r="AA74" s="4"/>
      <c r="AB74" s="4"/>
      <c r="AC74" s="4"/>
      <c r="AD74" s="38">
        <v>1</v>
      </c>
      <c r="AE74" s="38">
        <v>3</v>
      </c>
      <c r="AF74" s="4"/>
      <c r="AG74" s="4"/>
      <c r="AH74" s="4"/>
      <c r="AI74" s="4"/>
      <c r="AJ74" s="4"/>
      <c r="AK74" s="38">
        <v>0</v>
      </c>
      <c r="AL74" s="38">
        <v>4</v>
      </c>
      <c r="AM74" s="4"/>
      <c r="AN74" s="4"/>
      <c r="AO74" s="4"/>
      <c r="AP74" s="4"/>
    </row>
    <row r="75" spans="1:42" ht="17.55"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1</v>
      </c>
      <c r="D79" s="4"/>
      <c r="E79" s="4"/>
      <c r="F79" s="4"/>
      <c r="G79" s="4"/>
      <c r="H79" s="4"/>
      <c r="I79" s="38">
        <v>1</v>
      </c>
      <c r="J79" s="38">
        <v>1</v>
      </c>
      <c r="K79" s="4"/>
      <c r="L79" s="4"/>
      <c r="M79" s="4"/>
      <c r="N79" s="4"/>
      <c r="O79" s="4"/>
      <c r="P79" s="38">
        <v>2</v>
      </c>
      <c r="Q79" s="38">
        <v>0</v>
      </c>
      <c r="R79" s="4"/>
      <c r="S79" s="4"/>
      <c r="T79" s="4"/>
      <c r="U79" s="4"/>
      <c r="V79" s="4"/>
      <c r="W79" s="38">
        <v>1</v>
      </c>
      <c r="X79" s="38">
        <v>2</v>
      </c>
      <c r="Y79" s="4"/>
      <c r="Z79" s="4"/>
      <c r="AA79" s="4"/>
      <c r="AB79" s="4"/>
      <c r="AC79" s="4"/>
      <c r="AD79" s="38">
        <v>1</v>
      </c>
      <c r="AE79" s="38">
        <v>0</v>
      </c>
      <c r="AF79" s="4"/>
      <c r="AG79" s="4"/>
      <c r="AH79" s="4"/>
      <c r="AI79" s="4"/>
      <c r="AJ79" s="4"/>
      <c r="AK79" s="38">
        <v>1</v>
      </c>
      <c r="AL79" s="38">
        <v>0</v>
      </c>
      <c r="AM79" s="4"/>
      <c r="AN79" s="4"/>
      <c r="AO79" s="4"/>
      <c r="AP79" s="4"/>
    </row>
    <row r="80" spans="1:42" ht="17.55" customHeight="1" x14ac:dyDescent="0.45">
      <c r="A80" s="4"/>
      <c r="B80" s="80" t="str">
        <f>IF(B79=C79,"Unentschieden",IF(B79&gt;C79,B78,C78))</f>
        <v>Ägypten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Österreich</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10</v>
      </c>
      <c r="E84" s="1">
        <f>C52+C63+B74</f>
        <v>1</v>
      </c>
      <c r="F84" s="1">
        <f>D84-E84</f>
        <v>9</v>
      </c>
      <c r="G84" s="4"/>
      <c r="H84" s="37"/>
      <c r="I84" s="2" t="s">
        <v>65</v>
      </c>
      <c r="J84" s="1">
        <f>I54+I65+J76</f>
        <v>9</v>
      </c>
      <c r="K84" s="1">
        <f>I52+I63+J74</f>
        <v>13</v>
      </c>
      <c r="L84" s="1">
        <f>J52+J63+I74</f>
        <v>1</v>
      </c>
      <c r="M84" s="1">
        <f>K84-L84</f>
        <v>12</v>
      </c>
      <c r="N84" s="4"/>
      <c r="O84" s="13"/>
      <c r="P84" s="2" t="s">
        <v>67</v>
      </c>
      <c r="Q84" s="1">
        <f>P54+P65+Q76</f>
        <v>7</v>
      </c>
      <c r="R84" s="1">
        <f>P52+P63+Q74</f>
        <v>7</v>
      </c>
      <c r="S84" s="1">
        <f>Q52+Q63+P74</f>
        <v>3</v>
      </c>
      <c r="T84" s="1">
        <f>R84-S84</f>
        <v>4</v>
      </c>
      <c r="U84" s="4"/>
      <c r="V84" s="13"/>
      <c r="W84" s="2" t="s">
        <v>69</v>
      </c>
      <c r="X84" s="1">
        <f>W54+W65+X76</f>
        <v>7</v>
      </c>
      <c r="Y84" s="1">
        <f>W52+W63+X74</f>
        <v>6</v>
      </c>
      <c r="Z84" s="1">
        <f>X52+X63+W74</f>
        <v>2</v>
      </c>
      <c r="AA84" s="1">
        <f>Y84-Z84</f>
        <v>4</v>
      </c>
      <c r="AB84" s="4"/>
      <c r="AC84" s="13"/>
      <c r="AD84" s="2" t="s">
        <v>71</v>
      </c>
      <c r="AE84" s="1">
        <f>AD54+AD65+AE76</f>
        <v>9</v>
      </c>
      <c r="AF84" s="1">
        <f>AD52+AD63+AE74</f>
        <v>10</v>
      </c>
      <c r="AG84" s="1">
        <f>AE52+AE63+AD74</f>
        <v>2</v>
      </c>
      <c r="AH84" s="1">
        <f>AF84-AG84</f>
        <v>8</v>
      </c>
      <c r="AI84" s="4"/>
      <c r="AJ84" s="4"/>
      <c r="AK84" s="2" t="s">
        <v>73</v>
      </c>
      <c r="AL84" s="1">
        <f>AK54+AK65+AL76</f>
        <v>7</v>
      </c>
      <c r="AM84" s="1">
        <f>AK52+AK63+AL74</f>
        <v>7</v>
      </c>
      <c r="AN84" s="1">
        <f>AL52+AL63+AK74</f>
        <v>1</v>
      </c>
      <c r="AO84" s="1">
        <f>AM84-AN84</f>
        <v>6</v>
      </c>
      <c r="AP84" s="4"/>
    </row>
    <row r="85" spans="1:42" ht="17.55" customHeight="1" x14ac:dyDescent="0.45">
      <c r="A85" s="37"/>
      <c r="B85" s="2" t="s">
        <v>64</v>
      </c>
      <c r="C85" s="1">
        <f>C54+C70+B81</f>
        <v>4</v>
      </c>
      <c r="D85" s="1">
        <f>C52+C68+B79</f>
        <v>4</v>
      </c>
      <c r="E85" s="1">
        <f>B52+B68+C79</f>
        <v>5</v>
      </c>
      <c r="F85" s="1">
        <f>D85-E85</f>
        <v>-1</v>
      </c>
      <c r="G85" s="4"/>
      <c r="H85" s="37"/>
      <c r="I85" s="2" t="s">
        <v>66</v>
      </c>
      <c r="J85" s="1">
        <f>J54+J70+I81</f>
        <v>1</v>
      </c>
      <c r="K85" s="1">
        <f>J52+J68+I79</f>
        <v>1</v>
      </c>
      <c r="L85" s="1">
        <f>I52+I68+J79</f>
        <v>9</v>
      </c>
      <c r="M85" s="1">
        <f>K85-L85</f>
        <v>-8</v>
      </c>
      <c r="N85" s="4"/>
      <c r="O85" s="13"/>
      <c r="P85" s="2" t="s">
        <v>68</v>
      </c>
      <c r="Q85" s="1">
        <f>Q54+Q70+P81</f>
        <v>6</v>
      </c>
      <c r="R85" s="1">
        <f>Q52+Q68+P79</f>
        <v>5</v>
      </c>
      <c r="S85" s="1">
        <f>P52+P68+Q79</f>
        <v>3</v>
      </c>
      <c r="T85" s="1">
        <f>R85-S85</f>
        <v>2</v>
      </c>
      <c r="U85" s="4"/>
      <c r="V85" s="13"/>
      <c r="W85" s="2" t="s">
        <v>70</v>
      </c>
      <c r="X85" s="1">
        <f>X54+X70+W81</f>
        <v>3</v>
      </c>
      <c r="Y85" s="1">
        <f>X52+X68+W79</f>
        <v>4</v>
      </c>
      <c r="Z85" s="1">
        <f>W52+W68+X79</f>
        <v>5</v>
      </c>
      <c r="AA85" s="1">
        <f>Y85-Z85</f>
        <v>-1</v>
      </c>
      <c r="AB85" s="4"/>
      <c r="AC85" s="13"/>
      <c r="AD85" s="2" t="s">
        <v>72</v>
      </c>
      <c r="AE85" s="1">
        <f>AE54+AE70+AD81</f>
        <v>3</v>
      </c>
      <c r="AF85" s="1">
        <f>AE52+AE68+AD79</f>
        <v>2</v>
      </c>
      <c r="AG85" s="1">
        <f>AD52+AD68+AE79</f>
        <v>5</v>
      </c>
      <c r="AH85" s="1">
        <f>AF85-AG85</f>
        <v>-3</v>
      </c>
      <c r="AI85" s="4"/>
      <c r="AJ85" s="4"/>
      <c r="AK85" s="2" t="s">
        <v>74</v>
      </c>
      <c r="AL85" s="1">
        <f>AL54+AL70+AK81</f>
        <v>7</v>
      </c>
      <c r="AM85" s="1">
        <f>AL52+AL68+AK79</f>
        <v>5</v>
      </c>
      <c r="AN85" s="1">
        <f>AK52+AK68+AL79</f>
        <v>1</v>
      </c>
      <c r="AO85" s="1">
        <f>AM85-AN85</f>
        <v>4</v>
      </c>
      <c r="AP85" s="4"/>
    </row>
    <row r="86" spans="1:42" ht="17.55" customHeight="1" x14ac:dyDescent="0.45">
      <c r="A86" s="36"/>
      <c r="B86" s="2" t="s">
        <v>75</v>
      </c>
      <c r="C86" s="1">
        <f>B59+C65+C81</f>
        <v>3</v>
      </c>
      <c r="D86" s="1">
        <f>B57+C63+C79</f>
        <v>2</v>
      </c>
      <c r="E86" s="1">
        <f>C57+B63+B79</f>
        <v>5</v>
      </c>
      <c r="F86" s="1">
        <f>D86-E86</f>
        <v>-3</v>
      </c>
      <c r="G86" s="4"/>
      <c r="H86" s="36"/>
      <c r="I86" s="2" t="s">
        <v>77</v>
      </c>
      <c r="J86" s="1">
        <f>I59+J65+J81</f>
        <v>1</v>
      </c>
      <c r="K86" s="1">
        <f>I57+J63+J79</f>
        <v>2</v>
      </c>
      <c r="L86" s="1">
        <f>J57+I63+I79</f>
        <v>8</v>
      </c>
      <c r="M86" s="1">
        <f>K86-L86</f>
        <v>-6</v>
      </c>
      <c r="N86" s="4"/>
      <c r="O86" s="13"/>
      <c r="P86" s="2" t="s">
        <v>79</v>
      </c>
      <c r="Q86" s="1">
        <f>P59+Q65+Q81</f>
        <v>0</v>
      </c>
      <c r="R86" s="1">
        <f>P57+Q63+Q79</f>
        <v>0</v>
      </c>
      <c r="S86" s="1">
        <f>Q57+P63+P79</f>
        <v>6</v>
      </c>
      <c r="T86" s="1">
        <f>R86-S86</f>
        <v>-6</v>
      </c>
      <c r="U86" s="4"/>
      <c r="V86" s="13"/>
      <c r="W86" s="2" t="s">
        <v>81</v>
      </c>
      <c r="X86" s="1">
        <f>W59+X65+X81</f>
        <v>7</v>
      </c>
      <c r="Y86" s="1">
        <f>W57+X63+X79</f>
        <v>6</v>
      </c>
      <c r="Z86" s="1">
        <f>X57+W63+W79</f>
        <v>2</v>
      </c>
      <c r="AA86" s="1">
        <f>Y86-Z86</f>
        <v>4</v>
      </c>
      <c r="AB86" s="4"/>
      <c r="AC86" s="13"/>
      <c r="AD86" s="2" t="s">
        <v>83</v>
      </c>
      <c r="AE86" s="1">
        <f>AD59+AE65+AE81</f>
        <v>0</v>
      </c>
      <c r="AF86" s="1">
        <f>AD57+AE63+AE79</f>
        <v>0</v>
      </c>
      <c r="AG86" s="1">
        <f>AE57+AD63+AD79</f>
        <v>7</v>
      </c>
      <c r="AH86" s="1">
        <f>AF86-AG86</f>
        <v>-7</v>
      </c>
      <c r="AI86" s="4"/>
      <c r="AJ86" s="4"/>
      <c r="AK86" s="2" t="s">
        <v>85</v>
      </c>
      <c r="AL86" s="1">
        <f>AK59+AL65+AL81</f>
        <v>3</v>
      </c>
      <c r="AM86" s="1">
        <f>AK57+AL63+AL79</f>
        <v>2</v>
      </c>
      <c r="AN86" s="1">
        <f>AL57+AK63+AK79</f>
        <v>3</v>
      </c>
      <c r="AO86" s="1">
        <f>AM86-AN86</f>
        <v>-1</v>
      </c>
      <c r="AP86" s="4"/>
    </row>
    <row r="87" spans="1:42" x14ac:dyDescent="0.45">
      <c r="A87" s="35"/>
      <c r="B87" s="2" t="s">
        <v>76</v>
      </c>
      <c r="C87" s="1">
        <f>C59+B70+B76</f>
        <v>1</v>
      </c>
      <c r="D87" s="1">
        <f>C57+B68+B74</f>
        <v>1</v>
      </c>
      <c r="E87" s="1">
        <f>B57+C68+C74</f>
        <v>6</v>
      </c>
      <c r="F87" s="1">
        <f>D87-E87</f>
        <v>-5</v>
      </c>
      <c r="G87" s="4"/>
      <c r="H87" s="35"/>
      <c r="I87" s="2" t="s">
        <v>78</v>
      </c>
      <c r="J87" s="1">
        <f>J59+I70+I76</f>
        <v>6</v>
      </c>
      <c r="K87" s="1">
        <f>J57+I68+I74</f>
        <v>6</v>
      </c>
      <c r="L87" s="1">
        <f>I57+J68+J74</f>
        <v>4</v>
      </c>
      <c r="M87" s="1">
        <f>K87-L87</f>
        <v>2</v>
      </c>
      <c r="N87" s="4"/>
      <c r="O87" s="13"/>
      <c r="P87" s="2" t="s">
        <v>80</v>
      </c>
      <c r="Q87" s="1">
        <f>Q59+P70+P76</f>
        <v>4</v>
      </c>
      <c r="R87" s="1">
        <f>Q57+P68+P74</f>
        <v>4</v>
      </c>
      <c r="S87" s="1">
        <f>P57+Q68+Q74</f>
        <v>4</v>
      </c>
      <c r="T87" s="1">
        <f>R87-S87</f>
        <v>0</v>
      </c>
      <c r="U87" s="4"/>
      <c r="V87" s="13"/>
      <c r="W87" s="2" t="s">
        <v>82</v>
      </c>
      <c r="X87" s="1">
        <f>X59+W70+W76</f>
        <v>0</v>
      </c>
      <c r="Y87" s="1">
        <f>X57+W68+W74</f>
        <v>1</v>
      </c>
      <c r="Z87" s="1">
        <f>W57+X68+X74</f>
        <v>8</v>
      </c>
      <c r="AA87" s="1">
        <f>Y87-Z87</f>
        <v>-7</v>
      </c>
      <c r="AB87" s="4"/>
      <c r="AC87" s="13"/>
      <c r="AD87" s="2" t="s">
        <v>84</v>
      </c>
      <c r="AE87" s="1">
        <f>AE59+AD70+AD76</f>
        <v>6</v>
      </c>
      <c r="AF87" s="1">
        <f>AE57+AD68+AD74</f>
        <v>5</v>
      </c>
      <c r="AG87" s="1">
        <f>AD57+AE68+AE74</f>
        <v>3</v>
      </c>
      <c r="AH87" s="1">
        <f>AF87-AG87</f>
        <v>2</v>
      </c>
      <c r="AI87" s="4"/>
      <c r="AJ87" s="4"/>
      <c r="AK87" s="2" t="s">
        <v>86</v>
      </c>
      <c r="AL87" s="1">
        <f>AL59+AK70+AK76</f>
        <v>0</v>
      </c>
      <c r="AM87" s="1">
        <f>AL57+AK68+AK74</f>
        <v>0</v>
      </c>
      <c r="AN87" s="1">
        <f>AK57+AL68+AL74</f>
        <v>9</v>
      </c>
      <c r="AO87" s="1">
        <f>AM87-AN87</f>
        <v>-9</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10</v>
      </c>
      <c r="E90" s="1" cm="1">
        <f t="array" ref="E90:E93">_xlfn.SORTBY(E84:E87,C84:C87,-1,F84:F87,-1,D84:D87,-1)</f>
        <v>1</v>
      </c>
      <c r="F90" s="1" cm="1">
        <f t="array" ref="F90:F93">_xlfn.SORTBY(F84:F87,C84:C87,-1,F84:F87,-1,D84:D87,-1)</f>
        <v>9</v>
      </c>
      <c r="G90" s="4"/>
      <c r="H90" s="33">
        <v>1</v>
      </c>
      <c r="I90" s="2" t="str" cm="1">
        <f t="array" ref="I90:I93">_xlfn.SORTBY(I84:I87,J84:J87,-1,M84:M87,-1,K84:K87,-1)</f>
        <v>Spanien</v>
      </c>
      <c r="J90" s="1" cm="1">
        <f t="array" ref="J90:J93">_xlfn.SORTBY(J84:J87,J84:J87,-1,M84:M87,-1,K84:K87,-1)</f>
        <v>9</v>
      </c>
      <c r="K90" s="1" cm="1">
        <f t="array" ref="K90:K93">_xlfn.SORTBY(K84:K87,J84:J87,-1,M84:M87,-1,K84:K87,-1)</f>
        <v>13</v>
      </c>
      <c r="L90" s="1" cm="1">
        <f t="array" ref="L90:L93">_xlfn.SORTBY(L84:L87,J84:J87,-1,M84:M87,-1,K84:K87,-1)</f>
        <v>1</v>
      </c>
      <c r="M90" s="1" cm="1">
        <f t="array" ref="M90:M93">_xlfn.SORTBY(M84:M87,J84:J87,-1,M84:M87,-1,K84:K87,-1)</f>
        <v>12</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3</v>
      </c>
      <c r="T90" s="1" cm="1">
        <f t="array" ref="T90:T93">_xlfn.SORTBY(T84:T87,Q84:Q87,-1,T84:T87,-1,R84:R87,-1)</f>
        <v>4</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6</v>
      </c>
      <c r="Z90" s="1" cm="1">
        <f t="array" ref="Z90:Z93">_xlfn.SORTBY(Z84:Z87,X84:X87,-1,AA84:AA87,-1,Y84:Y87,-1)</f>
        <v>2</v>
      </c>
      <c r="AA90" s="1" cm="1">
        <f t="array" ref="AA90:AA93">_xlfn.SORTBY(AA84:AA87,X84:X87,-1,AA84:AA87,-1,Y84:Y87,-1)</f>
        <v>4</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10</v>
      </c>
      <c r="AG90" s="1" cm="1">
        <f t="array" ref="AG90:AG93">_xlfn.SORTBY(AG84:AG87,AE84:AE87,-1,AH84:AH87,-1,AF84:AF87,-1)</f>
        <v>2</v>
      </c>
      <c r="AH90" s="1" cm="1">
        <f t="array" ref="AH90:AH93">_xlfn.SORTBY(AH84:AH87,AE84:AE87,-1,AH84:AH87,-1,AF84:AF87,-1)</f>
        <v>8</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4</v>
      </c>
      <c r="D91" s="1">
        <v>4</v>
      </c>
      <c r="E91" s="1">
        <v>5</v>
      </c>
      <c r="F91" s="1">
        <v>-1</v>
      </c>
      <c r="G91" s="4"/>
      <c r="H91" s="33">
        <v>2</v>
      </c>
      <c r="I91" s="2" t="str">
        <v>Uruguay</v>
      </c>
      <c r="J91" s="1">
        <v>6</v>
      </c>
      <c r="K91" s="1">
        <v>6</v>
      </c>
      <c r="L91" s="1">
        <v>4</v>
      </c>
      <c r="M91" s="1">
        <v>2</v>
      </c>
      <c r="N91" s="4"/>
      <c r="O91" s="33">
        <v>2</v>
      </c>
      <c r="P91" s="2" t="str">
        <v>Senegal</v>
      </c>
      <c r="Q91" s="1">
        <v>6</v>
      </c>
      <c r="R91" s="1">
        <v>5</v>
      </c>
      <c r="S91" s="1">
        <v>3</v>
      </c>
      <c r="T91" s="1">
        <v>2</v>
      </c>
      <c r="U91" s="4"/>
      <c r="V91" s="33">
        <v>2</v>
      </c>
      <c r="W91" s="2" t="str">
        <v>Österreich</v>
      </c>
      <c r="X91" s="1">
        <v>7</v>
      </c>
      <c r="Y91" s="1">
        <v>6</v>
      </c>
      <c r="Z91" s="1">
        <v>2</v>
      </c>
      <c r="AA91" s="1">
        <v>4</v>
      </c>
      <c r="AB91" s="4"/>
      <c r="AC91" s="33">
        <v>2</v>
      </c>
      <c r="AD91" s="2" t="str">
        <v>Kolumbien</v>
      </c>
      <c r="AE91" s="1">
        <v>6</v>
      </c>
      <c r="AF91" s="1">
        <v>5</v>
      </c>
      <c r="AG91" s="1">
        <v>3</v>
      </c>
      <c r="AH91" s="1">
        <v>2</v>
      </c>
      <c r="AI91" s="4"/>
      <c r="AJ91" s="33">
        <v>2</v>
      </c>
      <c r="AK91" s="2" t="str">
        <v>Kroatien</v>
      </c>
      <c r="AL91" s="1">
        <v>7</v>
      </c>
      <c r="AM91" s="1">
        <v>5</v>
      </c>
      <c r="AN91" s="1">
        <v>1</v>
      </c>
      <c r="AO91" s="1">
        <v>4</v>
      </c>
      <c r="AP91" s="4"/>
    </row>
    <row r="92" spans="1:42" x14ac:dyDescent="0.45">
      <c r="A92" s="34">
        <v>3</v>
      </c>
      <c r="B92" s="2" t="str">
        <v>Iran</v>
      </c>
      <c r="C92" s="1">
        <v>3</v>
      </c>
      <c r="D92" s="1">
        <v>2</v>
      </c>
      <c r="E92" s="1">
        <v>5</v>
      </c>
      <c r="F92" s="1">
        <v>-3</v>
      </c>
      <c r="G92" s="4"/>
      <c r="H92" s="34">
        <v>3</v>
      </c>
      <c r="I92" s="2" t="str">
        <v>Saudi-Arabien</v>
      </c>
      <c r="J92" s="1">
        <v>1</v>
      </c>
      <c r="K92" s="1">
        <v>2</v>
      </c>
      <c r="L92" s="1">
        <v>8</v>
      </c>
      <c r="M92" s="1">
        <v>-6</v>
      </c>
      <c r="N92" s="4"/>
      <c r="O92" s="34">
        <v>3</v>
      </c>
      <c r="P92" s="2" t="str">
        <v>Norwegen</v>
      </c>
      <c r="Q92" s="1">
        <v>4</v>
      </c>
      <c r="R92" s="1">
        <v>4</v>
      </c>
      <c r="S92" s="1">
        <v>4</v>
      </c>
      <c r="T92" s="1">
        <v>0</v>
      </c>
      <c r="U92" s="4"/>
      <c r="V92" s="34">
        <v>3</v>
      </c>
      <c r="W92" s="2" t="str">
        <v>Algerien</v>
      </c>
      <c r="X92" s="1">
        <v>3</v>
      </c>
      <c r="Y92" s="1">
        <v>4</v>
      </c>
      <c r="Z92" s="1">
        <v>5</v>
      </c>
      <c r="AA92" s="1">
        <v>-1</v>
      </c>
      <c r="AB92" s="4"/>
      <c r="AC92" s="34">
        <v>3</v>
      </c>
      <c r="AD92" s="2" t="str">
        <v>DR Kongo</v>
      </c>
      <c r="AE92" s="1">
        <v>3</v>
      </c>
      <c r="AF92" s="1">
        <v>2</v>
      </c>
      <c r="AG92" s="1">
        <v>5</v>
      </c>
      <c r="AH92" s="1">
        <v>-3</v>
      </c>
      <c r="AI92" s="4"/>
      <c r="AJ92" s="34">
        <v>3</v>
      </c>
      <c r="AK92" s="2" t="str">
        <v>Ghana</v>
      </c>
      <c r="AL92" s="1">
        <v>3</v>
      </c>
      <c r="AM92" s="1">
        <v>2</v>
      </c>
      <c r="AN92" s="1">
        <v>3</v>
      </c>
      <c r="AO92" s="1">
        <v>-1</v>
      </c>
      <c r="AP92" s="4"/>
    </row>
    <row r="93" spans="1:42" x14ac:dyDescent="0.45">
      <c r="A93" s="32">
        <v>4</v>
      </c>
      <c r="B93" s="2" t="str">
        <v>Neuseeland</v>
      </c>
      <c r="C93" s="1">
        <v>1</v>
      </c>
      <c r="D93" s="1">
        <v>1</v>
      </c>
      <c r="E93" s="1">
        <v>6</v>
      </c>
      <c r="F93" s="1">
        <v>-5</v>
      </c>
      <c r="G93" s="4"/>
      <c r="H93" s="32">
        <v>4</v>
      </c>
      <c r="I93" s="2" t="str">
        <v>Kap Verde</v>
      </c>
      <c r="J93" s="1">
        <v>1</v>
      </c>
      <c r="K93" s="1">
        <v>1</v>
      </c>
      <c r="L93" s="1">
        <v>9</v>
      </c>
      <c r="M93" s="1">
        <v>-8</v>
      </c>
      <c r="N93" s="4"/>
      <c r="O93" s="32">
        <v>4</v>
      </c>
      <c r="P93" s="2" t="str">
        <v>Irak</v>
      </c>
      <c r="Q93" s="1">
        <v>0</v>
      </c>
      <c r="R93" s="1">
        <v>0</v>
      </c>
      <c r="S93" s="1">
        <v>6</v>
      </c>
      <c r="T93" s="1">
        <v>-6</v>
      </c>
      <c r="U93" s="4"/>
      <c r="V93" s="32">
        <v>4</v>
      </c>
      <c r="W93" s="2" t="str">
        <v>Jordanien</v>
      </c>
      <c r="X93" s="1">
        <v>0</v>
      </c>
      <c r="Y93" s="1">
        <v>1</v>
      </c>
      <c r="Z93" s="1">
        <v>8</v>
      </c>
      <c r="AA93" s="1">
        <v>-7</v>
      </c>
      <c r="AB93" s="4"/>
      <c r="AC93" s="32">
        <v>4</v>
      </c>
      <c r="AD93" s="2" t="str">
        <v>Usbekistan</v>
      </c>
      <c r="AE93" s="1">
        <v>0</v>
      </c>
      <c r="AF93" s="1">
        <v>0</v>
      </c>
      <c r="AG93" s="1">
        <v>7</v>
      </c>
      <c r="AH93" s="1">
        <v>-7</v>
      </c>
      <c r="AI93" s="4"/>
      <c r="AJ93" s="32">
        <v>4</v>
      </c>
      <c r="AK93" s="2" t="str">
        <v>Panama</v>
      </c>
      <c r="AL93" s="1">
        <v>0</v>
      </c>
      <c r="AM93" s="1">
        <v>0</v>
      </c>
      <c r="AN93" s="1">
        <v>9</v>
      </c>
      <c r="AO93" s="1">
        <v>-9</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3</v>
      </c>
      <c r="V98" s="2">
        <f>D92</f>
        <v>2</v>
      </c>
      <c r="W98" s="2">
        <f>E92</f>
        <v>5</v>
      </c>
      <c r="X98" s="2">
        <f>F92</f>
        <v>-3</v>
      </c>
    </row>
    <row r="99" spans="17:24" x14ac:dyDescent="0.45">
      <c r="Q99"/>
      <c r="R99" s="82" t="str">
        <f>I92</f>
        <v>Saudi-Arabien</v>
      </c>
      <c r="S99" s="82"/>
      <c r="T99" s="82"/>
      <c r="U99" s="2">
        <f>J92</f>
        <v>1</v>
      </c>
      <c r="V99" s="2">
        <f>K92</f>
        <v>2</v>
      </c>
      <c r="W99" s="2">
        <f>L92</f>
        <v>8</v>
      </c>
      <c r="X99" s="2">
        <f>M92</f>
        <v>-6</v>
      </c>
    </row>
    <row r="100" spans="17:24" x14ac:dyDescent="0.45">
      <c r="Q100"/>
      <c r="R100" s="82" t="str">
        <f>P92</f>
        <v>Norwegen</v>
      </c>
      <c r="S100" s="82"/>
      <c r="T100" s="82"/>
      <c r="U100" s="2">
        <f>Q92</f>
        <v>4</v>
      </c>
      <c r="V100" s="2">
        <f>R92</f>
        <v>4</v>
      </c>
      <c r="W100" s="2">
        <f>S92</f>
        <v>4</v>
      </c>
      <c r="X100" s="2">
        <f>T92</f>
        <v>0</v>
      </c>
    </row>
    <row r="101" spans="17:24" x14ac:dyDescent="0.45">
      <c r="Q101"/>
      <c r="R101" s="82" t="str">
        <f>W92</f>
        <v>Algerien</v>
      </c>
      <c r="S101" s="82"/>
      <c r="T101" s="82"/>
      <c r="U101" s="2">
        <f>X92</f>
        <v>3</v>
      </c>
      <c r="V101" s="2">
        <f>Y92</f>
        <v>4</v>
      </c>
      <c r="W101" s="2">
        <f>Z92</f>
        <v>5</v>
      </c>
      <c r="X101" s="2">
        <f>AA92</f>
        <v>-1</v>
      </c>
    </row>
    <row r="102" spans="17:24" x14ac:dyDescent="0.45">
      <c r="Q102"/>
      <c r="R102" s="82" t="str">
        <f>AD92</f>
        <v>DR Kongo</v>
      </c>
      <c r="S102" s="82"/>
      <c r="T102" s="82"/>
      <c r="U102" s="2">
        <f>AE92</f>
        <v>3</v>
      </c>
      <c r="V102" s="2">
        <f>AF92</f>
        <v>2</v>
      </c>
      <c r="W102" s="2">
        <f>AG92</f>
        <v>5</v>
      </c>
      <c r="X102" s="2">
        <f>AH92</f>
        <v>-3</v>
      </c>
    </row>
    <row r="103" spans="17:24" x14ac:dyDescent="0.45">
      <c r="Q103"/>
      <c r="R103" s="82" t="str">
        <f>AK92</f>
        <v>Ghana</v>
      </c>
      <c r="S103" s="82"/>
      <c r="T103" s="82"/>
      <c r="U103" s="2">
        <f>AL92</f>
        <v>3</v>
      </c>
      <c r="V103" s="2">
        <f>AM92</f>
        <v>2</v>
      </c>
      <c r="W103" s="2">
        <f>AN92</f>
        <v>3</v>
      </c>
      <c r="X103" s="2">
        <f>AO92</f>
        <v>-1</v>
      </c>
    </row>
    <row r="104" spans="17:24" x14ac:dyDescent="0.45">
      <c r="R104" s="82" t="str">
        <f>B45</f>
        <v>Südkorea</v>
      </c>
      <c r="S104" s="82"/>
      <c r="T104" s="82"/>
      <c r="U104" s="2">
        <f>C45</f>
        <v>3</v>
      </c>
      <c r="V104" s="2">
        <f>D45</f>
        <v>3</v>
      </c>
      <c r="W104" s="2">
        <f>E45</f>
        <v>3</v>
      </c>
      <c r="X104" s="2">
        <f>F45</f>
        <v>0</v>
      </c>
    </row>
    <row r="105" spans="17:24" x14ac:dyDescent="0.45">
      <c r="R105" s="82" t="str">
        <f>I45</f>
        <v>Kanada</v>
      </c>
      <c r="S105" s="82"/>
      <c r="T105" s="82"/>
      <c r="U105" s="2">
        <f>J45</f>
        <v>3</v>
      </c>
      <c r="V105" s="2">
        <f>K45</f>
        <v>3</v>
      </c>
      <c r="W105" s="2">
        <f>L45</f>
        <v>4</v>
      </c>
      <c r="X105" s="2">
        <f>M45</f>
        <v>-1</v>
      </c>
    </row>
    <row r="106" spans="17:24" x14ac:dyDescent="0.45">
      <c r="R106" s="82" t="str">
        <f>P45</f>
        <v>Marokko</v>
      </c>
      <c r="S106" s="82"/>
      <c r="T106" s="82"/>
      <c r="U106" s="2">
        <f>Q45</f>
        <v>3</v>
      </c>
      <c r="V106" s="2">
        <f>R45</f>
        <v>5</v>
      </c>
      <c r="W106" s="2">
        <f>S45</f>
        <v>3</v>
      </c>
      <c r="X106" s="2">
        <f>T45</f>
        <v>2</v>
      </c>
    </row>
    <row r="107" spans="17:24" x14ac:dyDescent="0.45">
      <c r="R107" s="82" t="str">
        <f>W45</f>
        <v>Australien</v>
      </c>
      <c r="S107" s="82"/>
      <c r="T107" s="82"/>
      <c r="U107" s="2">
        <f>X45</f>
        <v>4</v>
      </c>
      <c r="V107" s="2">
        <f>Y45</f>
        <v>3</v>
      </c>
      <c r="W107" s="2">
        <f>Z45</f>
        <v>3</v>
      </c>
      <c r="X107" s="2">
        <f>AA45</f>
        <v>0</v>
      </c>
    </row>
    <row r="108" spans="17:24" x14ac:dyDescent="0.45">
      <c r="R108" s="82" t="str">
        <f>AD45</f>
        <v>Elfenbeinküste</v>
      </c>
      <c r="S108" s="82"/>
      <c r="T108" s="82"/>
      <c r="U108" s="2">
        <f>AE45</f>
        <v>3</v>
      </c>
      <c r="V108" s="2">
        <f>AF45</f>
        <v>3</v>
      </c>
      <c r="W108" s="2">
        <f>AG45</f>
        <v>3</v>
      </c>
      <c r="X108" s="2">
        <f>AH45</f>
        <v>0</v>
      </c>
    </row>
    <row r="109" spans="17:24" x14ac:dyDescent="0.45">
      <c r="R109" s="82" t="str">
        <f>AK45</f>
        <v>Japan</v>
      </c>
      <c r="S109" s="82"/>
      <c r="T109" s="82"/>
      <c r="U109" s="2">
        <f>AL45</f>
        <v>4</v>
      </c>
      <c r="V109" s="2">
        <f>AM45</f>
        <v>3</v>
      </c>
      <c r="W109" s="2">
        <f>AN45</f>
        <v>4</v>
      </c>
      <c r="X109" s="2">
        <f>AO45</f>
        <v>-1</v>
      </c>
    </row>
    <row r="112" spans="17:24" x14ac:dyDescent="0.45">
      <c r="Q112" s="33">
        <v>1</v>
      </c>
      <c r="R112" s="2" t="str" cm="1">
        <f t="array" ref="R112:R123">_xlfn.SORTBY(R98:R109,U98:U109,-1,X98:X109,-1,V98:V109,-1)</f>
        <v>Norwegen</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Australien</v>
      </c>
      <c r="U113" s="2">
        <v>4</v>
      </c>
      <c r="V113" s="2">
        <v>3</v>
      </c>
      <c r="W113" s="2">
        <v>3</v>
      </c>
      <c r="X113" s="2">
        <v>0</v>
      </c>
    </row>
    <row r="114" spans="17:24" x14ac:dyDescent="0.45">
      <c r="Q114" s="33">
        <v>3</v>
      </c>
      <c r="R114" s="2" t="str">
        <v>Japan</v>
      </c>
      <c r="U114" s="2">
        <v>4</v>
      </c>
      <c r="V114" s="2">
        <v>3</v>
      </c>
      <c r="W114" s="2">
        <v>4</v>
      </c>
      <c r="X114" s="2">
        <v>-1</v>
      </c>
    </row>
    <row r="115" spans="17:24" x14ac:dyDescent="0.45">
      <c r="Q115" s="33">
        <v>4</v>
      </c>
      <c r="R115" s="2" t="str">
        <v>Marokko</v>
      </c>
      <c r="U115" s="2">
        <v>3</v>
      </c>
      <c r="V115" s="2">
        <v>5</v>
      </c>
      <c r="W115" s="2">
        <v>3</v>
      </c>
      <c r="X115" s="2">
        <v>2</v>
      </c>
    </row>
    <row r="116" spans="17:24" x14ac:dyDescent="0.45">
      <c r="Q116" s="33">
        <v>5</v>
      </c>
      <c r="R116" s="2" t="str">
        <v>Südkorea</v>
      </c>
      <c r="U116" s="2">
        <v>3</v>
      </c>
      <c r="V116" s="2">
        <v>3</v>
      </c>
      <c r="W116" s="2">
        <v>3</v>
      </c>
      <c r="X116" s="2">
        <v>0</v>
      </c>
    </row>
    <row r="117" spans="17:24" x14ac:dyDescent="0.45">
      <c r="Q117" s="33">
        <v>6</v>
      </c>
      <c r="R117" s="2" t="str">
        <v>Elfenbeinküste</v>
      </c>
      <c r="U117" s="2">
        <v>3</v>
      </c>
      <c r="V117" s="2">
        <v>3</v>
      </c>
      <c r="W117" s="2">
        <v>3</v>
      </c>
      <c r="X117" s="2">
        <v>0</v>
      </c>
    </row>
    <row r="118" spans="17:24" x14ac:dyDescent="0.45">
      <c r="Q118" s="33">
        <v>7</v>
      </c>
      <c r="R118" s="2" t="str">
        <v>Algerien</v>
      </c>
      <c r="U118" s="2">
        <v>3</v>
      </c>
      <c r="V118" s="2">
        <v>4</v>
      </c>
      <c r="W118" s="2">
        <v>5</v>
      </c>
      <c r="X118" s="2">
        <v>-1</v>
      </c>
    </row>
    <row r="119" spans="17:24" x14ac:dyDescent="0.45">
      <c r="Q119" s="33">
        <v>8</v>
      </c>
      <c r="R119" s="2" t="str">
        <v>Kanada</v>
      </c>
      <c r="U119" s="2">
        <v>3</v>
      </c>
      <c r="V119" s="2">
        <v>3</v>
      </c>
      <c r="W119" s="2">
        <v>4</v>
      </c>
      <c r="X119" s="2">
        <v>-1</v>
      </c>
    </row>
    <row r="120" spans="17:24" x14ac:dyDescent="0.45">
      <c r="Q120" s="32">
        <v>9</v>
      </c>
      <c r="R120" s="2" t="str">
        <v>Ghana</v>
      </c>
      <c r="U120" s="2">
        <v>3</v>
      </c>
      <c r="V120" s="2">
        <v>2</v>
      </c>
      <c r="W120" s="2">
        <v>3</v>
      </c>
      <c r="X120" s="2">
        <v>-1</v>
      </c>
    </row>
    <row r="121" spans="17:24" x14ac:dyDescent="0.45">
      <c r="Q121" s="32">
        <v>10</v>
      </c>
      <c r="R121" s="2" t="str">
        <v>Iran</v>
      </c>
      <c r="U121" s="2">
        <v>3</v>
      </c>
      <c r="V121" s="2">
        <v>2</v>
      </c>
      <c r="W121" s="2">
        <v>5</v>
      </c>
      <c r="X121" s="2">
        <v>-3</v>
      </c>
    </row>
    <row r="122" spans="17:24" x14ac:dyDescent="0.45">
      <c r="Q122" s="32">
        <v>11</v>
      </c>
      <c r="R122" s="2" t="str">
        <v>DR Kongo</v>
      </c>
      <c r="U122" s="2">
        <v>3</v>
      </c>
      <c r="V122" s="2">
        <v>2</v>
      </c>
      <c r="W122" s="2">
        <v>5</v>
      </c>
      <c r="X122" s="2">
        <v>-3</v>
      </c>
    </row>
    <row r="123" spans="17:24" x14ac:dyDescent="0.45">
      <c r="Q123" s="32">
        <v>12</v>
      </c>
      <c r="R123" s="2" t="str">
        <v>Saudi-Arabien</v>
      </c>
      <c r="U123" s="2">
        <v>1</v>
      </c>
      <c r="V123" s="2">
        <v>2</v>
      </c>
      <c r="W123" s="2">
        <v>8</v>
      </c>
      <c r="X123" s="2">
        <v>-6</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190</v>
      </c>
    </row>
    <row r="155" spans="1:23" x14ac:dyDescent="0.45">
      <c r="A155" s="23" t="s">
        <v>103</v>
      </c>
      <c r="B155" s="24">
        <f>SUM(H160:H231)</f>
        <v>205</v>
      </c>
    </row>
    <row r="156" spans="1:23" x14ac:dyDescent="0.45">
      <c r="A156" s="23" t="s">
        <v>104</v>
      </c>
      <c r="B156" s="24">
        <f>SUM(E234:E265)</f>
        <v>135</v>
      </c>
    </row>
    <row r="157" spans="1:23" x14ac:dyDescent="0.45">
      <c r="A157" s="25" t="s">
        <v>105</v>
      </c>
      <c r="B157" s="26">
        <f>B154+B155+B156</f>
        <v>530</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3</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2</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3</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x14ac:dyDescent="0.45">
      <c r="A174" s="28">
        <v>15</v>
      </c>
      <c r="B174" s="29" t="s">
        <v>155</v>
      </c>
      <c r="C174" s="30" t="s">
        <v>156</v>
      </c>
      <c r="D174" s="30" t="s">
        <v>157</v>
      </c>
      <c r="E174" s="28">
        <f>Realität!P16</f>
        <v>0</v>
      </c>
      <c r="F174" s="28">
        <f>Realität!Q16</f>
        <v>1</v>
      </c>
      <c r="G174" s="28">
        <f>IF(OR(P16="",Realität!P16=""),0,IF(SIGN(P16-Q16)=SIGN(Realität!P16-Realität!Q16),5,0))</f>
        <v>0</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3</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3</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3</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3</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2</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2</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0</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0</v>
      </c>
      <c r="H188" s="28">
        <f>IF(OR(AD27="",Realität!AD27=""),0,MAX(0,5-ABS(AD27-Realität!AD27)-ABS(AE27-Realität!AE27)))</f>
        <v>3</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3</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0</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3</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5</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2</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1</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2</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4</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2</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4</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1</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2</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0</v>
      </c>
      <c r="H226" s="28">
        <f>IF(OR(AK52="",Realität!AK52=""),0,MAX(0,5-ABS(AK52-Realität!AK52)-ABS(AL52-Realität!AL52)))</f>
        <v>1</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3</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3</v>
      </c>
    </row>
    <row r="232" spans="1:8" x14ac:dyDescent="0.45">
      <c r="A232" s="31" t="s">
        <v>329</v>
      </c>
      <c r="F232" s="23" t="s">
        <v>330</v>
      </c>
      <c r="G232" s="24">
        <f>SUM(G160:G231)</f>
        <v>190</v>
      </c>
      <c r="H232" s="24">
        <f>SUM(H160:H231)</f>
        <v>205</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Tschechien</v>
      </c>
      <c r="E235" s="28">
        <f t="shared" si="0"/>
        <v>0</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Schottland</v>
      </c>
      <c r="E239" s="28">
        <f t="shared" si="0"/>
        <v>0</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Australien</v>
      </c>
      <c r="D241" s="29" t="str">
        <f>W44</f>
        <v>USA</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Ecuador</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Schweden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Senegal</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Österreich</v>
      </c>
      <c r="E253" s="28">
        <f t="shared" si="0"/>
        <v>5</v>
      </c>
    </row>
    <row r="254" spans="1:5" x14ac:dyDescent="0.45">
      <c r="A254" s="28">
        <v>21</v>
      </c>
      <c r="B254" s="29" t="s">
        <v>354</v>
      </c>
      <c r="C254" s="29" t="str">
        <f>Realität!AD90</f>
        <v>Kolumbien</v>
      </c>
      <c r="D254" s="29" t="str">
        <f>AD90</f>
        <v>Portugal</v>
      </c>
      <c r="E254" s="28">
        <f t="shared" si="0"/>
        <v>5</v>
      </c>
    </row>
    <row r="255" spans="1:5" x14ac:dyDescent="0.45">
      <c r="A255" s="28">
        <v>22</v>
      </c>
      <c r="B255" s="29" t="s">
        <v>355</v>
      </c>
      <c r="C255" s="29" t="str">
        <f>Realität!AD91</f>
        <v>Portugal</v>
      </c>
      <c r="D255" s="29" t="str">
        <f>AD91</f>
        <v>Kolumbien</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Norwegen</v>
      </c>
      <c r="E258" s="28">
        <f t="shared" si="0"/>
        <v>5</v>
      </c>
    </row>
    <row r="259" spans="1:5" x14ac:dyDescent="0.45">
      <c r="A259" s="28">
        <v>26</v>
      </c>
      <c r="B259" s="29" t="s">
        <v>359</v>
      </c>
      <c r="C259" s="29" t="str">
        <f>Realität!R113</f>
        <v>Schweden</v>
      </c>
      <c r="D259" s="29" t="str">
        <f t="shared" si="1"/>
        <v>Australien</v>
      </c>
      <c r="E259" s="28">
        <f t="shared" si="0"/>
        <v>5</v>
      </c>
    </row>
    <row r="260" spans="1:5" x14ac:dyDescent="0.45">
      <c r="A260" s="28">
        <v>27</v>
      </c>
      <c r="B260" s="29" t="s">
        <v>360</v>
      </c>
      <c r="C260" s="29" t="str">
        <f>Realität!R114</f>
        <v>Ghana</v>
      </c>
      <c r="D260" s="29" t="str">
        <f t="shared" si="1"/>
        <v>Japan</v>
      </c>
      <c r="E260" s="28">
        <f t="shared" si="0"/>
        <v>5</v>
      </c>
    </row>
    <row r="261" spans="1:5" x14ac:dyDescent="0.45">
      <c r="A261" s="28">
        <v>28</v>
      </c>
      <c r="B261" s="29" t="s">
        <v>361</v>
      </c>
      <c r="C261" s="29" t="str">
        <f>Realität!R115</f>
        <v>Ecuador</v>
      </c>
      <c r="D261" s="29" t="str">
        <f t="shared" si="1"/>
        <v>Marokko</v>
      </c>
      <c r="E261" s="28">
        <f t="shared" si="0"/>
        <v>5</v>
      </c>
    </row>
    <row r="262" spans="1:5" x14ac:dyDescent="0.45">
      <c r="A262" s="28">
        <v>29</v>
      </c>
      <c r="B262" s="29" t="s">
        <v>362</v>
      </c>
      <c r="C262" s="29" t="str">
        <f>Realität!R116</f>
        <v>Bosnien-Herz.</v>
      </c>
      <c r="D262" s="29" t="str">
        <f t="shared" si="1"/>
        <v>Südkorea</v>
      </c>
      <c r="E262" s="28">
        <f t="shared" si="0"/>
        <v>0</v>
      </c>
    </row>
    <row r="263" spans="1:5" x14ac:dyDescent="0.45">
      <c r="A263" s="28">
        <v>30</v>
      </c>
      <c r="B263" s="29" t="s">
        <v>363</v>
      </c>
      <c r="C263" s="29" t="str">
        <f>Realität!R117</f>
        <v>Algerien</v>
      </c>
      <c r="D263" s="29" t="str">
        <f t="shared" si="1"/>
        <v>Elfenbeinküste</v>
      </c>
      <c r="E263" s="28">
        <f t="shared" si="0"/>
        <v>5</v>
      </c>
    </row>
    <row r="264" spans="1:5" x14ac:dyDescent="0.45">
      <c r="A264" s="28">
        <v>31</v>
      </c>
      <c r="B264" s="29" t="s">
        <v>364</v>
      </c>
      <c r="C264" s="29" t="str">
        <f>Realität!R118</f>
        <v>Paraguay</v>
      </c>
      <c r="D264" s="29" t="str">
        <f t="shared" si="1"/>
        <v>Algerien</v>
      </c>
      <c r="E264" s="28">
        <f t="shared" si="0"/>
        <v>5</v>
      </c>
    </row>
    <row r="265" spans="1:5" x14ac:dyDescent="0.45">
      <c r="A265" s="28">
        <v>32</v>
      </c>
      <c r="B265" s="29" t="s">
        <v>365</v>
      </c>
      <c r="C265" s="29" t="str">
        <f>Realität!R119</f>
        <v>Senegal</v>
      </c>
      <c r="D265" s="29" t="str">
        <f t="shared" si="1"/>
        <v>Kanada</v>
      </c>
      <c r="E265" s="28">
        <f t="shared" si="0"/>
        <v>5</v>
      </c>
    </row>
    <row r="266" spans="1:5" x14ac:dyDescent="0.45">
      <c r="D266" s="23" t="s">
        <v>330</v>
      </c>
      <c r="E266" s="24">
        <f>SUM(E234:E265)</f>
        <v>135</v>
      </c>
    </row>
  </sheetData>
  <mergeCells count="146">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 ref="B80:C80"/>
    <mergeCell ref="I80:J80"/>
    <mergeCell ref="P80:Q80"/>
    <mergeCell ref="W80:X80"/>
    <mergeCell ref="AD80:AE80"/>
    <mergeCell ref="AK80:AL80"/>
    <mergeCell ref="B89:C89"/>
    <mergeCell ref="I89:J89"/>
    <mergeCell ref="P89:Q89"/>
    <mergeCell ref="W89:X89"/>
    <mergeCell ref="AD89:AE89"/>
    <mergeCell ref="AK89:AL89"/>
    <mergeCell ref="B72:C72"/>
    <mergeCell ref="I72:J72"/>
    <mergeCell ref="P72:Q72"/>
    <mergeCell ref="W72:X72"/>
    <mergeCell ref="AD72:AE72"/>
    <mergeCell ref="AK72:AL72"/>
    <mergeCell ref="B75:C75"/>
    <mergeCell ref="I75:J75"/>
    <mergeCell ref="P75:Q75"/>
    <mergeCell ref="W75:X75"/>
    <mergeCell ref="AD75:AE75"/>
    <mergeCell ref="AK75:AL75"/>
    <mergeCell ref="B64:C64"/>
    <mergeCell ref="I64:J64"/>
    <mergeCell ref="P64:Q64"/>
    <mergeCell ref="W64:X64"/>
    <mergeCell ref="AD64:AE64"/>
    <mergeCell ref="AK64:AL64"/>
    <mergeCell ref="B69:C69"/>
    <mergeCell ref="I69:J69"/>
    <mergeCell ref="P69:Q69"/>
    <mergeCell ref="W69:X69"/>
    <mergeCell ref="AD69:AE69"/>
    <mergeCell ref="AK69:AL69"/>
    <mergeCell ref="B58:C58"/>
    <mergeCell ref="I58:J58"/>
    <mergeCell ref="P58:Q58"/>
    <mergeCell ref="W58:X58"/>
    <mergeCell ref="AD58:AE58"/>
    <mergeCell ref="AK58:AL58"/>
    <mergeCell ref="B61:C61"/>
    <mergeCell ref="I61:J61"/>
    <mergeCell ref="P61:Q61"/>
    <mergeCell ref="W61:X61"/>
    <mergeCell ref="AD61:AE61"/>
    <mergeCell ref="AK61:AL61"/>
    <mergeCell ref="B50:C50"/>
    <mergeCell ref="I50:J50"/>
    <mergeCell ref="P50:Q50"/>
    <mergeCell ref="W50:X50"/>
    <mergeCell ref="AD50:AE50"/>
    <mergeCell ref="AK50:AL50"/>
    <mergeCell ref="B53:C53"/>
    <mergeCell ref="I53:J53"/>
    <mergeCell ref="P53:Q53"/>
    <mergeCell ref="W53:X53"/>
    <mergeCell ref="AD53:AE53"/>
    <mergeCell ref="AK53:AL53"/>
    <mergeCell ref="B42:C42"/>
    <mergeCell ref="I42:J42"/>
    <mergeCell ref="P42:Q42"/>
    <mergeCell ref="W42:X42"/>
    <mergeCell ref="AD42:AE42"/>
    <mergeCell ref="AK42:AL42"/>
    <mergeCell ref="A48:D49"/>
    <mergeCell ref="H48:K49"/>
    <mergeCell ref="O48:R49"/>
    <mergeCell ref="V48:Y49"/>
    <mergeCell ref="AC48:AF49"/>
    <mergeCell ref="AJ48:AM49"/>
    <mergeCell ref="B28:C28"/>
    <mergeCell ref="I28:J28"/>
    <mergeCell ref="P28:Q28"/>
    <mergeCell ref="W28:X28"/>
    <mergeCell ref="AD28:AE28"/>
    <mergeCell ref="AK28:AL28"/>
    <mergeCell ref="B33:C33"/>
    <mergeCell ref="I33:J33"/>
    <mergeCell ref="P33:Q33"/>
    <mergeCell ref="W33:X33"/>
    <mergeCell ref="AD33:AE33"/>
    <mergeCell ref="AK33:AL33"/>
    <mergeCell ref="B22:C22"/>
    <mergeCell ref="I22:J22"/>
    <mergeCell ref="P22:Q22"/>
    <mergeCell ref="W22:X22"/>
    <mergeCell ref="AD22:AE22"/>
    <mergeCell ref="AK22:AL22"/>
    <mergeCell ref="B25:C25"/>
    <mergeCell ref="I25:J25"/>
    <mergeCell ref="P25:Q25"/>
    <mergeCell ref="W25:X25"/>
    <mergeCell ref="AD25:AE25"/>
    <mergeCell ref="AK25:AL25"/>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B47D-CD5C-4805-8137-63D55E6D58CF}">
  <dimension ref="A1:AP266"/>
  <sheetViews>
    <sheetView topLeftCell="E1" workbookViewId="0">
      <selection activeCell="X81" sqref="X81"/>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3</v>
      </c>
      <c r="K5" s="4"/>
      <c r="L5" s="4"/>
      <c r="M5" s="4"/>
      <c r="N5" s="4"/>
      <c r="O5" s="4"/>
      <c r="P5" s="38">
        <v>2</v>
      </c>
      <c r="Q5" s="38">
        <v>0</v>
      </c>
      <c r="R5" s="4"/>
      <c r="S5" s="4"/>
      <c r="T5" s="4"/>
      <c r="U5" s="4"/>
      <c r="V5" s="4"/>
      <c r="W5" s="38">
        <v>0</v>
      </c>
      <c r="X5" s="38">
        <v>2</v>
      </c>
      <c r="Y5" s="4"/>
      <c r="Z5" s="4"/>
      <c r="AA5" s="4"/>
      <c r="AB5" s="4"/>
      <c r="AC5" s="4"/>
      <c r="AD5" s="38">
        <v>4</v>
      </c>
      <c r="AE5" s="38">
        <v>0</v>
      </c>
      <c r="AF5" s="4"/>
      <c r="AG5" s="4"/>
      <c r="AH5" s="4"/>
      <c r="AI5" s="4"/>
      <c r="AJ5" s="4"/>
      <c r="AK5" s="38">
        <v>1</v>
      </c>
      <c r="AL5" s="38">
        <v>2</v>
      </c>
      <c r="AM5" s="4"/>
      <c r="AN5" s="4"/>
      <c r="AO5" s="4"/>
      <c r="AP5" s="4"/>
    </row>
    <row r="6" spans="1:42" x14ac:dyDescent="0.45">
      <c r="A6" s="4"/>
      <c r="B6" s="80" t="str">
        <f>IF(B5=C5,"Unentschieden",IF(B5&gt;C5,B4,C4))</f>
        <v>Mexiko</v>
      </c>
      <c r="C6" s="80"/>
      <c r="D6" s="4"/>
      <c r="E6" s="4"/>
      <c r="F6" s="4"/>
      <c r="G6" s="4"/>
      <c r="H6" s="4"/>
      <c r="I6" s="80" t="str">
        <f>IF(I5=J5,"Unentschieden",IF(I5&gt;J5,I4,J4))</f>
        <v>Bosnien-Herz.</v>
      </c>
      <c r="J6" s="80"/>
      <c r="K6" s="4"/>
      <c r="L6" s="4"/>
      <c r="M6" s="4"/>
      <c r="N6" s="4"/>
      <c r="O6" s="4"/>
      <c r="P6" s="80" t="str">
        <f>IF(P5=Q5,"Unentschieden",IF(P5&gt;Q5,P4,Q4))</f>
        <v>Brasilien</v>
      </c>
      <c r="Q6" s="80"/>
      <c r="R6" s="4"/>
      <c r="S6" s="4"/>
      <c r="T6" s="4"/>
      <c r="U6" s="4"/>
      <c r="V6" s="4"/>
      <c r="W6" s="80" t="str">
        <f>IF(W5=X5,"Unentschieden",IF(W5&gt;X5,W4,X4))</f>
        <v>Paraguay</v>
      </c>
      <c r="X6" s="80"/>
      <c r="Y6" s="4"/>
      <c r="Z6" s="4"/>
      <c r="AA6" s="4"/>
      <c r="AB6" s="4"/>
      <c r="AC6" s="4"/>
      <c r="AD6" s="80" t="str">
        <f>IF(AD5=AE5,"Unentschieden",IF(AD5&gt;AE5,AD4,AE4))</f>
        <v>Deutschland</v>
      </c>
      <c r="AE6" s="80"/>
      <c r="AF6" s="4"/>
      <c r="AG6" s="4"/>
      <c r="AH6" s="4"/>
      <c r="AI6" s="4"/>
      <c r="AJ6" s="4"/>
      <c r="AK6" s="80" t="str">
        <f>IF(AK5=AL5,"Unentschieden",IF(AK5&gt;AL5,AK4,AL4))</f>
        <v>Japan</v>
      </c>
      <c r="AL6" s="80"/>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0</v>
      </c>
      <c r="AL7" s="1">
        <f>IF(AL5=AK5,1,IF(AL5&gt;AK5,3,0))</f>
        <v>3</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3</v>
      </c>
      <c r="K10" s="4"/>
      <c r="L10" s="4"/>
      <c r="M10" s="4"/>
      <c r="N10" s="4"/>
      <c r="O10" s="4"/>
      <c r="P10" s="38">
        <v>0</v>
      </c>
      <c r="Q10" s="38">
        <v>1</v>
      </c>
      <c r="R10" s="4"/>
      <c r="S10" s="4"/>
      <c r="T10" s="4"/>
      <c r="U10" s="4"/>
      <c r="V10" s="4"/>
      <c r="W10" s="38">
        <v>1</v>
      </c>
      <c r="X10" s="38">
        <v>3</v>
      </c>
      <c r="Y10" s="4"/>
      <c r="Z10" s="4"/>
      <c r="AA10" s="4"/>
      <c r="AB10" s="4"/>
      <c r="AC10" s="4"/>
      <c r="AD10" s="38">
        <v>3</v>
      </c>
      <c r="AE10" s="38">
        <v>2</v>
      </c>
      <c r="AF10" s="4"/>
      <c r="AG10" s="4"/>
      <c r="AH10" s="4"/>
      <c r="AI10" s="4"/>
      <c r="AJ10" s="4"/>
      <c r="AK10" s="38">
        <v>0</v>
      </c>
      <c r="AL10" s="38">
        <v>2</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Tunesien</v>
      </c>
      <c r="AL11" s="80"/>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0</v>
      </c>
      <c r="AL12" s="1">
        <f>IF(AL10=AK10,1,IF(AL10&gt;AK10,3,0))</f>
        <v>3</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1</v>
      </c>
      <c r="D16" s="4"/>
      <c r="E16" s="4"/>
      <c r="F16" s="4"/>
      <c r="G16" s="4"/>
      <c r="H16" s="4"/>
      <c r="I16" s="38">
        <v>2</v>
      </c>
      <c r="J16" s="38">
        <v>2</v>
      </c>
      <c r="K16" s="4"/>
      <c r="L16" s="4"/>
      <c r="M16" s="4"/>
      <c r="N16" s="4"/>
      <c r="O16" s="4"/>
      <c r="P16" s="38">
        <v>1</v>
      </c>
      <c r="Q16" s="38">
        <v>3</v>
      </c>
      <c r="R16" s="4"/>
      <c r="S16" s="4"/>
      <c r="T16" s="4"/>
      <c r="U16" s="4"/>
      <c r="V16" s="4"/>
      <c r="W16" s="38">
        <v>2</v>
      </c>
      <c r="X16" s="38">
        <v>2</v>
      </c>
      <c r="Y16" s="4"/>
      <c r="Z16" s="4"/>
      <c r="AA16" s="4"/>
      <c r="AB16" s="4"/>
      <c r="AC16" s="4"/>
      <c r="AD16" s="38">
        <v>4</v>
      </c>
      <c r="AE16" s="38">
        <v>1</v>
      </c>
      <c r="AF16" s="4"/>
      <c r="AG16" s="4"/>
      <c r="AH16" s="4"/>
      <c r="AI16" s="4"/>
      <c r="AJ16" s="4"/>
      <c r="AK16" s="38">
        <v>1</v>
      </c>
      <c r="AL16" s="38">
        <v>3</v>
      </c>
      <c r="AM16" s="4"/>
      <c r="AN16" s="4"/>
      <c r="AO16" s="4"/>
      <c r="AP16" s="4"/>
    </row>
    <row r="17" spans="1:42" x14ac:dyDescent="0.45">
      <c r="A17" s="4"/>
      <c r="B17" s="80" t="str">
        <f>IF(B16=C16,"Unentschieden",IF(B16&gt;C16,B15,C15))</f>
        <v>Unentschieden</v>
      </c>
      <c r="C17" s="80"/>
      <c r="D17" s="4"/>
      <c r="E17" s="4"/>
      <c r="F17" s="4"/>
      <c r="G17" s="4"/>
      <c r="H17" s="4"/>
      <c r="I17" s="80" t="str">
        <f>IF(I16=J16,"Unentschieden",IF(I16&gt;J16,I15,J15))</f>
        <v>Unentschieden</v>
      </c>
      <c r="J17" s="80"/>
      <c r="K17" s="4"/>
      <c r="L17" s="4"/>
      <c r="M17" s="4"/>
      <c r="N17" s="4"/>
      <c r="O17" s="4"/>
      <c r="P17" s="80" t="str">
        <f>IF(P16=Q16,"Unentschieden",IF(P16&gt;Q16,P15,Q15))</f>
        <v>Marokko</v>
      </c>
      <c r="Q17" s="80"/>
      <c r="R17" s="4"/>
      <c r="S17" s="4"/>
      <c r="T17" s="4"/>
      <c r="U17" s="4"/>
      <c r="V17" s="4"/>
      <c r="W17" s="80" t="str">
        <f>IF(W16=X16,"Unentschieden",IF(W16&gt;X16,W15,X15))</f>
        <v>Unentschieden</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1</v>
      </c>
      <c r="C18" s="1">
        <f>IF(C16=B16,1,IF(C16&gt;B16,3,0))</f>
        <v>1</v>
      </c>
      <c r="D18" s="4"/>
      <c r="E18" s="4"/>
      <c r="F18" s="4"/>
      <c r="G18" s="4"/>
      <c r="H18" s="4"/>
      <c r="I18" s="1">
        <f>IF(I16=J16,1,IF(I16&gt;J16,3,0))</f>
        <v>1</v>
      </c>
      <c r="J18" s="1">
        <f>IF(J16=I16,1,IF(J16&gt;I16,3,0))</f>
        <v>1</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2</v>
      </c>
      <c r="D21" s="4"/>
      <c r="E21" s="4"/>
      <c r="F21" s="4"/>
      <c r="G21" s="4"/>
      <c r="H21" s="4"/>
      <c r="I21" s="38">
        <v>2</v>
      </c>
      <c r="J21" s="38">
        <v>1</v>
      </c>
      <c r="K21" s="4"/>
      <c r="L21" s="4"/>
      <c r="M21" s="4"/>
      <c r="N21" s="4"/>
      <c r="O21" s="4"/>
      <c r="P21" s="38">
        <v>4</v>
      </c>
      <c r="Q21" s="38">
        <v>0</v>
      </c>
      <c r="R21" s="4"/>
      <c r="S21" s="4"/>
      <c r="T21" s="4"/>
      <c r="U21" s="4"/>
      <c r="V21" s="4"/>
      <c r="W21" s="38">
        <v>0</v>
      </c>
      <c r="X21" s="38">
        <v>0</v>
      </c>
      <c r="Y21" s="4"/>
      <c r="Z21" s="4"/>
      <c r="AA21" s="4"/>
      <c r="AB21" s="4"/>
      <c r="AC21" s="4"/>
      <c r="AD21" s="38">
        <v>1</v>
      </c>
      <c r="AE21" s="38">
        <v>3</v>
      </c>
      <c r="AF21" s="4"/>
      <c r="AG21" s="4"/>
      <c r="AH21" s="4"/>
      <c r="AI21" s="4"/>
      <c r="AJ21" s="4"/>
      <c r="AK21" s="38">
        <v>3</v>
      </c>
      <c r="AL21" s="38">
        <v>0</v>
      </c>
      <c r="AM21" s="4"/>
      <c r="AN21" s="4"/>
      <c r="AO21" s="4"/>
      <c r="AP21" s="4"/>
    </row>
    <row r="22" spans="1:42" x14ac:dyDescent="0.45">
      <c r="A22" s="4"/>
      <c r="B22" s="80" t="str">
        <f>IF(B21=C21,"Unentschieden",IF(B21&gt;C21,B20,C20))</f>
        <v>Unentschieden</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Elfenbeinküste</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0</v>
      </c>
      <c r="AE23" s="1">
        <f>IF(AE21=AD21,1,IF(AE21&gt;AD21,3,0))</f>
        <v>3</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3</v>
      </c>
      <c r="D27" s="4"/>
      <c r="E27" s="4"/>
      <c r="F27" s="4"/>
      <c r="G27" s="4"/>
      <c r="H27" s="4"/>
      <c r="I27" s="38">
        <v>3</v>
      </c>
      <c r="J27" s="38">
        <v>0</v>
      </c>
      <c r="K27" s="4"/>
      <c r="L27" s="4"/>
      <c r="M27" s="4"/>
      <c r="N27" s="4"/>
      <c r="O27" s="4"/>
      <c r="P27" s="38">
        <v>2</v>
      </c>
      <c r="Q27" s="38">
        <v>0</v>
      </c>
      <c r="R27" s="4"/>
      <c r="S27" s="4"/>
      <c r="T27" s="4"/>
      <c r="U27" s="4"/>
      <c r="V27" s="4"/>
      <c r="W27" s="38">
        <v>2</v>
      </c>
      <c r="X27" s="38">
        <v>1</v>
      </c>
      <c r="Y27" s="4"/>
      <c r="Z27" s="4"/>
      <c r="AA27" s="4"/>
      <c r="AB27" s="4"/>
      <c r="AC27" s="4"/>
      <c r="AD27" s="38">
        <v>0</v>
      </c>
      <c r="AE27" s="38">
        <v>4</v>
      </c>
      <c r="AF27" s="4"/>
      <c r="AG27" s="4"/>
      <c r="AH27" s="4"/>
      <c r="AI27" s="4"/>
      <c r="AJ27" s="4"/>
      <c r="AK27" s="38">
        <v>3</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Paraguay</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2</v>
      </c>
      <c r="J32" s="38">
        <v>1</v>
      </c>
      <c r="K32" s="4"/>
      <c r="L32" s="4"/>
      <c r="M32" s="4"/>
      <c r="N32" s="4"/>
      <c r="O32" s="4"/>
      <c r="P32" s="38">
        <v>1</v>
      </c>
      <c r="Q32" s="38">
        <v>3</v>
      </c>
      <c r="R32" s="4"/>
      <c r="S32" s="4"/>
      <c r="T32" s="4"/>
      <c r="U32" s="4"/>
      <c r="V32" s="4"/>
      <c r="W32" s="38">
        <v>3</v>
      </c>
      <c r="X32" s="38">
        <v>0</v>
      </c>
      <c r="Y32" s="4"/>
      <c r="Z32" s="4"/>
      <c r="AA32" s="4"/>
      <c r="AB32" s="4"/>
      <c r="AC32" s="4"/>
      <c r="AD32" s="38">
        <v>0</v>
      </c>
      <c r="AE32" s="38">
        <v>2</v>
      </c>
      <c r="AF32" s="4"/>
      <c r="AG32" s="4"/>
      <c r="AH32" s="4"/>
      <c r="AI32" s="4"/>
      <c r="AJ32" s="4"/>
      <c r="AK32" s="38">
        <v>1</v>
      </c>
      <c r="AL32" s="38">
        <v>2</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3</v>
      </c>
      <c r="K37" s="1">
        <f>I5+I21+J32</f>
        <v>4</v>
      </c>
      <c r="L37" s="1">
        <f>J5+J21+I32</f>
        <v>6</v>
      </c>
      <c r="M37" s="1">
        <f>K37-L37</f>
        <v>-2</v>
      </c>
      <c r="N37" s="4"/>
      <c r="O37" s="13"/>
      <c r="P37" s="2" t="s">
        <v>29</v>
      </c>
      <c r="Q37" s="1">
        <f>P7+P23+Q34</f>
        <v>9</v>
      </c>
      <c r="R37" s="1">
        <f>P5+P21+Q32</f>
        <v>9</v>
      </c>
      <c r="S37" s="1">
        <f>Q5+Q21+P32</f>
        <v>1</v>
      </c>
      <c r="T37" s="1">
        <f>R37-S37</f>
        <v>8</v>
      </c>
      <c r="U37" s="4"/>
      <c r="V37" s="13"/>
      <c r="W37" s="2" t="s">
        <v>31</v>
      </c>
      <c r="X37" s="1">
        <f>W7+W23+X34</f>
        <v>1</v>
      </c>
      <c r="Y37" s="1">
        <f>W5+W21+X32</f>
        <v>0</v>
      </c>
      <c r="Z37" s="1">
        <f>X5+X21+W32</f>
        <v>5</v>
      </c>
      <c r="AA37" s="1">
        <f>Y37-Z37</f>
        <v>-5</v>
      </c>
      <c r="AB37" s="4"/>
      <c r="AC37" s="13"/>
      <c r="AD37" s="2" t="s">
        <v>33</v>
      </c>
      <c r="AE37" s="1">
        <f>AD7+AD23+AE34</f>
        <v>6</v>
      </c>
      <c r="AF37" s="1">
        <f>AD5+AD21+AE32</f>
        <v>7</v>
      </c>
      <c r="AG37" s="1">
        <f>AE5+AE21+AD32</f>
        <v>3</v>
      </c>
      <c r="AH37" s="1">
        <f>AF37-AG37</f>
        <v>4</v>
      </c>
      <c r="AI37" s="4"/>
      <c r="AJ37" s="4"/>
      <c r="AK37" s="2" t="s">
        <v>35</v>
      </c>
      <c r="AL37" s="1">
        <f>AK7+AK23+AL34</f>
        <v>6</v>
      </c>
      <c r="AM37" s="1">
        <f>AK5+AK21+AL32</f>
        <v>6</v>
      </c>
      <c r="AN37" s="1">
        <f>AL5+AL21+AK32</f>
        <v>3</v>
      </c>
      <c r="AO37" s="1">
        <f>AM37-AN37</f>
        <v>3</v>
      </c>
      <c r="AP37" s="4"/>
    </row>
    <row r="38" spans="1:42" x14ac:dyDescent="0.45">
      <c r="A38" s="37"/>
      <c r="B38" s="2" t="s">
        <v>26</v>
      </c>
      <c r="C38" s="1">
        <f>C7+C18+B29</f>
        <v>1</v>
      </c>
      <c r="D38" s="1">
        <f>C5+C16+B27</f>
        <v>1</v>
      </c>
      <c r="E38" s="1">
        <f>B5+B16+C27</f>
        <v>6</v>
      </c>
      <c r="F38" s="1">
        <f>D38-E38</f>
        <v>-5</v>
      </c>
      <c r="G38" s="4"/>
      <c r="H38" s="37"/>
      <c r="I38" s="2" t="s">
        <v>28</v>
      </c>
      <c r="J38" s="1">
        <f>J7+J18+I29</f>
        <v>7</v>
      </c>
      <c r="K38" s="1">
        <f>J5+J16+I27</f>
        <v>8</v>
      </c>
      <c r="L38" s="1">
        <f>I5+I16+J27</f>
        <v>3</v>
      </c>
      <c r="M38" s="1">
        <f>K38-L38</f>
        <v>5</v>
      </c>
      <c r="N38" s="4"/>
      <c r="O38" s="13"/>
      <c r="P38" s="2" t="s">
        <v>30</v>
      </c>
      <c r="Q38" s="1">
        <f>Q7+Q18+P29</f>
        <v>6</v>
      </c>
      <c r="R38" s="1">
        <f>Q5+Q16+P27</f>
        <v>5</v>
      </c>
      <c r="S38" s="1">
        <f>P5+P16+Q27</f>
        <v>3</v>
      </c>
      <c r="T38" s="1">
        <f>R38-S38</f>
        <v>2</v>
      </c>
      <c r="U38" s="4"/>
      <c r="V38" s="13"/>
      <c r="W38" s="2" t="s">
        <v>32</v>
      </c>
      <c r="X38" s="1">
        <f>X7+X18+W29</f>
        <v>7</v>
      </c>
      <c r="Y38" s="1">
        <f>X5+X16+W27</f>
        <v>6</v>
      </c>
      <c r="Z38" s="1">
        <f>W5+W16+X27</f>
        <v>3</v>
      </c>
      <c r="AA38" s="1">
        <f>Y38-Z38</f>
        <v>3</v>
      </c>
      <c r="AB38" s="4"/>
      <c r="AC38" s="13"/>
      <c r="AD38" s="2" t="s">
        <v>34</v>
      </c>
      <c r="AE38" s="1">
        <f>AE7+AE18+AD29</f>
        <v>0</v>
      </c>
      <c r="AF38" s="1">
        <f>AE5+AE16+AD27</f>
        <v>1</v>
      </c>
      <c r="AG38" s="1">
        <f>AD5+AD16+AE27</f>
        <v>12</v>
      </c>
      <c r="AH38" s="1">
        <f>AF38-AG38</f>
        <v>-11</v>
      </c>
      <c r="AI38" s="4"/>
      <c r="AJ38" s="4"/>
      <c r="AK38" s="2" t="s">
        <v>36</v>
      </c>
      <c r="AL38" s="1">
        <f>AL7+AL18+AK29</f>
        <v>9</v>
      </c>
      <c r="AM38" s="1">
        <f>AL5+AL16+AK27</f>
        <v>8</v>
      </c>
      <c r="AN38" s="1">
        <f>AK5+AK16+AL27</f>
        <v>3</v>
      </c>
      <c r="AO38" s="1">
        <f>AM38-AN38</f>
        <v>5</v>
      </c>
      <c r="AP38" s="4"/>
    </row>
    <row r="39" spans="1:42" x14ac:dyDescent="0.45">
      <c r="A39" s="36"/>
      <c r="B39" s="2" t="s">
        <v>37</v>
      </c>
      <c r="C39" s="1">
        <f>B12+C23+C29</f>
        <v>7</v>
      </c>
      <c r="D39" s="1">
        <f>B10+C21+C27</f>
        <v>7</v>
      </c>
      <c r="E39" s="1">
        <f>C10+B21+B27</f>
        <v>3</v>
      </c>
      <c r="F39" s="1">
        <f>D39-E39</f>
        <v>4</v>
      </c>
      <c r="G39" s="4"/>
      <c r="H39" s="36"/>
      <c r="I39" s="2" t="s">
        <v>39</v>
      </c>
      <c r="J39" s="1">
        <f>I12+J23+J29</f>
        <v>0</v>
      </c>
      <c r="K39" s="1">
        <f>I10+J21+J27</f>
        <v>1</v>
      </c>
      <c r="L39" s="1">
        <f>J10+I21+I27</f>
        <v>8</v>
      </c>
      <c r="M39" s="1">
        <f>K39-L39</f>
        <v>-7</v>
      </c>
      <c r="N39" s="4"/>
      <c r="O39" s="13"/>
      <c r="P39" s="2" t="s">
        <v>41</v>
      </c>
      <c r="Q39" s="1">
        <f>P12+Q23+Q29</f>
        <v>0</v>
      </c>
      <c r="R39" s="1">
        <f>P10+Q21+Q27</f>
        <v>0</v>
      </c>
      <c r="S39" s="1">
        <f>Q10+P21+P27</f>
        <v>7</v>
      </c>
      <c r="T39" s="1">
        <f>R39-S39</f>
        <v>-7</v>
      </c>
      <c r="U39" s="4"/>
      <c r="V39" s="13"/>
      <c r="W39" s="2" t="s">
        <v>43</v>
      </c>
      <c r="X39" s="1">
        <f>W12+X23+X29</f>
        <v>1</v>
      </c>
      <c r="Y39" s="1">
        <f>W10+X21+X27</f>
        <v>2</v>
      </c>
      <c r="Z39" s="1">
        <f>X10+W21+W27</f>
        <v>5</v>
      </c>
      <c r="AA39" s="1">
        <f>Y39-Z39</f>
        <v>-3</v>
      </c>
      <c r="AB39" s="4"/>
      <c r="AC39" s="13"/>
      <c r="AD39" s="2" t="s">
        <v>45</v>
      </c>
      <c r="AE39" s="1">
        <f>AD12+AE23+AE29</f>
        <v>9</v>
      </c>
      <c r="AF39" s="1">
        <f>AD10+AE21+AE27</f>
        <v>10</v>
      </c>
      <c r="AG39" s="1">
        <f>AE10+AD21+AD27</f>
        <v>3</v>
      </c>
      <c r="AH39" s="1">
        <f>AF39-AG39</f>
        <v>7</v>
      </c>
      <c r="AI39" s="4"/>
      <c r="AJ39" s="4"/>
      <c r="AK39" s="2" t="s">
        <v>47</v>
      </c>
      <c r="AL39" s="1">
        <f>AK12+AL23+AL29</f>
        <v>0</v>
      </c>
      <c r="AM39" s="1">
        <f>AK10+AL21+AL27</f>
        <v>1</v>
      </c>
      <c r="AN39" s="1">
        <f>AL10+AK21+AK27</f>
        <v>8</v>
      </c>
      <c r="AO39" s="1">
        <f>AM39-AN39</f>
        <v>-7</v>
      </c>
      <c r="AP39" s="4"/>
    </row>
    <row r="40" spans="1:42" x14ac:dyDescent="0.45">
      <c r="A40" s="35"/>
      <c r="B40" s="2" t="s">
        <v>38</v>
      </c>
      <c r="C40" s="1">
        <f>C12+B18+B34</f>
        <v>1</v>
      </c>
      <c r="D40" s="1">
        <f>C10+B16+B32</f>
        <v>3</v>
      </c>
      <c r="E40" s="1">
        <f>B10+C16+C32</f>
        <v>5</v>
      </c>
      <c r="F40" s="1">
        <f>D40-E40</f>
        <v>-2</v>
      </c>
      <c r="G40" s="4"/>
      <c r="H40" s="35"/>
      <c r="I40" s="2" t="s">
        <v>40</v>
      </c>
      <c r="J40" s="1">
        <f>J12+I18+I34</f>
        <v>7</v>
      </c>
      <c r="K40" s="1">
        <f>J10+I16+I32</f>
        <v>7</v>
      </c>
      <c r="L40" s="1">
        <f>I10+J16+J32</f>
        <v>3</v>
      </c>
      <c r="M40" s="1">
        <f>K40-L40</f>
        <v>4</v>
      </c>
      <c r="N40" s="4"/>
      <c r="O40" s="13"/>
      <c r="P40" s="2" t="s">
        <v>42</v>
      </c>
      <c r="Q40" s="1">
        <f>Q12+P18+P34</f>
        <v>3</v>
      </c>
      <c r="R40" s="1">
        <f>Q10+P16+P32</f>
        <v>3</v>
      </c>
      <c r="S40" s="1">
        <f>P10+Q16+Q32</f>
        <v>6</v>
      </c>
      <c r="T40" s="1">
        <f>R40-S40</f>
        <v>-3</v>
      </c>
      <c r="U40" s="4"/>
      <c r="V40" s="13"/>
      <c r="W40" s="2" t="s">
        <v>44</v>
      </c>
      <c r="X40" s="1">
        <f>X12+W18+W34</f>
        <v>7</v>
      </c>
      <c r="Y40" s="1">
        <f>X10+W16+W32</f>
        <v>8</v>
      </c>
      <c r="Z40" s="1">
        <f>W10+X16+X32</f>
        <v>3</v>
      </c>
      <c r="AA40" s="1">
        <f>Y40-Z40</f>
        <v>5</v>
      </c>
      <c r="AB40" s="4"/>
      <c r="AC40" s="13"/>
      <c r="AD40" s="2" t="s">
        <v>46</v>
      </c>
      <c r="AE40" s="1">
        <f>AE12+AD18+AD34</f>
        <v>3</v>
      </c>
      <c r="AF40" s="1">
        <f>AE10+AD16+AD32</f>
        <v>6</v>
      </c>
      <c r="AG40" s="1">
        <f>AD10+AE16+AE32</f>
        <v>6</v>
      </c>
      <c r="AH40" s="1">
        <f>AF40-AG40</f>
        <v>0</v>
      </c>
      <c r="AI40" s="4"/>
      <c r="AJ40" s="4"/>
      <c r="AK40" s="2" t="s">
        <v>48</v>
      </c>
      <c r="AL40" s="1">
        <f>AL12+AK18+AK34</f>
        <v>3</v>
      </c>
      <c r="AM40" s="1">
        <f>AL10+AK16+AK32</f>
        <v>4</v>
      </c>
      <c r="AN40" s="1">
        <f>AK10+AL16+AL32</f>
        <v>5</v>
      </c>
      <c r="AO40" s="1">
        <f>AM40-AN40</f>
        <v>-1</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Südkorea</v>
      </c>
      <c r="C43" s="1" cm="1">
        <f t="array" ref="C43:C46">_xlfn.SORTBY(C37:C40,C37:C40,-1,F37:F40,-1,D37:D40,-1)</f>
        <v>7</v>
      </c>
      <c r="D43" s="1" cm="1">
        <f t="array" ref="D43:D46">_xlfn.SORTBY(D37:D40,C37:C40,-1,F37:F40,-1,D37:D40,-1)</f>
        <v>7</v>
      </c>
      <c r="E43" s="1" cm="1">
        <f t="array" ref="E43:E46">_xlfn.SORTBY(E37:E40,C37:C40,-1,F37:F40,-1,D37:D40,-1)</f>
        <v>3</v>
      </c>
      <c r="F43" s="1" cm="1">
        <f t="array" ref="F43:F46">_xlfn.SORTBY(F37:F40,C37:C40,-1,F37:F40,-1,D37:D40,-1)</f>
        <v>4</v>
      </c>
      <c r="G43" s="4"/>
      <c r="H43" s="33">
        <v>1</v>
      </c>
      <c r="I43" s="2" t="str" cm="1">
        <f t="array" ref="I43:I46">_xlfn.SORTBY(I37:I40,J37:J40,-1,M37:M40,-1,K37:K40,-1)</f>
        <v>Bosnien-Herz.</v>
      </c>
      <c r="J43" s="1" cm="1">
        <f t="array" ref="J43:J46">_xlfn.SORTBY(J37:J40,J37:J40,-1,M37:M40,-1,K37:K40,-1)</f>
        <v>7</v>
      </c>
      <c r="K43" s="1" cm="1">
        <f t="array" ref="K43:K46">_xlfn.SORTBY(K37:K40,J37:J40,-1,M37:M40,-1,K37:K40,-1)</f>
        <v>8</v>
      </c>
      <c r="L43" s="1" cm="1">
        <f t="array" ref="L43:L46">_xlfn.SORTBY(L37:L40,J37:J40,-1,M37:M40,-1,K37:K40,-1)</f>
        <v>3</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1</v>
      </c>
      <c r="T43" s="1" cm="1">
        <f t="array" ref="T43:T46">_xlfn.SORTBY(T37:T40,Q37:Q40,-1,T37:T40,-1,R37:R40,-1)</f>
        <v>8</v>
      </c>
      <c r="U43" s="4"/>
      <c r="V43" s="33">
        <v>1</v>
      </c>
      <c r="W43" s="2" t="str" cm="1">
        <f t="array" ref="W43:W46">_xlfn.SORTBY(W37:W40,X37:X40,-1,AA37:AA40,-1,Y37:Y40,-1)</f>
        <v>Türkei</v>
      </c>
      <c r="X43" s="1" cm="1">
        <f t="array" ref="X43:X46">_xlfn.SORTBY(X37:X40,X37:X40,-1,AA37:AA40,-1,Y37:Y40,-1)</f>
        <v>7</v>
      </c>
      <c r="Y43" s="1" cm="1">
        <f t="array" ref="Y43:Y46">_xlfn.SORTBY(Y37:Y40,X37:X40,-1,AA37:AA40,-1,Y37:Y40,-1)</f>
        <v>8</v>
      </c>
      <c r="Z43" s="1" cm="1">
        <f t="array" ref="Z43:Z46">_xlfn.SORTBY(Z37:Z40,X37:X40,-1,AA37:AA40,-1,Y37:Y40,-1)</f>
        <v>3</v>
      </c>
      <c r="AA43" s="1" cm="1">
        <f t="array" ref="AA43:AA46">_xlfn.SORTBY(AA37:AA40,X37:X40,-1,AA37:AA40,-1,Y37:Y40,-1)</f>
        <v>5</v>
      </c>
      <c r="AB43" s="4"/>
      <c r="AC43" s="33">
        <v>1</v>
      </c>
      <c r="AD43" s="2" t="str" cm="1">
        <f t="array" ref="AD43:AD46">_xlfn.SORTBY(AD37:AD40,AE37:AE40,-1,AH37:AH40,-1,AF37:AF40,-1)</f>
        <v>Elfenbeinküste</v>
      </c>
      <c r="AE43" s="1" cm="1">
        <f t="array" ref="AE43:AE46">_xlfn.SORTBY(AE37:AE40,AE37:AE40,-1,AH37:AH40,-1,AF37:AF40,-1)</f>
        <v>9</v>
      </c>
      <c r="AF43" s="1" cm="1">
        <f t="array" ref="AF43:AF46">_xlfn.SORTBY(AF37:AF40,AE37:AE40,-1,AH37:AH40,-1,AF37:AF40,-1)</f>
        <v>10</v>
      </c>
      <c r="AG43" s="1" cm="1">
        <f t="array" ref="AG43:AG46">_xlfn.SORTBY(AG37:AG40,AE37:AE40,-1,AH37:AH40,-1,AF37:AF40,-1)</f>
        <v>3</v>
      </c>
      <c r="AH43" s="1" cm="1">
        <f t="array" ref="AH43:AH46">_xlfn.SORTBY(AH37:AH40,AE37:AE40,-1,AH37:AH40,-1,AF37:AF40,-1)</f>
        <v>7</v>
      </c>
      <c r="AI43" s="4"/>
      <c r="AJ43" s="33">
        <v>1</v>
      </c>
      <c r="AK43" s="2" t="str" cm="1">
        <f t="array" ref="AK43:AK46">_xlfn.SORTBY(AK37:AK40,AL37:AL40,-1,AO37:AO40,-1,AM37:AM40,-1)</f>
        <v>Japan</v>
      </c>
      <c r="AL43" s="1" cm="1">
        <f t="array" ref="AL43:AL46">_xlfn.SORTBY(AL37:AL40,AL37:AL40,-1,AO37:AO40,-1,AM37:AM40,-1)</f>
        <v>9</v>
      </c>
      <c r="AM43" s="1" cm="1">
        <f t="array" ref="AM43:AM46">_xlfn.SORTBY(AM37:AM40,AL37:AL40,-1,AO37:AO40,-1,AM37:AM40,-1)</f>
        <v>8</v>
      </c>
      <c r="AN43" s="1" cm="1">
        <f t="array" ref="AN43:AN46">_xlfn.SORTBY(AN37:AN40,AL37:AL40,-1,AO37:AO40,-1,AM37:AM40,-1)</f>
        <v>3</v>
      </c>
      <c r="AO43" s="1" cm="1">
        <f t="array" ref="AO43:AO46">_xlfn.SORTBY(AO37:AO40,AL37:AL40,-1,AO37:AO40,-1,AM37:AM40,-1)</f>
        <v>5</v>
      </c>
      <c r="AP43" s="4"/>
    </row>
    <row r="44" spans="1:42" x14ac:dyDescent="0.45">
      <c r="A44" s="33">
        <v>2</v>
      </c>
      <c r="B44" s="2" t="str">
        <v>Mexiko</v>
      </c>
      <c r="C44" s="1">
        <v>7</v>
      </c>
      <c r="D44" s="1">
        <v>6</v>
      </c>
      <c r="E44" s="1">
        <v>3</v>
      </c>
      <c r="F44" s="1">
        <v>3</v>
      </c>
      <c r="G44" s="4"/>
      <c r="H44" s="33">
        <v>2</v>
      </c>
      <c r="I44" s="2" t="str">
        <v>Schweiz</v>
      </c>
      <c r="J44" s="1">
        <v>7</v>
      </c>
      <c r="K44" s="1">
        <v>7</v>
      </c>
      <c r="L44" s="1">
        <v>3</v>
      </c>
      <c r="M44" s="1">
        <v>4</v>
      </c>
      <c r="N44" s="4"/>
      <c r="O44" s="33">
        <v>2</v>
      </c>
      <c r="P44" s="2" t="str">
        <v>Marokko</v>
      </c>
      <c r="Q44" s="1">
        <v>6</v>
      </c>
      <c r="R44" s="1">
        <v>5</v>
      </c>
      <c r="S44" s="1">
        <v>3</v>
      </c>
      <c r="T44" s="1">
        <v>2</v>
      </c>
      <c r="U44" s="4"/>
      <c r="V44" s="33">
        <v>2</v>
      </c>
      <c r="W44" s="2" t="str">
        <v>Paraguay</v>
      </c>
      <c r="X44" s="1">
        <v>7</v>
      </c>
      <c r="Y44" s="1">
        <v>6</v>
      </c>
      <c r="Z44" s="1">
        <v>3</v>
      </c>
      <c r="AA44" s="1">
        <v>3</v>
      </c>
      <c r="AB44" s="4"/>
      <c r="AC44" s="33">
        <v>2</v>
      </c>
      <c r="AD44" s="2" t="str">
        <v>Deutschland</v>
      </c>
      <c r="AE44" s="1">
        <v>6</v>
      </c>
      <c r="AF44" s="1">
        <v>7</v>
      </c>
      <c r="AG44" s="1">
        <v>3</v>
      </c>
      <c r="AH44" s="1">
        <v>4</v>
      </c>
      <c r="AI44" s="4"/>
      <c r="AJ44" s="33">
        <v>2</v>
      </c>
      <c r="AK44" s="2" t="str">
        <v>Niederlande</v>
      </c>
      <c r="AL44" s="1">
        <v>6</v>
      </c>
      <c r="AM44" s="1">
        <v>6</v>
      </c>
      <c r="AN44" s="1">
        <v>3</v>
      </c>
      <c r="AO44" s="1">
        <v>3</v>
      </c>
      <c r="AP44" s="4"/>
    </row>
    <row r="45" spans="1:42" x14ac:dyDescent="0.45">
      <c r="A45" s="34">
        <v>3</v>
      </c>
      <c r="B45" s="2" t="str">
        <v>Tschechien</v>
      </c>
      <c r="C45" s="1">
        <v>1</v>
      </c>
      <c r="D45" s="1">
        <v>3</v>
      </c>
      <c r="E45" s="1">
        <v>5</v>
      </c>
      <c r="F45" s="1">
        <v>-2</v>
      </c>
      <c r="G45" s="4"/>
      <c r="H45" s="34">
        <v>3</v>
      </c>
      <c r="I45" s="2" t="str">
        <v>Kanada</v>
      </c>
      <c r="J45" s="1">
        <v>3</v>
      </c>
      <c r="K45" s="1">
        <v>4</v>
      </c>
      <c r="L45" s="1">
        <v>6</v>
      </c>
      <c r="M45" s="1">
        <v>-2</v>
      </c>
      <c r="N45" s="4"/>
      <c r="O45" s="34">
        <v>3</v>
      </c>
      <c r="P45" s="2" t="str">
        <v>Schottland</v>
      </c>
      <c r="Q45" s="1">
        <v>3</v>
      </c>
      <c r="R45" s="1">
        <v>3</v>
      </c>
      <c r="S45" s="1">
        <v>6</v>
      </c>
      <c r="T45" s="1">
        <v>-3</v>
      </c>
      <c r="U45" s="4"/>
      <c r="V45" s="34">
        <v>3</v>
      </c>
      <c r="W45" s="2" t="str">
        <v>Australien</v>
      </c>
      <c r="X45" s="1">
        <v>1</v>
      </c>
      <c r="Y45" s="1">
        <v>2</v>
      </c>
      <c r="Z45" s="1">
        <v>5</v>
      </c>
      <c r="AA45" s="1">
        <v>-3</v>
      </c>
      <c r="AB45" s="4"/>
      <c r="AC45" s="34">
        <v>3</v>
      </c>
      <c r="AD45" s="2" t="str">
        <v>Ecuador</v>
      </c>
      <c r="AE45" s="1">
        <v>3</v>
      </c>
      <c r="AF45" s="1">
        <v>6</v>
      </c>
      <c r="AG45" s="1">
        <v>6</v>
      </c>
      <c r="AH45" s="1">
        <v>0</v>
      </c>
      <c r="AI45" s="4"/>
      <c r="AJ45" s="34">
        <v>3</v>
      </c>
      <c r="AK45" s="2" t="str">
        <v>Tunesien</v>
      </c>
      <c r="AL45" s="1">
        <v>3</v>
      </c>
      <c r="AM45" s="1">
        <v>4</v>
      </c>
      <c r="AN45" s="1">
        <v>5</v>
      </c>
      <c r="AO45" s="1">
        <v>-1</v>
      </c>
      <c r="AP45" s="4"/>
    </row>
    <row r="46" spans="1:42" x14ac:dyDescent="0.45">
      <c r="A46" s="32">
        <v>4</v>
      </c>
      <c r="B46" s="2" t="str">
        <v>Südafrika</v>
      </c>
      <c r="C46" s="1">
        <v>1</v>
      </c>
      <c r="D46" s="1">
        <v>1</v>
      </c>
      <c r="E46" s="1">
        <v>6</v>
      </c>
      <c r="F46" s="1">
        <v>-5</v>
      </c>
      <c r="G46" s="4"/>
      <c r="H46" s="32">
        <v>4</v>
      </c>
      <c r="I46" s="2" t="str">
        <v>Katar</v>
      </c>
      <c r="J46" s="1">
        <v>0</v>
      </c>
      <c r="K46" s="1">
        <v>1</v>
      </c>
      <c r="L46" s="1">
        <v>8</v>
      </c>
      <c r="M46" s="1">
        <v>-7</v>
      </c>
      <c r="N46" s="4"/>
      <c r="O46" s="32">
        <v>4</v>
      </c>
      <c r="P46" s="2" t="str">
        <v>Haiti</v>
      </c>
      <c r="Q46" s="1">
        <v>0</v>
      </c>
      <c r="R46" s="1">
        <v>0</v>
      </c>
      <c r="S46" s="1">
        <v>7</v>
      </c>
      <c r="T46" s="1">
        <v>-7</v>
      </c>
      <c r="U46" s="4"/>
      <c r="V46" s="32">
        <v>4</v>
      </c>
      <c r="W46" s="2" t="str">
        <v>USA</v>
      </c>
      <c r="X46" s="1">
        <v>1</v>
      </c>
      <c r="Y46" s="1">
        <v>0</v>
      </c>
      <c r="Z46" s="1">
        <v>5</v>
      </c>
      <c r="AA46" s="1">
        <v>-5</v>
      </c>
      <c r="AB46" s="4"/>
      <c r="AC46" s="32">
        <v>4</v>
      </c>
      <c r="AD46" s="2" t="str">
        <v>Curacao</v>
      </c>
      <c r="AE46" s="1">
        <v>0</v>
      </c>
      <c r="AF46" s="1">
        <v>1</v>
      </c>
      <c r="AG46" s="1">
        <v>12</v>
      </c>
      <c r="AH46" s="1">
        <v>-11</v>
      </c>
      <c r="AI46" s="4"/>
      <c r="AJ46" s="32">
        <v>4</v>
      </c>
      <c r="AK46" s="2" t="str">
        <v>Schweden</v>
      </c>
      <c r="AL46" s="1">
        <v>0</v>
      </c>
      <c r="AM46" s="1">
        <v>1</v>
      </c>
      <c r="AN46" s="1">
        <v>8</v>
      </c>
      <c r="AO46" s="1">
        <v>-7</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55"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3</v>
      </c>
      <c r="C52" s="38">
        <v>1</v>
      </c>
      <c r="D52" s="4"/>
      <c r="E52" s="4"/>
      <c r="F52" s="4"/>
      <c r="G52" s="4"/>
      <c r="H52" s="4"/>
      <c r="I52" s="38">
        <v>4</v>
      </c>
      <c r="J52" s="38">
        <v>0</v>
      </c>
      <c r="K52" s="4"/>
      <c r="L52" s="4"/>
      <c r="M52" s="4"/>
      <c r="N52" s="4"/>
      <c r="O52" s="4"/>
      <c r="P52" s="38">
        <v>1</v>
      </c>
      <c r="Q52" s="38">
        <v>1</v>
      </c>
      <c r="R52" s="4"/>
      <c r="S52" s="4"/>
      <c r="T52" s="4"/>
      <c r="U52" s="4"/>
      <c r="V52" s="4"/>
      <c r="W52" s="38">
        <v>4</v>
      </c>
      <c r="X52" s="38">
        <v>1</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Unentschieden</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1</v>
      </c>
      <c r="Q54" s="1">
        <f>IF(Q52=P52,1,IF(Q52&gt;P52,3,0))</f>
        <v>1</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1</v>
      </c>
      <c r="J57" s="38">
        <v>3</v>
      </c>
      <c r="K57" s="4"/>
      <c r="L57" s="4"/>
      <c r="M57" s="4"/>
      <c r="N57" s="4"/>
      <c r="O57" s="4"/>
      <c r="P57" s="38">
        <v>0</v>
      </c>
      <c r="Q57" s="38">
        <v>3</v>
      </c>
      <c r="R57" s="4"/>
      <c r="S57" s="4"/>
      <c r="T57" s="4"/>
      <c r="U57" s="4"/>
      <c r="V57" s="4"/>
      <c r="W57" s="38">
        <v>2</v>
      </c>
      <c r="X57" s="38">
        <v>0</v>
      </c>
      <c r="Y57" s="4"/>
      <c r="Z57" s="4"/>
      <c r="AA57" s="4"/>
      <c r="AB57" s="4"/>
      <c r="AC57" s="4"/>
      <c r="AD57" s="38">
        <v>0</v>
      </c>
      <c r="AE57" s="38">
        <v>3</v>
      </c>
      <c r="AF57" s="4"/>
      <c r="AG57" s="4"/>
      <c r="AH57" s="4"/>
      <c r="AI57" s="4"/>
      <c r="AJ57" s="4"/>
      <c r="AK57" s="38">
        <v>2</v>
      </c>
      <c r="AL57" s="38">
        <v>0</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0</v>
      </c>
      <c r="D63" s="4"/>
      <c r="E63" s="4"/>
      <c r="F63" s="4"/>
      <c r="G63" s="4"/>
      <c r="H63" s="4"/>
      <c r="I63" s="38">
        <v>3</v>
      </c>
      <c r="J63" s="38">
        <v>0</v>
      </c>
      <c r="K63" s="4"/>
      <c r="L63" s="4"/>
      <c r="M63" s="4"/>
      <c r="N63" s="4"/>
      <c r="O63" s="4"/>
      <c r="P63" s="38">
        <v>4</v>
      </c>
      <c r="Q63" s="38">
        <v>0</v>
      </c>
      <c r="R63" s="4"/>
      <c r="S63" s="4"/>
      <c r="T63" s="4"/>
      <c r="U63" s="4"/>
      <c r="V63" s="4"/>
      <c r="W63" s="38">
        <v>3</v>
      </c>
      <c r="X63" s="38">
        <v>0</v>
      </c>
      <c r="Y63" s="4"/>
      <c r="Z63" s="4"/>
      <c r="AA63" s="4"/>
      <c r="AB63" s="4"/>
      <c r="AC63" s="4"/>
      <c r="AD63" s="38">
        <v>3</v>
      </c>
      <c r="AE63" s="38">
        <v>0</v>
      </c>
      <c r="AF63" s="4"/>
      <c r="AG63" s="4"/>
      <c r="AH63" s="4"/>
      <c r="AI63" s="4"/>
      <c r="AJ63" s="4"/>
      <c r="AK63" s="38">
        <v>1</v>
      </c>
      <c r="AL63" s="38">
        <v>1</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Unentschieden</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3</v>
      </c>
      <c r="D68" s="4"/>
      <c r="E68" s="4"/>
      <c r="F68" s="4"/>
      <c r="G68" s="4"/>
      <c r="H68" s="4"/>
      <c r="I68" s="38">
        <v>3</v>
      </c>
      <c r="J68" s="38">
        <v>0</v>
      </c>
      <c r="K68" s="4"/>
      <c r="L68" s="4"/>
      <c r="M68" s="4"/>
      <c r="N68" s="4"/>
      <c r="O68" s="4"/>
      <c r="P68" s="38">
        <v>1</v>
      </c>
      <c r="Q68" s="38">
        <v>1</v>
      </c>
      <c r="R68" s="4"/>
      <c r="S68" s="4"/>
      <c r="T68" s="4"/>
      <c r="U68" s="4"/>
      <c r="V68" s="4"/>
      <c r="W68" s="38">
        <v>0</v>
      </c>
      <c r="X68" s="38">
        <v>2</v>
      </c>
      <c r="Y68" s="4"/>
      <c r="Z68" s="4"/>
      <c r="AA68" s="4"/>
      <c r="AB68" s="4"/>
      <c r="AC68" s="4"/>
      <c r="AD68" s="38">
        <v>3</v>
      </c>
      <c r="AE68" s="38">
        <v>0</v>
      </c>
      <c r="AF68" s="4"/>
      <c r="AG68" s="4"/>
      <c r="AH68" s="4"/>
      <c r="AI68" s="4"/>
      <c r="AJ68" s="4"/>
      <c r="AK68" s="38">
        <v>0</v>
      </c>
      <c r="AL68" s="38">
        <v>3</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1</v>
      </c>
      <c r="C74" s="38">
        <v>4</v>
      </c>
      <c r="D74" s="4"/>
      <c r="E74" s="4"/>
      <c r="F74" s="4"/>
      <c r="G74" s="4"/>
      <c r="H74" s="4"/>
      <c r="I74" s="38">
        <v>1</v>
      </c>
      <c r="J74" s="38">
        <v>3</v>
      </c>
      <c r="K74" s="4"/>
      <c r="L74" s="4"/>
      <c r="M74" s="4"/>
      <c r="N74" s="4"/>
      <c r="O74" s="4"/>
      <c r="P74" s="38">
        <v>1</v>
      </c>
      <c r="Q74" s="38">
        <v>3</v>
      </c>
      <c r="R74" s="4"/>
      <c r="S74" s="4"/>
      <c r="T74" s="4"/>
      <c r="U74" s="4"/>
      <c r="V74" s="4"/>
      <c r="W74" s="38">
        <v>0</v>
      </c>
      <c r="X74" s="38">
        <v>4</v>
      </c>
      <c r="Y74" s="4"/>
      <c r="Z74" s="4"/>
      <c r="AA74" s="4"/>
      <c r="AB74" s="4"/>
      <c r="AC74" s="4"/>
      <c r="AD74" s="38">
        <v>2</v>
      </c>
      <c r="AE74" s="38">
        <v>2</v>
      </c>
      <c r="AF74" s="4"/>
      <c r="AG74" s="4"/>
      <c r="AH74" s="4"/>
      <c r="AI74" s="4"/>
      <c r="AJ74" s="4"/>
      <c r="AK74" s="38">
        <v>0</v>
      </c>
      <c r="AL74" s="38">
        <v>3</v>
      </c>
      <c r="AM74" s="4"/>
      <c r="AN74" s="4"/>
      <c r="AO74" s="4"/>
      <c r="AP74" s="4"/>
    </row>
    <row r="75" spans="1:42" ht="17.55"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England</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2</v>
      </c>
      <c r="D79" s="4"/>
      <c r="E79" s="4"/>
      <c r="F79" s="4"/>
      <c r="G79" s="4"/>
      <c r="H79" s="4"/>
      <c r="I79" s="38">
        <v>1</v>
      </c>
      <c r="J79" s="38">
        <v>2</v>
      </c>
      <c r="K79" s="4"/>
      <c r="L79" s="4"/>
      <c r="M79" s="4"/>
      <c r="N79" s="4"/>
      <c r="O79" s="4"/>
      <c r="P79" s="38">
        <v>3</v>
      </c>
      <c r="Q79" s="38">
        <v>0</v>
      </c>
      <c r="R79" s="4"/>
      <c r="S79" s="4"/>
      <c r="T79" s="4"/>
      <c r="U79" s="4"/>
      <c r="V79" s="4"/>
      <c r="W79" s="38">
        <v>0</v>
      </c>
      <c r="X79" s="38">
        <v>0</v>
      </c>
      <c r="Y79" s="4"/>
      <c r="Z79" s="4"/>
      <c r="AA79" s="4"/>
      <c r="AB79" s="4"/>
      <c r="AC79" s="4"/>
      <c r="AD79" s="38">
        <v>3</v>
      </c>
      <c r="AE79" s="38">
        <v>1</v>
      </c>
      <c r="AF79" s="4"/>
      <c r="AG79" s="4"/>
      <c r="AH79" s="4"/>
      <c r="AI79" s="4"/>
      <c r="AJ79" s="4"/>
      <c r="AK79" s="38">
        <v>2</v>
      </c>
      <c r="AL79" s="38">
        <v>2</v>
      </c>
      <c r="AM79" s="4"/>
      <c r="AN79" s="4"/>
      <c r="AO79" s="4"/>
      <c r="AP79" s="4"/>
    </row>
    <row r="80" spans="1:42" ht="17.55" customHeight="1" x14ac:dyDescent="0.45">
      <c r="A80" s="4"/>
      <c r="B80" s="80" t="str">
        <f>IF(B79=C79,"Unentschieden",IF(B79&gt;C79,B78,C78))</f>
        <v>Unentschieden</v>
      </c>
      <c r="C80" s="80"/>
      <c r="D80" s="4"/>
      <c r="E80" s="4"/>
      <c r="F80" s="4"/>
      <c r="G80" s="4"/>
      <c r="H80" s="4"/>
      <c r="I80" s="80" t="str">
        <f>IF(I79=J79,"Unentschieden",IF(I79&gt;J79,I78,J78))</f>
        <v>Saudi-Arabien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DR Kongo</v>
      </c>
      <c r="AE80" s="80"/>
      <c r="AF80" s="4"/>
      <c r="AG80" s="4"/>
      <c r="AH80" s="4"/>
      <c r="AI80" s="4"/>
      <c r="AJ80" s="4"/>
      <c r="AK80" s="80" t="str">
        <f>IF(AK79=AL79,"Unentschieden",IF(AK79&gt;AL79,AK78,AL78))</f>
        <v>Unentschieden</v>
      </c>
      <c r="AL80" s="80"/>
      <c r="AM80" s="4"/>
      <c r="AN80" s="4"/>
      <c r="AO80" s="4"/>
      <c r="AP80" s="4"/>
    </row>
    <row r="81" spans="1:42" ht="17.55" customHeight="1" x14ac:dyDescent="0.45">
      <c r="A81" s="4"/>
      <c r="B81" s="1">
        <f>IF(B79=C79,1,IF(B79&gt;C79,3,0))</f>
        <v>1</v>
      </c>
      <c r="C81" s="1">
        <f>IF(C79=B79,1,IF(C79&gt;B79,3,0))</f>
        <v>1</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10</v>
      </c>
      <c r="E84" s="1">
        <f>C52+C63+B74</f>
        <v>2</v>
      </c>
      <c r="F84" s="1">
        <f>D84-E84</f>
        <v>8</v>
      </c>
      <c r="G84" s="4"/>
      <c r="H84" s="37"/>
      <c r="I84" s="2" t="s">
        <v>65</v>
      </c>
      <c r="J84" s="1">
        <f>I54+I65+J76</f>
        <v>9</v>
      </c>
      <c r="K84" s="1">
        <f>I52+I63+J74</f>
        <v>10</v>
      </c>
      <c r="L84" s="1">
        <f>J52+J63+I74</f>
        <v>1</v>
      </c>
      <c r="M84" s="1">
        <f>K84-L84</f>
        <v>9</v>
      </c>
      <c r="N84" s="4"/>
      <c r="O84" s="13"/>
      <c r="P84" s="2" t="s">
        <v>67</v>
      </c>
      <c r="Q84" s="1">
        <f>P54+P65+Q76</f>
        <v>7</v>
      </c>
      <c r="R84" s="1">
        <f>P52+P63+Q74</f>
        <v>8</v>
      </c>
      <c r="S84" s="1">
        <f>Q52+Q63+P74</f>
        <v>2</v>
      </c>
      <c r="T84" s="1">
        <f>R84-S84</f>
        <v>6</v>
      </c>
      <c r="U84" s="4"/>
      <c r="V84" s="13"/>
      <c r="W84" s="2" t="s">
        <v>69</v>
      </c>
      <c r="X84" s="1">
        <f>W54+W65+X76</f>
        <v>9</v>
      </c>
      <c r="Y84" s="1">
        <f>W52+W63+X74</f>
        <v>11</v>
      </c>
      <c r="Z84" s="1">
        <f>X52+X63+W74</f>
        <v>1</v>
      </c>
      <c r="AA84" s="1">
        <f>Y84-Z84</f>
        <v>10</v>
      </c>
      <c r="AB84" s="4"/>
      <c r="AC84" s="13"/>
      <c r="AD84" s="2" t="s">
        <v>71</v>
      </c>
      <c r="AE84" s="1">
        <f>AD54+AD65+AE76</f>
        <v>7</v>
      </c>
      <c r="AF84" s="1">
        <f>AD52+AD63+AE74</f>
        <v>7</v>
      </c>
      <c r="AG84" s="1">
        <f>AE52+AE63+AD74</f>
        <v>2</v>
      </c>
      <c r="AH84" s="1">
        <f>AF84-AG84</f>
        <v>5</v>
      </c>
      <c r="AI84" s="4"/>
      <c r="AJ84" s="4"/>
      <c r="AK84" s="2" t="s">
        <v>73</v>
      </c>
      <c r="AL84" s="1">
        <f>AK54+AK65+AL76</f>
        <v>7</v>
      </c>
      <c r="AM84" s="1">
        <f>AK52+AK63+AL74</f>
        <v>6</v>
      </c>
      <c r="AN84" s="1">
        <f>AL52+AL63+AK74</f>
        <v>2</v>
      </c>
      <c r="AO84" s="1">
        <f>AM84-AN84</f>
        <v>4</v>
      </c>
      <c r="AP84" s="4"/>
    </row>
    <row r="85" spans="1:42" ht="17.55" customHeight="1" x14ac:dyDescent="0.45">
      <c r="A85" s="37"/>
      <c r="B85" s="2" t="s">
        <v>64</v>
      </c>
      <c r="C85" s="1">
        <f>C54+C70+B81</f>
        <v>4</v>
      </c>
      <c r="D85" s="1">
        <f>C52+C68+B79</f>
        <v>6</v>
      </c>
      <c r="E85" s="1">
        <f>B52+B68+C79</f>
        <v>6</v>
      </c>
      <c r="F85" s="1">
        <f>D85-E85</f>
        <v>0</v>
      </c>
      <c r="G85" s="4"/>
      <c r="H85" s="37"/>
      <c r="I85" s="2" t="s">
        <v>66</v>
      </c>
      <c r="J85" s="1">
        <f>J54+J70+I81</f>
        <v>0</v>
      </c>
      <c r="K85" s="1">
        <f>J52+J68+I79</f>
        <v>1</v>
      </c>
      <c r="L85" s="1">
        <f>I52+I68+J79</f>
        <v>9</v>
      </c>
      <c r="M85" s="1">
        <f>K85-L85</f>
        <v>-8</v>
      </c>
      <c r="N85" s="4"/>
      <c r="O85" s="13"/>
      <c r="P85" s="2" t="s">
        <v>68</v>
      </c>
      <c r="Q85" s="1">
        <f>Q54+Q70+P81</f>
        <v>5</v>
      </c>
      <c r="R85" s="1">
        <f>Q52+Q68+P79</f>
        <v>5</v>
      </c>
      <c r="S85" s="1">
        <f>P52+P68+Q79</f>
        <v>2</v>
      </c>
      <c r="T85" s="1">
        <f>R85-S85</f>
        <v>3</v>
      </c>
      <c r="U85" s="4"/>
      <c r="V85" s="13"/>
      <c r="W85" s="2" t="s">
        <v>70</v>
      </c>
      <c r="X85" s="1">
        <f>X54+X70+W81</f>
        <v>4</v>
      </c>
      <c r="Y85" s="1">
        <f>X52+X68+W79</f>
        <v>3</v>
      </c>
      <c r="Z85" s="1">
        <f>W52+W68+X79</f>
        <v>4</v>
      </c>
      <c r="AA85" s="1">
        <f>Y85-Z85</f>
        <v>-1</v>
      </c>
      <c r="AB85" s="4"/>
      <c r="AC85" s="13"/>
      <c r="AD85" s="2" t="s">
        <v>72</v>
      </c>
      <c r="AE85" s="1">
        <f>AE54+AE70+AD81</f>
        <v>3</v>
      </c>
      <c r="AF85" s="1">
        <f>AE52+AE68+AD79</f>
        <v>3</v>
      </c>
      <c r="AG85" s="1">
        <f>AD52+AD68+AE79</f>
        <v>6</v>
      </c>
      <c r="AH85" s="1">
        <f>AF85-AG85</f>
        <v>-3</v>
      </c>
      <c r="AI85" s="4"/>
      <c r="AJ85" s="4"/>
      <c r="AK85" s="2" t="s">
        <v>74</v>
      </c>
      <c r="AL85" s="1">
        <f>AL54+AL70+AK81</f>
        <v>4</v>
      </c>
      <c r="AM85" s="1">
        <f>AL52+AL68+AK79</f>
        <v>6</v>
      </c>
      <c r="AN85" s="1">
        <f>AK52+AK68+AL79</f>
        <v>4</v>
      </c>
      <c r="AO85" s="1">
        <f>AM85-AN85</f>
        <v>2</v>
      </c>
      <c r="AP85" s="4"/>
    </row>
    <row r="86" spans="1:42" ht="17.55" customHeight="1" x14ac:dyDescent="0.45">
      <c r="A86" s="36"/>
      <c r="B86" s="2" t="s">
        <v>75</v>
      </c>
      <c r="C86" s="1">
        <f>B59+C65+C81</f>
        <v>4</v>
      </c>
      <c r="D86" s="1">
        <f>B57+C63+C79</f>
        <v>4</v>
      </c>
      <c r="E86" s="1">
        <f>C57+B63+B79</f>
        <v>6</v>
      </c>
      <c r="F86" s="1">
        <f>D86-E86</f>
        <v>-2</v>
      </c>
      <c r="G86" s="4"/>
      <c r="H86" s="36"/>
      <c r="I86" s="2" t="s">
        <v>77</v>
      </c>
      <c r="J86" s="1">
        <f>I59+J65+J81</f>
        <v>3</v>
      </c>
      <c r="K86" s="1">
        <f>I57+J63+J79</f>
        <v>3</v>
      </c>
      <c r="L86" s="1">
        <f>J57+I63+I79</f>
        <v>7</v>
      </c>
      <c r="M86" s="1">
        <f>K86-L86</f>
        <v>-4</v>
      </c>
      <c r="N86" s="4"/>
      <c r="O86" s="13"/>
      <c r="P86" s="2" t="s">
        <v>79</v>
      </c>
      <c r="Q86" s="1">
        <f>P59+Q65+Q81</f>
        <v>0</v>
      </c>
      <c r="R86" s="1">
        <f>P57+Q63+Q79</f>
        <v>0</v>
      </c>
      <c r="S86" s="1">
        <f>Q57+P63+P79</f>
        <v>10</v>
      </c>
      <c r="T86" s="1">
        <f>R86-S86</f>
        <v>-10</v>
      </c>
      <c r="U86" s="4"/>
      <c r="V86" s="13"/>
      <c r="W86" s="2" t="s">
        <v>81</v>
      </c>
      <c r="X86" s="1">
        <f>W59+X65+X81</f>
        <v>4</v>
      </c>
      <c r="Y86" s="1">
        <f>W57+X63+X79</f>
        <v>2</v>
      </c>
      <c r="Z86" s="1">
        <f>X57+W63+W79</f>
        <v>3</v>
      </c>
      <c r="AA86" s="1">
        <f>Y86-Z86</f>
        <v>-1</v>
      </c>
      <c r="AB86" s="4"/>
      <c r="AC86" s="13"/>
      <c r="AD86" s="2" t="s">
        <v>83</v>
      </c>
      <c r="AE86" s="1">
        <f>AD59+AE65+AE81</f>
        <v>0</v>
      </c>
      <c r="AF86" s="1">
        <f>AD57+AE63+AE79</f>
        <v>1</v>
      </c>
      <c r="AG86" s="1">
        <f>AE57+AD63+AD79</f>
        <v>9</v>
      </c>
      <c r="AH86" s="1">
        <f>AF86-AG86</f>
        <v>-8</v>
      </c>
      <c r="AI86" s="4"/>
      <c r="AJ86" s="4"/>
      <c r="AK86" s="2" t="s">
        <v>85</v>
      </c>
      <c r="AL86" s="1">
        <f>AK59+AL65+AL81</f>
        <v>5</v>
      </c>
      <c r="AM86" s="1">
        <f>AK57+AL63+AL79</f>
        <v>5</v>
      </c>
      <c r="AN86" s="1">
        <f>AL57+AK63+AK79</f>
        <v>3</v>
      </c>
      <c r="AO86" s="1">
        <f>AM86-AN86</f>
        <v>2</v>
      </c>
      <c r="AP86" s="4"/>
    </row>
    <row r="87" spans="1:42" x14ac:dyDescent="0.45">
      <c r="A87" s="35"/>
      <c r="B87" s="2" t="s">
        <v>76</v>
      </c>
      <c r="C87" s="1">
        <f>C59+B70+B76</f>
        <v>0</v>
      </c>
      <c r="D87" s="1">
        <f>C57+B68+B74</f>
        <v>3</v>
      </c>
      <c r="E87" s="1">
        <f>B57+C68+C74</f>
        <v>9</v>
      </c>
      <c r="F87" s="1">
        <f>D87-E87</f>
        <v>-6</v>
      </c>
      <c r="G87" s="4"/>
      <c r="H87" s="35"/>
      <c r="I87" s="2" t="s">
        <v>78</v>
      </c>
      <c r="J87" s="1">
        <f>J59+I70+I76</f>
        <v>6</v>
      </c>
      <c r="K87" s="1">
        <f>J57+I68+I74</f>
        <v>7</v>
      </c>
      <c r="L87" s="1">
        <f>I57+J68+J74</f>
        <v>4</v>
      </c>
      <c r="M87" s="1">
        <f>K87-L87</f>
        <v>3</v>
      </c>
      <c r="N87" s="4"/>
      <c r="O87" s="13"/>
      <c r="P87" s="2" t="s">
        <v>80</v>
      </c>
      <c r="Q87" s="1">
        <f>Q59+P70+P76</f>
        <v>4</v>
      </c>
      <c r="R87" s="1">
        <f>Q57+P68+P74</f>
        <v>5</v>
      </c>
      <c r="S87" s="1">
        <f>P57+Q68+Q74</f>
        <v>4</v>
      </c>
      <c r="T87" s="1">
        <f>R87-S87</f>
        <v>1</v>
      </c>
      <c r="U87" s="4"/>
      <c r="V87" s="13"/>
      <c r="W87" s="2" t="s">
        <v>82</v>
      </c>
      <c r="X87" s="1">
        <f>X59+W70+W76</f>
        <v>0</v>
      </c>
      <c r="Y87" s="1">
        <f>X57+W68+W74</f>
        <v>0</v>
      </c>
      <c r="Z87" s="1">
        <f>W57+X68+X74</f>
        <v>8</v>
      </c>
      <c r="AA87" s="1">
        <f>Y87-Z87</f>
        <v>-8</v>
      </c>
      <c r="AB87" s="4"/>
      <c r="AC87" s="13"/>
      <c r="AD87" s="2" t="s">
        <v>84</v>
      </c>
      <c r="AE87" s="1">
        <f>AE59+AD70+AD76</f>
        <v>7</v>
      </c>
      <c r="AF87" s="1">
        <f>AE57+AD68+AD74</f>
        <v>8</v>
      </c>
      <c r="AG87" s="1">
        <f>AD57+AE68+AE74</f>
        <v>2</v>
      </c>
      <c r="AH87" s="1">
        <f>AF87-AG87</f>
        <v>6</v>
      </c>
      <c r="AI87" s="4"/>
      <c r="AJ87" s="4"/>
      <c r="AK87" s="2" t="s">
        <v>86</v>
      </c>
      <c r="AL87" s="1">
        <f>AL59+AK70+AK76</f>
        <v>0</v>
      </c>
      <c r="AM87" s="1">
        <f>AL57+AK68+AK74</f>
        <v>0</v>
      </c>
      <c r="AN87" s="1">
        <f>AK57+AL68+AL74</f>
        <v>8</v>
      </c>
      <c r="AO87" s="1">
        <f>AM87-AN87</f>
        <v>-8</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10</v>
      </c>
      <c r="E90" s="1" cm="1">
        <f t="array" ref="E90:E93">_xlfn.SORTBY(E84:E87,C84:C87,-1,F84:F87,-1,D84:D87,-1)</f>
        <v>2</v>
      </c>
      <c r="F90" s="1" cm="1">
        <f t="array" ref="F90:F93">_xlfn.SORTBY(F84:F87,C84:C87,-1,F84:F87,-1,D84:D87,-1)</f>
        <v>8</v>
      </c>
      <c r="G90" s="4"/>
      <c r="H90" s="33">
        <v>1</v>
      </c>
      <c r="I90" s="2" t="str" cm="1">
        <f t="array" ref="I90:I93">_xlfn.SORTBY(I84:I87,J84:J87,-1,M84:M87,-1,K84:K87,-1)</f>
        <v>Spanien</v>
      </c>
      <c r="J90" s="1" cm="1">
        <f t="array" ref="J90:J93">_xlfn.SORTBY(J84:J87,J84:J87,-1,M84:M87,-1,K84:K87,-1)</f>
        <v>9</v>
      </c>
      <c r="K90" s="1" cm="1">
        <f t="array" ref="K90:K93">_xlfn.SORTBY(K84:K87,J84:J87,-1,M84:M87,-1,K84:K87,-1)</f>
        <v>10</v>
      </c>
      <c r="L90" s="1" cm="1">
        <f t="array" ref="L90:L93">_xlfn.SORTBY(L84:L87,J84:J87,-1,M84:M87,-1,K84:K87,-1)</f>
        <v>1</v>
      </c>
      <c r="M90" s="1" cm="1">
        <f t="array" ref="M90:M93">_xlfn.SORTBY(M84:M87,J84:J87,-1,M84:M87,-1,K84:K87,-1)</f>
        <v>9</v>
      </c>
      <c r="N90" s="4"/>
      <c r="O90" s="33">
        <v>1</v>
      </c>
      <c r="P90" s="2" t="str" cm="1">
        <f t="array" ref="P90:P93">_xlfn.SORTBY(P84:P87,Q84:Q87,-1,T84:T87,-1,R84:R87,-1)</f>
        <v>Frankreich</v>
      </c>
      <c r="Q90" s="1" cm="1">
        <f t="array" ref="Q90:Q93">_xlfn.SORTBY(Q84:Q87,Q84:Q87,-1,T84:T87,-1,R84:R87,-1)</f>
        <v>7</v>
      </c>
      <c r="R90" s="1" cm="1">
        <f t="array" ref="R90:R93">_xlfn.SORTBY(R84:R87,Q84:Q87,-1,T84:T87,-1,R84:R87,-1)</f>
        <v>8</v>
      </c>
      <c r="S90" s="1" cm="1">
        <f t="array" ref="S90:S93">_xlfn.SORTBY(S84:S87,Q84:Q87,-1,T84:T87,-1,R84:R87,-1)</f>
        <v>2</v>
      </c>
      <c r="T90" s="1" cm="1">
        <f t="array" ref="T90:T93">_xlfn.SORTBY(T84:T87,Q84:Q87,-1,T84:T87,-1,R84:R87,-1)</f>
        <v>6</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11</v>
      </c>
      <c r="Z90" s="1" cm="1">
        <f t="array" ref="Z90:Z93">_xlfn.SORTBY(Z84:Z87,X84:X87,-1,AA84:AA87,-1,Y84:Y87,-1)</f>
        <v>1</v>
      </c>
      <c r="AA90" s="1" cm="1">
        <f t="array" ref="AA90:AA93">_xlfn.SORTBY(AA84:AA87,X84:X87,-1,AA84:AA87,-1,Y84:Y87,-1)</f>
        <v>10</v>
      </c>
      <c r="AB90" s="4"/>
      <c r="AC90" s="33">
        <v>1</v>
      </c>
      <c r="AD90" s="2" t="str" cm="1">
        <f t="array" ref="AD90:AD93">_xlfn.SORTBY(AD84:AD87,AE84:AE87,-1,AH84:AH87,-1,AF84:AF87,-1)</f>
        <v>Kolumbien</v>
      </c>
      <c r="AE90" s="1" cm="1">
        <f t="array" ref="AE90:AE93">_xlfn.SORTBY(AE84:AE87,AE84:AE87,-1,AH84:AH87,-1,AF84:AF87,-1)</f>
        <v>7</v>
      </c>
      <c r="AF90" s="1" cm="1">
        <f t="array" ref="AF90:AF93">_xlfn.SORTBY(AF84:AF87,AE84:AE87,-1,AH84:AH87,-1,AF84:AF87,-1)</f>
        <v>8</v>
      </c>
      <c r="AG90" s="1" cm="1">
        <f t="array" ref="AG90:AG93">_xlfn.SORTBY(AG84:AG87,AE84:AE87,-1,AH84:AH87,-1,AF84:AF87,-1)</f>
        <v>2</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Ägypten</v>
      </c>
      <c r="C91" s="1">
        <v>4</v>
      </c>
      <c r="D91" s="1">
        <v>6</v>
      </c>
      <c r="E91" s="1">
        <v>6</v>
      </c>
      <c r="F91" s="1">
        <v>0</v>
      </c>
      <c r="G91" s="4"/>
      <c r="H91" s="33">
        <v>2</v>
      </c>
      <c r="I91" s="2" t="str">
        <v>Uruguay</v>
      </c>
      <c r="J91" s="1">
        <v>6</v>
      </c>
      <c r="K91" s="1">
        <v>7</v>
      </c>
      <c r="L91" s="1">
        <v>4</v>
      </c>
      <c r="M91" s="1">
        <v>3</v>
      </c>
      <c r="N91" s="4"/>
      <c r="O91" s="33">
        <v>2</v>
      </c>
      <c r="P91" s="2" t="str">
        <v>Senegal</v>
      </c>
      <c r="Q91" s="1">
        <v>5</v>
      </c>
      <c r="R91" s="1">
        <v>5</v>
      </c>
      <c r="S91" s="1">
        <v>2</v>
      </c>
      <c r="T91" s="1">
        <v>3</v>
      </c>
      <c r="U91" s="4"/>
      <c r="V91" s="33">
        <v>2</v>
      </c>
      <c r="W91" s="2" t="str">
        <v>Algerien</v>
      </c>
      <c r="X91" s="1">
        <v>4</v>
      </c>
      <c r="Y91" s="1">
        <v>3</v>
      </c>
      <c r="Z91" s="1">
        <v>4</v>
      </c>
      <c r="AA91" s="1">
        <v>-1</v>
      </c>
      <c r="AB91" s="4"/>
      <c r="AC91" s="33">
        <v>2</v>
      </c>
      <c r="AD91" s="2" t="str">
        <v>Portugal</v>
      </c>
      <c r="AE91" s="1">
        <v>7</v>
      </c>
      <c r="AF91" s="1">
        <v>7</v>
      </c>
      <c r="AG91" s="1">
        <v>2</v>
      </c>
      <c r="AH91" s="1">
        <v>5</v>
      </c>
      <c r="AI91" s="4"/>
      <c r="AJ91" s="33">
        <v>2</v>
      </c>
      <c r="AK91" s="2" t="str">
        <v>Ghana</v>
      </c>
      <c r="AL91" s="1">
        <v>5</v>
      </c>
      <c r="AM91" s="1">
        <v>5</v>
      </c>
      <c r="AN91" s="1">
        <v>3</v>
      </c>
      <c r="AO91" s="1">
        <v>2</v>
      </c>
      <c r="AP91" s="4"/>
    </row>
    <row r="92" spans="1:42" x14ac:dyDescent="0.45">
      <c r="A92" s="34">
        <v>3</v>
      </c>
      <c r="B92" s="2" t="str">
        <v>Iran</v>
      </c>
      <c r="C92" s="1">
        <v>4</v>
      </c>
      <c r="D92" s="1">
        <v>4</v>
      </c>
      <c r="E92" s="1">
        <v>6</v>
      </c>
      <c r="F92" s="1">
        <v>-2</v>
      </c>
      <c r="G92" s="4"/>
      <c r="H92" s="34">
        <v>3</v>
      </c>
      <c r="I92" s="2" t="str">
        <v>Saudi-Arabien</v>
      </c>
      <c r="J92" s="1">
        <v>3</v>
      </c>
      <c r="K92" s="1">
        <v>3</v>
      </c>
      <c r="L92" s="1">
        <v>7</v>
      </c>
      <c r="M92" s="1">
        <v>-4</v>
      </c>
      <c r="N92" s="4"/>
      <c r="O92" s="34">
        <v>3</v>
      </c>
      <c r="P92" s="2" t="str">
        <v>Norwegen</v>
      </c>
      <c r="Q92" s="1">
        <v>4</v>
      </c>
      <c r="R92" s="1">
        <v>5</v>
      </c>
      <c r="S92" s="1">
        <v>4</v>
      </c>
      <c r="T92" s="1">
        <v>1</v>
      </c>
      <c r="U92" s="4"/>
      <c r="V92" s="34">
        <v>3</v>
      </c>
      <c r="W92" s="2" t="str">
        <v>Österreich</v>
      </c>
      <c r="X92" s="1">
        <v>4</v>
      </c>
      <c r="Y92" s="1">
        <v>2</v>
      </c>
      <c r="Z92" s="1">
        <v>3</v>
      </c>
      <c r="AA92" s="1">
        <v>-1</v>
      </c>
      <c r="AB92" s="4"/>
      <c r="AC92" s="34">
        <v>3</v>
      </c>
      <c r="AD92" s="2" t="str">
        <v>DR Kongo</v>
      </c>
      <c r="AE92" s="1">
        <v>3</v>
      </c>
      <c r="AF92" s="1">
        <v>3</v>
      </c>
      <c r="AG92" s="1">
        <v>6</v>
      </c>
      <c r="AH92" s="1">
        <v>-3</v>
      </c>
      <c r="AI92" s="4"/>
      <c r="AJ92" s="34">
        <v>3</v>
      </c>
      <c r="AK92" s="2" t="str">
        <v>Kroatien</v>
      </c>
      <c r="AL92" s="1">
        <v>4</v>
      </c>
      <c r="AM92" s="1">
        <v>6</v>
      </c>
      <c r="AN92" s="1">
        <v>4</v>
      </c>
      <c r="AO92" s="1">
        <v>2</v>
      </c>
      <c r="AP92" s="4"/>
    </row>
    <row r="93" spans="1:42" x14ac:dyDescent="0.45">
      <c r="A93" s="32">
        <v>4</v>
      </c>
      <c r="B93" s="2" t="str">
        <v>Neuseeland</v>
      </c>
      <c r="C93" s="1">
        <v>0</v>
      </c>
      <c r="D93" s="1">
        <v>3</v>
      </c>
      <c r="E93" s="1">
        <v>9</v>
      </c>
      <c r="F93" s="1">
        <v>-6</v>
      </c>
      <c r="G93" s="4"/>
      <c r="H93" s="32">
        <v>4</v>
      </c>
      <c r="I93" s="2" t="str">
        <v>Kap Verde</v>
      </c>
      <c r="J93" s="1">
        <v>0</v>
      </c>
      <c r="K93" s="1">
        <v>1</v>
      </c>
      <c r="L93" s="1">
        <v>9</v>
      </c>
      <c r="M93" s="1">
        <v>-8</v>
      </c>
      <c r="N93" s="4"/>
      <c r="O93" s="32">
        <v>4</v>
      </c>
      <c r="P93" s="2" t="str">
        <v>Irak</v>
      </c>
      <c r="Q93" s="1">
        <v>0</v>
      </c>
      <c r="R93" s="1">
        <v>0</v>
      </c>
      <c r="S93" s="1">
        <v>10</v>
      </c>
      <c r="T93" s="1">
        <v>-10</v>
      </c>
      <c r="U93" s="4"/>
      <c r="V93" s="32">
        <v>4</v>
      </c>
      <c r="W93" s="2" t="str">
        <v>Jordanien</v>
      </c>
      <c r="X93" s="1">
        <v>0</v>
      </c>
      <c r="Y93" s="1">
        <v>0</v>
      </c>
      <c r="Z93" s="1">
        <v>8</v>
      </c>
      <c r="AA93" s="1">
        <v>-8</v>
      </c>
      <c r="AB93" s="4"/>
      <c r="AC93" s="32">
        <v>4</v>
      </c>
      <c r="AD93" s="2" t="str">
        <v>Usbekistan</v>
      </c>
      <c r="AE93" s="1">
        <v>0</v>
      </c>
      <c r="AF93" s="1">
        <v>1</v>
      </c>
      <c r="AG93" s="1">
        <v>9</v>
      </c>
      <c r="AH93" s="1">
        <v>-8</v>
      </c>
      <c r="AI93" s="4"/>
      <c r="AJ93" s="32">
        <v>4</v>
      </c>
      <c r="AK93" s="2" t="str">
        <v>Panama</v>
      </c>
      <c r="AL93" s="1">
        <v>0</v>
      </c>
      <c r="AM93" s="1">
        <v>0</v>
      </c>
      <c r="AN93" s="1">
        <v>8</v>
      </c>
      <c r="AO93" s="1">
        <v>-8</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4</v>
      </c>
      <c r="V98" s="2">
        <f>D92</f>
        <v>4</v>
      </c>
      <c r="W98" s="2">
        <f>E92</f>
        <v>6</v>
      </c>
      <c r="X98" s="2">
        <f>F92</f>
        <v>-2</v>
      </c>
    </row>
    <row r="99" spans="17:24" x14ac:dyDescent="0.45">
      <c r="Q99"/>
      <c r="R99" s="82" t="str">
        <f>I92</f>
        <v>Saudi-Arabien</v>
      </c>
      <c r="S99" s="82"/>
      <c r="T99" s="82"/>
      <c r="U99" s="2">
        <f>J92</f>
        <v>3</v>
      </c>
      <c r="V99" s="2">
        <f>K92</f>
        <v>3</v>
      </c>
      <c r="W99" s="2">
        <f>L92</f>
        <v>7</v>
      </c>
      <c r="X99" s="2">
        <f>M92</f>
        <v>-4</v>
      </c>
    </row>
    <row r="100" spans="17:24" x14ac:dyDescent="0.45">
      <c r="Q100"/>
      <c r="R100" s="82" t="str">
        <f>P92</f>
        <v>Norwegen</v>
      </c>
      <c r="S100" s="82"/>
      <c r="T100" s="82"/>
      <c r="U100" s="2">
        <f>Q92</f>
        <v>4</v>
      </c>
      <c r="V100" s="2">
        <f>R92</f>
        <v>5</v>
      </c>
      <c r="W100" s="2">
        <f>S92</f>
        <v>4</v>
      </c>
      <c r="X100" s="2">
        <f>T92</f>
        <v>1</v>
      </c>
    </row>
    <row r="101" spans="17:24" x14ac:dyDescent="0.45">
      <c r="Q101"/>
      <c r="R101" s="82" t="str">
        <f>W92</f>
        <v>Österreich</v>
      </c>
      <c r="S101" s="82"/>
      <c r="T101" s="82"/>
      <c r="U101" s="2">
        <f>X92</f>
        <v>4</v>
      </c>
      <c r="V101" s="2">
        <f>Y92</f>
        <v>2</v>
      </c>
      <c r="W101" s="2">
        <f>Z92</f>
        <v>3</v>
      </c>
      <c r="X101" s="2">
        <f>AA92</f>
        <v>-1</v>
      </c>
    </row>
    <row r="102" spans="17:24" x14ac:dyDescent="0.45">
      <c r="Q102"/>
      <c r="R102" s="82" t="str">
        <f>AD92</f>
        <v>DR Kongo</v>
      </c>
      <c r="S102" s="82"/>
      <c r="T102" s="82"/>
      <c r="U102" s="2">
        <f>AE92</f>
        <v>3</v>
      </c>
      <c r="V102" s="2">
        <f>AF92</f>
        <v>3</v>
      </c>
      <c r="W102" s="2">
        <f>AG92</f>
        <v>6</v>
      </c>
      <c r="X102" s="2">
        <f>AH92</f>
        <v>-3</v>
      </c>
    </row>
    <row r="103" spans="17:24" x14ac:dyDescent="0.45">
      <c r="Q103"/>
      <c r="R103" s="82" t="str">
        <f>AK92</f>
        <v>Kroatien</v>
      </c>
      <c r="S103" s="82"/>
      <c r="T103" s="82"/>
      <c r="U103" s="2">
        <f>AL92</f>
        <v>4</v>
      </c>
      <c r="V103" s="2">
        <f>AM92</f>
        <v>6</v>
      </c>
      <c r="W103" s="2">
        <f>AN92</f>
        <v>4</v>
      </c>
      <c r="X103" s="2">
        <f>AO92</f>
        <v>2</v>
      </c>
    </row>
    <row r="104" spans="17:24" x14ac:dyDescent="0.45">
      <c r="R104" s="82" t="str">
        <f>B45</f>
        <v>Tschechien</v>
      </c>
      <c r="S104" s="82"/>
      <c r="T104" s="82"/>
      <c r="U104" s="2">
        <f>C45</f>
        <v>1</v>
      </c>
      <c r="V104" s="2">
        <f>D45</f>
        <v>3</v>
      </c>
      <c r="W104" s="2">
        <f>E45</f>
        <v>5</v>
      </c>
      <c r="X104" s="2">
        <f>F45</f>
        <v>-2</v>
      </c>
    </row>
    <row r="105" spans="17:24" x14ac:dyDescent="0.45">
      <c r="R105" s="82" t="str">
        <f>I45</f>
        <v>Kanada</v>
      </c>
      <c r="S105" s="82"/>
      <c r="T105" s="82"/>
      <c r="U105" s="2">
        <f>J45</f>
        <v>3</v>
      </c>
      <c r="V105" s="2">
        <f>K45</f>
        <v>4</v>
      </c>
      <c r="W105" s="2">
        <f>L45</f>
        <v>6</v>
      </c>
      <c r="X105" s="2">
        <f>M45</f>
        <v>-2</v>
      </c>
    </row>
    <row r="106" spans="17:24" x14ac:dyDescent="0.45">
      <c r="R106" s="82" t="str">
        <f>P45</f>
        <v>Schottland</v>
      </c>
      <c r="S106" s="82"/>
      <c r="T106" s="82"/>
      <c r="U106" s="2">
        <f>Q45</f>
        <v>3</v>
      </c>
      <c r="V106" s="2">
        <f>R45</f>
        <v>3</v>
      </c>
      <c r="W106" s="2">
        <f>S45</f>
        <v>6</v>
      </c>
      <c r="X106" s="2">
        <f>T45</f>
        <v>-3</v>
      </c>
    </row>
    <row r="107" spans="17:24" x14ac:dyDescent="0.45">
      <c r="R107" s="82" t="str">
        <f>W45</f>
        <v>Australien</v>
      </c>
      <c r="S107" s="82"/>
      <c r="T107" s="82"/>
      <c r="U107" s="2">
        <f>X45</f>
        <v>1</v>
      </c>
      <c r="V107" s="2">
        <f>Y45</f>
        <v>2</v>
      </c>
      <c r="W107" s="2">
        <f>Z45</f>
        <v>5</v>
      </c>
      <c r="X107" s="2">
        <f>AA45</f>
        <v>-3</v>
      </c>
    </row>
    <row r="108" spans="17:24" x14ac:dyDescent="0.45">
      <c r="R108" s="82" t="str">
        <f>AD45</f>
        <v>Ecuador</v>
      </c>
      <c r="S108" s="82"/>
      <c r="T108" s="82"/>
      <c r="U108" s="2">
        <f>AE45</f>
        <v>3</v>
      </c>
      <c r="V108" s="2">
        <f>AF45</f>
        <v>6</v>
      </c>
      <c r="W108" s="2">
        <f>AG45</f>
        <v>6</v>
      </c>
      <c r="X108" s="2">
        <f>AH45</f>
        <v>0</v>
      </c>
    </row>
    <row r="109" spans="17:24" x14ac:dyDescent="0.45">
      <c r="R109" s="82" t="str">
        <f>AK45</f>
        <v>Tunesien</v>
      </c>
      <c r="S109" s="82"/>
      <c r="T109" s="82"/>
      <c r="U109" s="2">
        <f>AL45</f>
        <v>3</v>
      </c>
      <c r="V109" s="2">
        <f>AM45</f>
        <v>4</v>
      </c>
      <c r="W109" s="2">
        <f>AN45</f>
        <v>5</v>
      </c>
      <c r="X109" s="2">
        <f>AO45</f>
        <v>-1</v>
      </c>
    </row>
    <row r="112" spans="17:24" x14ac:dyDescent="0.45">
      <c r="Q112" s="33">
        <v>1</v>
      </c>
      <c r="R112" s="2" t="str" cm="1">
        <f t="array" ref="R112:R123">_xlfn.SORTBY(R98:R109,U98:U109,-1,X98:X109,-1,V98:V109,-1)</f>
        <v>Kroatien</v>
      </c>
      <c r="U112" s="2" cm="1">
        <f t="array" ref="U112:U123">_xlfn.SORTBY(U98:U109,U98:U109,-1,X98:X109,-1,V98:V109,-1)</f>
        <v>4</v>
      </c>
      <c r="V112" s="2" cm="1">
        <f t="array" ref="V112:V123">_xlfn.SORTBY(V98:V109,U98:U109,-1,X98:X109,-1,V98:V109,-1)</f>
        <v>6</v>
      </c>
      <c r="W112" s="2" cm="1">
        <f t="array" ref="W112:W123">_xlfn.SORTBY(W98:W109,U98:U109,-1,X98:X109,-1,V98:V109,-1)</f>
        <v>4</v>
      </c>
      <c r="X112" s="2" cm="1">
        <f t="array" ref="X112:X123">_xlfn.SORTBY(X98:X109,U98:U109,-1,X98:X109,-1,V98:V109,-1)</f>
        <v>2</v>
      </c>
    </row>
    <row r="113" spans="17:24" x14ac:dyDescent="0.45">
      <c r="Q113" s="33">
        <v>2</v>
      </c>
      <c r="R113" s="2" t="str">
        <v>Norwegen</v>
      </c>
      <c r="U113" s="2">
        <v>4</v>
      </c>
      <c r="V113" s="2">
        <v>5</v>
      </c>
      <c r="W113" s="2">
        <v>4</v>
      </c>
      <c r="X113" s="2">
        <v>1</v>
      </c>
    </row>
    <row r="114" spans="17:24" x14ac:dyDescent="0.45">
      <c r="Q114" s="33">
        <v>3</v>
      </c>
      <c r="R114" s="2" t="str">
        <v>Österreich</v>
      </c>
      <c r="U114" s="2">
        <v>4</v>
      </c>
      <c r="V114" s="2">
        <v>2</v>
      </c>
      <c r="W114" s="2">
        <v>3</v>
      </c>
      <c r="X114" s="2">
        <v>-1</v>
      </c>
    </row>
    <row r="115" spans="17:24" x14ac:dyDescent="0.45">
      <c r="Q115" s="33">
        <v>4</v>
      </c>
      <c r="R115" s="2" t="str">
        <v>Iran</v>
      </c>
      <c r="U115" s="2">
        <v>4</v>
      </c>
      <c r="V115" s="2">
        <v>4</v>
      </c>
      <c r="W115" s="2">
        <v>6</v>
      </c>
      <c r="X115" s="2">
        <v>-2</v>
      </c>
    </row>
    <row r="116" spans="17:24" x14ac:dyDescent="0.45">
      <c r="Q116" s="33">
        <v>5</v>
      </c>
      <c r="R116" s="2" t="str">
        <v>Ecuador</v>
      </c>
      <c r="U116" s="2">
        <v>3</v>
      </c>
      <c r="V116" s="2">
        <v>6</v>
      </c>
      <c r="W116" s="2">
        <v>6</v>
      </c>
      <c r="X116" s="2">
        <v>0</v>
      </c>
    </row>
    <row r="117" spans="17:24" x14ac:dyDescent="0.45">
      <c r="Q117" s="33">
        <v>6</v>
      </c>
      <c r="R117" s="2" t="str">
        <v>Tunesien</v>
      </c>
      <c r="U117" s="2">
        <v>3</v>
      </c>
      <c r="V117" s="2">
        <v>4</v>
      </c>
      <c r="W117" s="2">
        <v>5</v>
      </c>
      <c r="X117" s="2">
        <v>-1</v>
      </c>
    </row>
    <row r="118" spans="17:24" x14ac:dyDescent="0.45">
      <c r="Q118" s="33">
        <v>7</v>
      </c>
      <c r="R118" s="2" t="str">
        <v>Kanada</v>
      </c>
      <c r="U118" s="2">
        <v>3</v>
      </c>
      <c r="V118" s="2">
        <v>4</v>
      </c>
      <c r="W118" s="2">
        <v>6</v>
      </c>
      <c r="X118" s="2">
        <v>-2</v>
      </c>
    </row>
    <row r="119" spans="17:24" x14ac:dyDescent="0.45">
      <c r="Q119" s="33">
        <v>8</v>
      </c>
      <c r="R119" s="2" t="str">
        <v>DR Kongo</v>
      </c>
      <c r="U119" s="2">
        <v>3</v>
      </c>
      <c r="V119" s="2">
        <v>3</v>
      </c>
      <c r="W119" s="2">
        <v>6</v>
      </c>
      <c r="X119" s="2">
        <v>-3</v>
      </c>
    </row>
    <row r="120" spans="17:24" x14ac:dyDescent="0.45">
      <c r="Q120" s="32">
        <v>9</v>
      </c>
      <c r="R120" s="2" t="str">
        <v>Schottland</v>
      </c>
      <c r="U120" s="2">
        <v>3</v>
      </c>
      <c r="V120" s="2">
        <v>3</v>
      </c>
      <c r="W120" s="2">
        <v>6</v>
      </c>
      <c r="X120" s="2">
        <v>-3</v>
      </c>
    </row>
    <row r="121" spans="17:24" x14ac:dyDescent="0.45">
      <c r="Q121" s="32">
        <v>10</v>
      </c>
      <c r="R121" s="2" t="str">
        <v>Saudi-Arabien</v>
      </c>
      <c r="U121" s="2">
        <v>3</v>
      </c>
      <c r="V121" s="2">
        <v>3</v>
      </c>
      <c r="W121" s="2">
        <v>7</v>
      </c>
      <c r="X121" s="2">
        <v>-4</v>
      </c>
    </row>
    <row r="122" spans="17:24" x14ac:dyDescent="0.45">
      <c r="Q122" s="32">
        <v>11</v>
      </c>
      <c r="R122" s="2" t="str">
        <v>Tschechien</v>
      </c>
      <c r="U122" s="2">
        <v>1</v>
      </c>
      <c r="V122" s="2">
        <v>3</v>
      </c>
      <c r="W122" s="2">
        <v>5</v>
      </c>
      <c r="X122" s="2">
        <v>-2</v>
      </c>
    </row>
    <row r="123" spans="17:24" x14ac:dyDescent="0.45">
      <c r="Q123" s="32">
        <v>12</v>
      </c>
      <c r="R123" s="2" t="str">
        <v>Australien</v>
      </c>
      <c r="U123" s="2">
        <v>1</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220</v>
      </c>
    </row>
    <row r="155" spans="1:23" x14ac:dyDescent="0.45">
      <c r="A155" s="23" t="s">
        <v>103</v>
      </c>
      <c r="B155" s="24">
        <f>SUM(H160:H231)</f>
        <v>202</v>
      </c>
    </row>
    <row r="156" spans="1:23" x14ac:dyDescent="0.45">
      <c r="A156" s="23" t="s">
        <v>104</v>
      </c>
      <c r="B156" s="24">
        <f>SUM(E234:E265)</f>
        <v>135</v>
      </c>
    </row>
    <row r="157" spans="1:23" x14ac:dyDescent="0.45">
      <c r="A157" s="25" t="s">
        <v>105</v>
      </c>
      <c r="B157" s="26">
        <f>B154+B155+B156</f>
        <v>557</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5</v>
      </c>
    </row>
    <row r="162" spans="1:8" x14ac:dyDescent="0.45">
      <c r="A162" s="28">
        <v>3</v>
      </c>
      <c r="B162" s="29" t="s">
        <v>119</v>
      </c>
      <c r="C162" s="30" t="s">
        <v>120</v>
      </c>
      <c r="D162" s="30" t="s">
        <v>121</v>
      </c>
      <c r="E162" s="28">
        <f>Realität!B16</f>
        <v>1</v>
      </c>
      <c r="F162" s="28">
        <f>Realität!C16</f>
        <v>1</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1</v>
      </c>
      <c r="F163" s="28">
        <f>Realität!C21</f>
        <v>0</v>
      </c>
      <c r="G163" s="28">
        <f>IF(OR(B21="",Realität!B21=""),0,IF(SIGN(B21-C21)=SIGN(Realität!B21-Realität!C21),5,0))</f>
        <v>0</v>
      </c>
      <c r="H163" s="28">
        <f>IF(OR(B21="",Realität!B21=""),0,MAX(0,5-ABS(B21-Realität!B21)-ABS(C21-Realität!C21)))</f>
        <v>2</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1</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3</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2</v>
      </c>
    </row>
    <row r="168" spans="1:8" x14ac:dyDescent="0.45">
      <c r="A168" s="28">
        <v>9</v>
      </c>
      <c r="B168" s="29" t="s">
        <v>137</v>
      </c>
      <c r="C168" s="30" t="s">
        <v>138</v>
      </c>
      <c r="D168" s="30" t="s">
        <v>139</v>
      </c>
      <c r="E168" s="28">
        <f>Realität!I16</f>
        <v>4</v>
      </c>
      <c r="F168" s="28">
        <f>Realität!J16</f>
        <v>1</v>
      </c>
      <c r="G168" s="28">
        <f>IF(OR(I16="",Realität!I16=""),0,IF(SIGN(I16-J16)=SIGN(Realität!I16-Realität!J16),5,0))</f>
        <v>0</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4</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3</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2</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4</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2</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2</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1</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0</v>
      </c>
      <c r="H187" s="28">
        <f>IF(OR(AD21="",Realität!AD21=""),0,MAX(0,5-ABS(AD21-Realität!AD21)-ABS(AE21-Realität!AE21)))</f>
        <v>2</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3</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3</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4</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4</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5</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4</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3</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1</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2</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2</v>
      </c>
    </row>
    <row r="208" spans="1:8" x14ac:dyDescent="0.45">
      <c r="A208" s="28">
        <v>49</v>
      </c>
      <c r="B208" s="29" t="s">
        <v>257</v>
      </c>
      <c r="C208" s="30" t="s">
        <v>258</v>
      </c>
      <c r="D208" s="30" t="s">
        <v>259</v>
      </c>
      <c r="E208" s="28">
        <f>Realität!P52</f>
        <v>3</v>
      </c>
      <c r="F208" s="28">
        <f>Realität!Q52</f>
        <v>1</v>
      </c>
      <c r="G208" s="28">
        <f>IF(OR(P52="",Realität!P52=""),0,IF(SIGN(P52-Q52)=SIGN(Realität!P52-Realität!Q52),5,0))</f>
        <v>0</v>
      </c>
      <c r="H208" s="28">
        <f>IF(OR(P52="",Realität!P52=""),0,MAX(0,5-ABS(P52-Realität!P52)-ABS(Q52-Realität!Q52)))</f>
        <v>3</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3</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4</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3</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3</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0</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4</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1</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5</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5</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0</v>
      </c>
      <c r="H231" s="28">
        <f>IF(OR(AK79="",Realität!AK79=""),0,MAX(0,5-ABS(AK79-Realität!AK79)-ABS(AL79-Realität!AL79)))</f>
        <v>4</v>
      </c>
    </row>
    <row r="232" spans="1:8" x14ac:dyDescent="0.45">
      <c r="A232" s="31" t="s">
        <v>329</v>
      </c>
      <c r="F232" s="23" t="s">
        <v>330</v>
      </c>
      <c r="G232" s="24">
        <f>SUM(G160:G231)</f>
        <v>220</v>
      </c>
      <c r="H232" s="24">
        <f>SUM(H160:H231)</f>
        <v>202</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Südkorea</v>
      </c>
      <c r="E234" s="28">
        <f t="shared" ref="E234:E265" si="0">IF(OR(C234="",D234=""),0,IF(COUNTIF($C$234:$C$265,D234)&gt;0,5,0))</f>
        <v>0</v>
      </c>
    </row>
    <row r="235" spans="1:8" x14ac:dyDescent="0.45">
      <c r="A235" s="28">
        <v>2</v>
      </c>
      <c r="B235" s="29" t="s">
        <v>335</v>
      </c>
      <c r="C235" s="29" t="str">
        <f>Realität!B44</f>
        <v>Südafrika</v>
      </c>
      <c r="D235" s="29" t="str">
        <f>B44</f>
        <v>Mexiko</v>
      </c>
      <c r="E235" s="28">
        <f t="shared" si="0"/>
        <v>5</v>
      </c>
    </row>
    <row r="236" spans="1:8" x14ac:dyDescent="0.45">
      <c r="A236" s="28">
        <v>3</v>
      </c>
      <c r="B236" s="29" t="s">
        <v>336</v>
      </c>
      <c r="C236" s="29" t="str">
        <f>Realität!I43</f>
        <v>Schweiz</v>
      </c>
      <c r="D236" s="29" t="str">
        <f>I43</f>
        <v>Bosnien-Herz.</v>
      </c>
      <c r="E236" s="28">
        <f t="shared" si="0"/>
        <v>5</v>
      </c>
    </row>
    <row r="237" spans="1:8" x14ac:dyDescent="0.45">
      <c r="A237" s="28">
        <v>4</v>
      </c>
      <c r="B237" s="29" t="s">
        <v>337</v>
      </c>
      <c r="C237" s="29" t="str">
        <f>Realität!I44</f>
        <v>Kanada</v>
      </c>
      <c r="D237" s="29" t="str">
        <f>I44</f>
        <v>Schweiz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Australien</v>
      </c>
      <c r="D241" s="29" t="str">
        <f>W44</f>
        <v>Paraguay</v>
      </c>
      <c r="E241" s="28">
        <f t="shared" si="0"/>
        <v>5</v>
      </c>
    </row>
    <row r="242" spans="1:5" x14ac:dyDescent="0.45">
      <c r="A242" s="28">
        <v>9</v>
      </c>
      <c r="B242" s="29" t="s">
        <v>342</v>
      </c>
      <c r="C242" s="29" t="str">
        <f>Realität!AD43</f>
        <v>Deutschland</v>
      </c>
      <c r="D242" s="29" t="str">
        <f>AD43</f>
        <v>Elfenbeinküste</v>
      </c>
      <c r="E242" s="28">
        <f t="shared" si="0"/>
        <v>5</v>
      </c>
    </row>
    <row r="243" spans="1:5" x14ac:dyDescent="0.45">
      <c r="A243" s="28">
        <v>10</v>
      </c>
      <c r="B243" s="29" t="s">
        <v>343</v>
      </c>
      <c r="C243" s="29" t="str">
        <f>Realität!AD44</f>
        <v>Elfenbeinküste</v>
      </c>
      <c r="D243" s="29" t="str">
        <f>AD44</f>
        <v>Deutschland</v>
      </c>
      <c r="E243" s="28">
        <f t="shared" si="0"/>
        <v>5</v>
      </c>
    </row>
    <row r="244" spans="1:5" x14ac:dyDescent="0.45">
      <c r="A244" s="28">
        <v>11</v>
      </c>
      <c r="B244" s="29" t="s">
        <v>344</v>
      </c>
      <c r="C244" s="29" t="str">
        <f>Realität!AK43</f>
        <v>Niederlande</v>
      </c>
      <c r="D244" s="29" t="str">
        <f>AK43</f>
        <v>Japan</v>
      </c>
      <c r="E244" s="28">
        <f t="shared" si="0"/>
        <v>5</v>
      </c>
    </row>
    <row r="245" spans="1:5" x14ac:dyDescent="0.45">
      <c r="A245" s="28">
        <v>12</v>
      </c>
      <c r="B245" s="29" t="s">
        <v>345</v>
      </c>
      <c r="C245" s="29" t="str">
        <f>Realität!AK44</f>
        <v>Japan</v>
      </c>
      <c r="D245" s="29" t="str">
        <f>AK44</f>
        <v>Niederlande</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Senegal</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Algerien</v>
      </c>
      <c r="E253" s="28">
        <f t="shared" si="0"/>
        <v>5</v>
      </c>
    </row>
    <row r="254" spans="1:5" x14ac:dyDescent="0.45">
      <c r="A254" s="28">
        <v>21</v>
      </c>
      <c r="B254" s="29" t="s">
        <v>354</v>
      </c>
      <c r="C254" s="29" t="str">
        <f>Realität!AD90</f>
        <v>Kolumbien</v>
      </c>
      <c r="D254" s="29" t="str">
        <f>AD90</f>
        <v>Kolumbien</v>
      </c>
      <c r="E254" s="28">
        <f t="shared" si="0"/>
        <v>5</v>
      </c>
    </row>
    <row r="255" spans="1:5" x14ac:dyDescent="0.45">
      <c r="A255" s="28">
        <v>22</v>
      </c>
      <c r="B255" s="29" t="s">
        <v>355</v>
      </c>
      <c r="C255" s="29" t="str">
        <f>Realität!AD91</f>
        <v>Portugal</v>
      </c>
      <c r="D255" s="29" t="str">
        <f>AD91</f>
        <v>Portugal</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Ghana</v>
      </c>
      <c r="E257" s="28">
        <f t="shared" si="0"/>
        <v>5</v>
      </c>
    </row>
    <row r="258" spans="1:5" x14ac:dyDescent="0.45">
      <c r="A258" s="28">
        <v>25</v>
      </c>
      <c r="B258" s="29" t="s">
        <v>358</v>
      </c>
      <c r="C258" s="29" t="str">
        <f>Realität!R112</f>
        <v>DR Kongo</v>
      </c>
      <c r="D258" s="29" t="str">
        <f t="shared" ref="D258:D265" si="1">R112</f>
        <v>Kroatien</v>
      </c>
      <c r="E258" s="28">
        <f t="shared" si="0"/>
        <v>5</v>
      </c>
    </row>
    <row r="259" spans="1:5" x14ac:dyDescent="0.45">
      <c r="A259" s="28">
        <v>26</v>
      </c>
      <c r="B259" s="29" t="s">
        <v>359</v>
      </c>
      <c r="C259" s="29" t="str">
        <f>Realität!R113</f>
        <v>Schweden</v>
      </c>
      <c r="D259" s="29" t="str">
        <f t="shared" si="1"/>
        <v>Norwegen</v>
      </c>
      <c r="E259" s="28">
        <f t="shared" si="0"/>
        <v>5</v>
      </c>
    </row>
    <row r="260" spans="1:5" x14ac:dyDescent="0.45">
      <c r="A260" s="28">
        <v>27</v>
      </c>
      <c r="B260" s="29" t="s">
        <v>360</v>
      </c>
      <c r="C260" s="29" t="str">
        <f>Realität!R114</f>
        <v>Ghana</v>
      </c>
      <c r="D260" s="29" t="str">
        <f t="shared" si="1"/>
        <v>Österreich</v>
      </c>
      <c r="E260" s="28">
        <f t="shared" si="0"/>
        <v>5</v>
      </c>
    </row>
    <row r="261" spans="1:5" x14ac:dyDescent="0.45">
      <c r="A261" s="28">
        <v>28</v>
      </c>
      <c r="B261" s="29" t="s">
        <v>361</v>
      </c>
      <c r="C261" s="29" t="str">
        <f>Realität!R115</f>
        <v>Ecuador</v>
      </c>
      <c r="D261" s="29" t="str">
        <f t="shared" si="1"/>
        <v>Iran</v>
      </c>
      <c r="E261" s="28">
        <f t="shared" si="0"/>
        <v>0</v>
      </c>
    </row>
    <row r="262" spans="1:5" x14ac:dyDescent="0.45">
      <c r="A262" s="28">
        <v>29</v>
      </c>
      <c r="B262" s="29" t="s">
        <v>362</v>
      </c>
      <c r="C262" s="29" t="str">
        <f>Realität!R116</f>
        <v>Bosnien-Herz.</v>
      </c>
      <c r="D262" s="29" t="str">
        <f t="shared" si="1"/>
        <v>Ecuador</v>
      </c>
      <c r="E262" s="28">
        <f t="shared" si="0"/>
        <v>5</v>
      </c>
    </row>
    <row r="263" spans="1:5" x14ac:dyDescent="0.45">
      <c r="A263" s="28">
        <v>30</v>
      </c>
      <c r="B263" s="29" t="s">
        <v>363</v>
      </c>
      <c r="C263" s="29" t="str">
        <f>Realität!R117</f>
        <v>Algerien</v>
      </c>
      <c r="D263" s="29" t="str">
        <f t="shared" si="1"/>
        <v>Tunesien</v>
      </c>
      <c r="E263" s="28">
        <f t="shared" si="0"/>
        <v>0</v>
      </c>
    </row>
    <row r="264" spans="1:5" x14ac:dyDescent="0.45">
      <c r="A264" s="28">
        <v>31</v>
      </c>
      <c r="B264" s="29" t="s">
        <v>364</v>
      </c>
      <c r="C264" s="29" t="str">
        <f>Realität!R118</f>
        <v>Paraguay</v>
      </c>
      <c r="D264" s="29" t="str">
        <f t="shared" si="1"/>
        <v>Kanada</v>
      </c>
      <c r="E264" s="28">
        <f t="shared" si="0"/>
        <v>5</v>
      </c>
    </row>
    <row r="265" spans="1:5" x14ac:dyDescent="0.45">
      <c r="A265" s="28">
        <v>32</v>
      </c>
      <c r="B265" s="29" t="s">
        <v>365</v>
      </c>
      <c r="C265" s="29" t="str">
        <f>Realität!R119</f>
        <v>Senegal</v>
      </c>
      <c r="D265" s="29" t="str">
        <f t="shared" si="1"/>
        <v>DR Kongo</v>
      </c>
      <c r="E265" s="28">
        <f t="shared" si="0"/>
        <v>5</v>
      </c>
    </row>
    <row r="266" spans="1:5" x14ac:dyDescent="0.45">
      <c r="D266" s="23" t="s">
        <v>330</v>
      </c>
      <c r="E266" s="24">
        <f>SUM(E234:E265)</f>
        <v>135</v>
      </c>
    </row>
  </sheetData>
  <mergeCells count="146">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 ref="B80:C80"/>
    <mergeCell ref="I80:J80"/>
    <mergeCell ref="P80:Q80"/>
    <mergeCell ref="W80:X80"/>
    <mergeCell ref="AD80:AE80"/>
    <mergeCell ref="AK80:AL80"/>
    <mergeCell ref="B89:C89"/>
    <mergeCell ref="I89:J89"/>
    <mergeCell ref="P89:Q89"/>
    <mergeCell ref="W89:X89"/>
    <mergeCell ref="AD89:AE89"/>
    <mergeCell ref="AK89:AL89"/>
    <mergeCell ref="B72:C72"/>
    <mergeCell ref="I72:J72"/>
    <mergeCell ref="P72:Q72"/>
    <mergeCell ref="W72:X72"/>
    <mergeCell ref="AD72:AE72"/>
    <mergeCell ref="AK72:AL72"/>
    <mergeCell ref="B75:C75"/>
    <mergeCell ref="I75:J75"/>
    <mergeCell ref="P75:Q75"/>
    <mergeCell ref="W75:X75"/>
    <mergeCell ref="AD75:AE75"/>
    <mergeCell ref="AK75:AL75"/>
    <mergeCell ref="B64:C64"/>
    <mergeCell ref="I64:J64"/>
    <mergeCell ref="P64:Q64"/>
    <mergeCell ref="W64:X64"/>
    <mergeCell ref="AD64:AE64"/>
    <mergeCell ref="AK64:AL64"/>
    <mergeCell ref="B69:C69"/>
    <mergeCell ref="I69:J69"/>
    <mergeCell ref="P69:Q69"/>
    <mergeCell ref="W69:X69"/>
    <mergeCell ref="AD69:AE69"/>
    <mergeCell ref="AK69:AL69"/>
    <mergeCell ref="B58:C58"/>
    <mergeCell ref="I58:J58"/>
    <mergeCell ref="P58:Q58"/>
    <mergeCell ref="W58:X58"/>
    <mergeCell ref="AD58:AE58"/>
    <mergeCell ref="AK58:AL58"/>
    <mergeCell ref="B61:C61"/>
    <mergeCell ref="I61:J61"/>
    <mergeCell ref="P61:Q61"/>
    <mergeCell ref="W61:X61"/>
    <mergeCell ref="AD61:AE61"/>
    <mergeCell ref="AK61:AL61"/>
    <mergeCell ref="B50:C50"/>
    <mergeCell ref="I50:J50"/>
    <mergeCell ref="P50:Q50"/>
    <mergeCell ref="W50:X50"/>
    <mergeCell ref="AD50:AE50"/>
    <mergeCell ref="AK50:AL50"/>
    <mergeCell ref="B53:C53"/>
    <mergeCell ref="I53:J53"/>
    <mergeCell ref="P53:Q53"/>
    <mergeCell ref="W53:X53"/>
    <mergeCell ref="AD53:AE53"/>
    <mergeCell ref="AK53:AL53"/>
    <mergeCell ref="B42:C42"/>
    <mergeCell ref="I42:J42"/>
    <mergeCell ref="P42:Q42"/>
    <mergeCell ref="W42:X42"/>
    <mergeCell ref="AD42:AE42"/>
    <mergeCell ref="AK42:AL42"/>
    <mergeCell ref="A48:D49"/>
    <mergeCell ref="H48:K49"/>
    <mergeCell ref="O48:R49"/>
    <mergeCell ref="V48:Y49"/>
    <mergeCell ref="AC48:AF49"/>
    <mergeCell ref="AJ48:AM49"/>
    <mergeCell ref="B28:C28"/>
    <mergeCell ref="I28:J28"/>
    <mergeCell ref="P28:Q28"/>
    <mergeCell ref="W28:X28"/>
    <mergeCell ref="AD28:AE28"/>
    <mergeCell ref="AK28:AL28"/>
    <mergeCell ref="B33:C33"/>
    <mergeCell ref="I33:J33"/>
    <mergeCell ref="P33:Q33"/>
    <mergeCell ref="W33:X33"/>
    <mergeCell ref="AD33:AE33"/>
    <mergeCell ref="AK33:AL33"/>
    <mergeCell ref="B22:C22"/>
    <mergeCell ref="I22:J22"/>
    <mergeCell ref="P22:Q22"/>
    <mergeCell ref="W22:X22"/>
    <mergeCell ref="AD22:AE22"/>
    <mergeCell ref="AK22:AL22"/>
    <mergeCell ref="B25:C25"/>
    <mergeCell ref="I25:J25"/>
    <mergeCell ref="P25:Q25"/>
    <mergeCell ref="W25:X25"/>
    <mergeCell ref="AD25:AE25"/>
    <mergeCell ref="AK25:AL25"/>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FC70-5F44-41AE-94EB-1E94E1ADBBD4}">
  <dimension ref="A1:AP266"/>
  <sheetViews>
    <sheetView topLeftCell="A127" zoomScale="70" zoomScaleNormal="70" workbookViewId="0">
      <selection activeCell="E156" sqref="E15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0</v>
      </c>
      <c r="K5" s="4"/>
      <c r="L5" s="4"/>
      <c r="M5" s="4"/>
      <c r="N5" s="4"/>
      <c r="O5" s="4"/>
      <c r="P5" s="38">
        <v>1</v>
      </c>
      <c r="Q5" s="38">
        <v>1</v>
      </c>
      <c r="R5" s="4"/>
      <c r="S5" s="4"/>
      <c r="T5" s="4"/>
      <c r="U5" s="4"/>
      <c r="V5" s="4"/>
      <c r="W5" s="38">
        <v>1</v>
      </c>
      <c r="X5" s="38">
        <v>0</v>
      </c>
      <c r="Y5" s="4"/>
      <c r="Z5" s="4"/>
      <c r="AA5" s="4"/>
      <c r="AB5" s="4"/>
      <c r="AC5" s="4"/>
      <c r="AD5" s="38">
        <v>3</v>
      </c>
      <c r="AE5" s="38">
        <v>0</v>
      </c>
      <c r="AF5" s="4"/>
      <c r="AG5" s="4"/>
      <c r="AH5" s="4"/>
      <c r="AI5" s="4"/>
      <c r="AJ5" s="4"/>
      <c r="AK5" s="38">
        <v>1</v>
      </c>
      <c r="AL5" s="38">
        <v>1</v>
      </c>
      <c r="AM5" s="4"/>
      <c r="AN5" s="4"/>
      <c r="AO5" s="4"/>
      <c r="AP5" s="4"/>
    </row>
    <row r="6" spans="1:42" x14ac:dyDescent="0.45">
      <c r="A6" s="4"/>
      <c r="B6" s="80" t="str">
        <f>IF(B5=C5,"Unentschieden",IF(B5&gt;C5,B4,C4))</f>
        <v>Mexiko</v>
      </c>
      <c r="C6" s="80"/>
      <c r="D6" s="4"/>
      <c r="E6" s="4"/>
      <c r="F6" s="4"/>
      <c r="G6" s="4"/>
      <c r="H6" s="4"/>
      <c r="I6" s="80" t="str">
        <f>IF(I5=J5,"Unentschieden",IF(I5&gt;J5,I4,J4))</f>
        <v>Kanada</v>
      </c>
      <c r="J6" s="80"/>
      <c r="K6" s="4"/>
      <c r="L6" s="4"/>
      <c r="M6" s="4"/>
      <c r="N6" s="4"/>
      <c r="O6" s="4"/>
      <c r="P6" s="80" t="str">
        <f>IF(P5=Q5,"Unentschieden",IF(P5&gt;Q5,P4,Q4))</f>
        <v>Unentschieden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2</v>
      </c>
      <c r="K10" s="4"/>
      <c r="L10" s="4"/>
      <c r="M10" s="4"/>
      <c r="N10" s="4"/>
      <c r="O10" s="4"/>
      <c r="P10" s="38">
        <v>1</v>
      </c>
      <c r="Q10" s="38">
        <v>2</v>
      </c>
      <c r="R10" s="4"/>
      <c r="S10" s="4"/>
      <c r="T10" s="4"/>
      <c r="U10" s="4"/>
      <c r="V10" s="4"/>
      <c r="W10" s="38">
        <v>1</v>
      </c>
      <c r="X10" s="38">
        <v>1</v>
      </c>
      <c r="Y10" s="4"/>
      <c r="Z10" s="4"/>
      <c r="AA10" s="4"/>
      <c r="AB10" s="4"/>
      <c r="AC10" s="4"/>
      <c r="AD10" s="38">
        <v>0</v>
      </c>
      <c r="AE10" s="38">
        <v>1</v>
      </c>
      <c r="AF10" s="4"/>
      <c r="AG10" s="4"/>
      <c r="AH10" s="4"/>
      <c r="AI10" s="4"/>
      <c r="AJ10" s="4"/>
      <c r="AK10" s="38">
        <v>1</v>
      </c>
      <c r="AL10" s="38">
        <v>1</v>
      </c>
      <c r="AM10" s="4"/>
      <c r="AN10" s="4"/>
      <c r="AO10" s="4"/>
      <c r="AP10" s="4"/>
    </row>
    <row r="11" spans="1:42" x14ac:dyDescent="0.45">
      <c r="A11" s="4"/>
      <c r="B11" s="80" t="str">
        <f>IF(B10=C10,"Unentschieden",IF(B10&gt;C10,B9,C9))</f>
        <v>Unentschieden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Unentschieden</v>
      </c>
      <c r="X11" s="80"/>
      <c r="Y11" s="4"/>
      <c r="Z11" s="4"/>
      <c r="AA11" s="4"/>
      <c r="AB11" s="4"/>
      <c r="AC11" s="4"/>
      <c r="AD11" s="80" t="str">
        <f>IF(AD10=AE10,"Unentschieden",IF(AD10&gt;AE10,AD9,AE9))</f>
        <v>Ecuador</v>
      </c>
      <c r="AE11" s="80"/>
      <c r="AF11" s="4"/>
      <c r="AG11" s="4"/>
      <c r="AH11" s="4"/>
      <c r="AI11" s="4"/>
      <c r="AJ11" s="4"/>
      <c r="AK11" s="80" t="str">
        <f>IF(AK10=AL10,"Unentschieden",IF(AK10&gt;AL10,AK9,AL9))</f>
        <v>Unentschieden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1</v>
      </c>
      <c r="X12" s="1">
        <f>IF(X10=W10,1,IF(X10&gt;W10,3,0))</f>
        <v>1</v>
      </c>
      <c r="Y12" s="4"/>
      <c r="Z12" s="4"/>
      <c r="AA12" s="4"/>
      <c r="AB12" s="4"/>
      <c r="AC12" s="4"/>
      <c r="AD12" s="1">
        <f>IF(AD10=AE10,1,IF(AD10&gt;AE10,3,0))</f>
        <v>0</v>
      </c>
      <c r="AE12" s="1">
        <f>IF(AE10=AD10,1,IF(AE10&gt;AD10,3,0))</f>
        <v>3</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2</v>
      </c>
      <c r="J16" s="38">
        <v>0</v>
      </c>
      <c r="K16" s="4"/>
      <c r="L16" s="4"/>
      <c r="M16" s="4"/>
      <c r="N16" s="4"/>
      <c r="O16" s="4"/>
      <c r="P16" s="38">
        <v>1</v>
      </c>
      <c r="Q16" s="38">
        <v>1</v>
      </c>
      <c r="R16" s="4"/>
      <c r="S16" s="4"/>
      <c r="T16" s="4"/>
      <c r="U16" s="4"/>
      <c r="V16" s="4"/>
      <c r="W16" s="38">
        <v>1</v>
      </c>
      <c r="X16" s="38">
        <v>0</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Unentschieden</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1</v>
      </c>
      <c r="D21" s="4"/>
      <c r="E21" s="4"/>
      <c r="F21" s="4"/>
      <c r="G21" s="4"/>
      <c r="H21" s="4"/>
      <c r="I21" s="38">
        <v>1</v>
      </c>
      <c r="J21" s="38">
        <v>0</v>
      </c>
      <c r="K21" s="4"/>
      <c r="L21" s="4"/>
      <c r="M21" s="4"/>
      <c r="N21" s="4"/>
      <c r="O21" s="4"/>
      <c r="P21" s="38">
        <v>3</v>
      </c>
      <c r="Q21" s="38">
        <v>0</v>
      </c>
      <c r="R21" s="4"/>
      <c r="S21" s="4"/>
      <c r="T21" s="4"/>
      <c r="U21" s="4"/>
      <c r="V21" s="4"/>
      <c r="W21" s="38">
        <v>1</v>
      </c>
      <c r="X21" s="38">
        <v>1</v>
      </c>
      <c r="Y21" s="4"/>
      <c r="Z21" s="4"/>
      <c r="AA21" s="4"/>
      <c r="AB21" s="4"/>
      <c r="AC21" s="4"/>
      <c r="AD21" s="38">
        <v>2</v>
      </c>
      <c r="AE21" s="38">
        <v>1</v>
      </c>
      <c r="AF21" s="4"/>
      <c r="AG21" s="4"/>
      <c r="AH21" s="4"/>
      <c r="AI21" s="4"/>
      <c r="AJ21" s="4"/>
      <c r="AK21" s="38">
        <v>2</v>
      </c>
      <c r="AL21" s="38">
        <v>1</v>
      </c>
      <c r="AM21" s="4"/>
      <c r="AN21" s="4"/>
      <c r="AO21" s="4"/>
      <c r="AP21" s="4"/>
    </row>
    <row r="22" spans="1:42" x14ac:dyDescent="0.45">
      <c r="A22" s="4"/>
      <c r="B22" s="80" t="str">
        <f>IF(B21=C21,"Unentschieden",IF(B21&gt;C21,B20,C20))</f>
        <v>Unentschieden</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2</v>
      </c>
      <c r="Q27" s="38">
        <v>0</v>
      </c>
      <c r="R27" s="4"/>
      <c r="S27" s="4"/>
      <c r="T27" s="4"/>
      <c r="U27" s="4"/>
      <c r="V27" s="4"/>
      <c r="W27" s="38">
        <v>1</v>
      </c>
      <c r="X27" s="38">
        <v>1</v>
      </c>
      <c r="Y27" s="4"/>
      <c r="Z27" s="4"/>
      <c r="AA27" s="4"/>
      <c r="AB27" s="4"/>
      <c r="AC27" s="4"/>
      <c r="AD27" s="38">
        <v>0</v>
      </c>
      <c r="AE27" s="38">
        <v>1</v>
      </c>
      <c r="AF27" s="4"/>
      <c r="AG27" s="4"/>
      <c r="AH27" s="4"/>
      <c r="AI27" s="4"/>
      <c r="AJ27" s="4"/>
      <c r="AK27" s="38">
        <v>2</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Unentschieden</v>
      </c>
      <c r="J28" s="80"/>
      <c r="K28" s="4"/>
      <c r="L28" s="4"/>
      <c r="M28" s="4"/>
      <c r="N28" s="4"/>
      <c r="O28" s="4"/>
      <c r="P28" s="80" t="str">
        <f>IF(P27=Q27,"Unentschieden",IF(P27&gt;Q27,P26,Q26))</f>
        <v>Marokko</v>
      </c>
      <c r="Q28" s="80"/>
      <c r="R28" s="4"/>
      <c r="S28" s="4"/>
      <c r="T28" s="4"/>
      <c r="U28" s="4"/>
      <c r="V28" s="4"/>
      <c r="W28" s="80" t="str">
        <f>IF(W27=X27,"Unentschieden",IF(W27&gt;X27,W26,X26))</f>
        <v>Unentschieden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0</v>
      </c>
      <c r="Q32" s="38">
        <v>2</v>
      </c>
      <c r="R32" s="4"/>
      <c r="S32" s="4"/>
      <c r="T32" s="4"/>
      <c r="U32" s="4"/>
      <c r="V32" s="4"/>
      <c r="W32" s="38">
        <v>1</v>
      </c>
      <c r="X32" s="38">
        <v>1</v>
      </c>
      <c r="Y32" s="4"/>
      <c r="Z32" s="4"/>
      <c r="AA32" s="4"/>
      <c r="AB32" s="4"/>
      <c r="AC32" s="4"/>
      <c r="AD32" s="38">
        <v>0</v>
      </c>
      <c r="AE32" s="38">
        <v>1</v>
      </c>
      <c r="AF32" s="4"/>
      <c r="AG32" s="4"/>
      <c r="AH32" s="4"/>
      <c r="AI32" s="4"/>
      <c r="AJ32" s="4"/>
      <c r="AK32" s="38">
        <v>0</v>
      </c>
      <c r="AL32" s="38">
        <v>2</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Unentschieden</v>
      </c>
      <c r="J33" s="80"/>
      <c r="K33" s="4"/>
      <c r="L33" s="4"/>
      <c r="M33" s="4"/>
      <c r="N33" s="4"/>
      <c r="O33" s="4"/>
      <c r="P33" s="80" t="str">
        <f>IF(P32=Q32,"Unentschieden",IF(P32&gt;Q32,P31,Q31))</f>
        <v>Brasilien</v>
      </c>
      <c r="Q33" s="80"/>
      <c r="R33" s="4"/>
      <c r="S33" s="4"/>
      <c r="T33" s="4"/>
      <c r="U33" s="4"/>
      <c r="V33" s="4"/>
      <c r="W33" s="80" t="str">
        <f>IF(W32=X32,"Unentschieden",IF(W32&gt;X32,W31,X31))</f>
        <v>Unentschieden</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5</v>
      </c>
      <c r="D37" s="1">
        <f>B5+B21+C32</f>
        <v>3</v>
      </c>
      <c r="E37" s="1">
        <f>C5+C21+B32</f>
        <v>2</v>
      </c>
      <c r="F37" s="1">
        <f>D37-E37</f>
        <v>1</v>
      </c>
      <c r="G37" s="4"/>
      <c r="H37" s="37"/>
      <c r="I37" s="2" t="s">
        <v>27</v>
      </c>
      <c r="J37" s="1">
        <f>I7+I23+J34</f>
        <v>7</v>
      </c>
      <c r="K37" s="1">
        <f>I5+I21+J32</f>
        <v>3</v>
      </c>
      <c r="L37" s="1">
        <f>J5+J21+I32</f>
        <v>1</v>
      </c>
      <c r="M37" s="1">
        <f>K37-L37</f>
        <v>2</v>
      </c>
      <c r="N37" s="4"/>
      <c r="O37" s="13"/>
      <c r="P37" s="2" t="s">
        <v>29</v>
      </c>
      <c r="Q37" s="1">
        <f>P7+P23+Q34</f>
        <v>7</v>
      </c>
      <c r="R37" s="1">
        <f>P5+P21+Q32</f>
        <v>6</v>
      </c>
      <c r="S37" s="1">
        <f>Q5+Q21+P32</f>
        <v>1</v>
      </c>
      <c r="T37" s="1">
        <f>R37-S37</f>
        <v>5</v>
      </c>
      <c r="U37" s="4"/>
      <c r="V37" s="13"/>
      <c r="W37" s="2" t="s">
        <v>31</v>
      </c>
      <c r="X37" s="1">
        <f>W7+W23+X34</f>
        <v>5</v>
      </c>
      <c r="Y37" s="1">
        <f>W5+W21+X32</f>
        <v>3</v>
      </c>
      <c r="Z37" s="1">
        <f>X5+X21+W32</f>
        <v>2</v>
      </c>
      <c r="AA37" s="1">
        <f>Y37-Z37</f>
        <v>1</v>
      </c>
      <c r="AB37" s="4"/>
      <c r="AC37" s="13"/>
      <c r="AD37" s="2" t="s">
        <v>33</v>
      </c>
      <c r="AE37" s="1">
        <f>AD7+AD23+AE34</f>
        <v>9</v>
      </c>
      <c r="AF37" s="1">
        <f>AD5+AD21+AE32</f>
        <v>6</v>
      </c>
      <c r="AG37" s="1">
        <f>AE5+AE21+AD32</f>
        <v>1</v>
      </c>
      <c r="AH37" s="1">
        <f>AF37-AG37</f>
        <v>5</v>
      </c>
      <c r="AI37" s="4"/>
      <c r="AJ37" s="4"/>
      <c r="AK37" s="2" t="s">
        <v>35</v>
      </c>
      <c r="AL37" s="1">
        <f>AK7+AK23+AL34</f>
        <v>7</v>
      </c>
      <c r="AM37" s="1">
        <f>AK5+AK21+AL32</f>
        <v>5</v>
      </c>
      <c r="AN37" s="1">
        <f>AL5+AL21+AK32</f>
        <v>2</v>
      </c>
      <c r="AO37" s="1">
        <f>AM37-AN37</f>
        <v>3</v>
      </c>
      <c r="AP37" s="4"/>
    </row>
    <row r="38" spans="1:42" x14ac:dyDescent="0.45">
      <c r="A38" s="37"/>
      <c r="B38" s="2" t="s">
        <v>26</v>
      </c>
      <c r="C38" s="1">
        <f>C7+C18+B29</f>
        <v>0</v>
      </c>
      <c r="D38" s="1">
        <f>C5+C16+B27</f>
        <v>0</v>
      </c>
      <c r="E38" s="1">
        <f>B5+B16+C27</f>
        <v>3</v>
      </c>
      <c r="F38" s="1">
        <f t="shared" ref="F38:F40" si="0">D38-E38</f>
        <v>-3</v>
      </c>
      <c r="G38" s="4"/>
      <c r="H38" s="37"/>
      <c r="I38" s="2" t="s">
        <v>28</v>
      </c>
      <c r="J38" s="1">
        <f>J7+J18+I29</f>
        <v>1</v>
      </c>
      <c r="K38" s="1">
        <f>J5+J16+I27</f>
        <v>1</v>
      </c>
      <c r="L38" s="1">
        <f>I5+I16+J27</f>
        <v>4</v>
      </c>
      <c r="M38" s="1">
        <f t="shared" ref="M38:M40" si="1">K38-L38</f>
        <v>-3</v>
      </c>
      <c r="N38" s="4"/>
      <c r="O38" s="13"/>
      <c r="P38" s="2" t="s">
        <v>30</v>
      </c>
      <c r="Q38" s="1">
        <f>Q7+Q18+P29</f>
        <v>5</v>
      </c>
      <c r="R38" s="1">
        <f>Q5+Q16+P27</f>
        <v>4</v>
      </c>
      <c r="S38" s="1">
        <f>P5+P16+Q27</f>
        <v>2</v>
      </c>
      <c r="T38" s="1">
        <f t="shared" ref="T38:T40" si="2">R38-S38</f>
        <v>2</v>
      </c>
      <c r="U38" s="4"/>
      <c r="V38" s="13"/>
      <c r="W38" s="2" t="s">
        <v>32</v>
      </c>
      <c r="X38" s="1">
        <f>X7+X18+W29</f>
        <v>1</v>
      </c>
      <c r="Y38" s="1">
        <f>X5+X16+W27</f>
        <v>1</v>
      </c>
      <c r="Z38" s="1">
        <f>W5+W16+X27</f>
        <v>3</v>
      </c>
      <c r="AA38" s="1">
        <f t="shared" ref="AA38:AA40" si="3">Y38-Z38</f>
        <v>-2</v>
      </c>
      <c r="AB38" s="4"/>
      <c r="AC38" s="13"/>
      <c r="AD38" s="2" t="s">
        <v>34</v>
      </c>
      <c r="AE38" s="1">
        <f>AE7+AE18+AD29</f>
        <v>0</v>
      </c>
      <c r="AF38" s="1">
        <f>AE5+AE16+AD27</f>
        <v>0</v>
      </c>
      <c r="AG38" s="1">
        <f>AD5+AD16+AE27</f>
        <v>6</v>
      </c>
      <c r="AH38" s="1">
        <f t="shared" ref="AH38:AH40" si="4">AF38-AG38</f>
        <v>-6</v>
      </c>
      <c r="AI38" s="4"/>
      <c r="AJ38" s="4"/>
      <c r="AK38" s="2" t="s">
        <v>36</v>
      </c>
      <c r="AL38" s="1">
        <f>AL7+AL18+AK29</f>
        <v>7</v>
      </c>
      <c r="AM38" s="1">
        <f>AL5+AL16+AK27</f>
        <v>5</v>
      </c>
      <c r="AN38" s="1">
        <f>AK5+AK16+AL27</f>
        <v>2</v>
      </c>
      <c r="AO38" s="1">
        <f t="shared" ref="AO38:AO40" si="5">AM38-AN38</f>
        <v>3</v>
      </c>
      <c r="AP38" s="4"/>
    </row>
    <row r="39" spans="1:42" x14ac:dyDescent="0.45">
      <c r="A39" s="36"/>
      <c r="B39" s="2" t="s">
        <v>37</v>
      </c>
      <c r="C39" s="1">
        <f>B12+C23+C29</f>
        <v>5</v>
      </c>
      <c r="D39" s="1">
        <f>B10+C21+C27</f>
        <v>3</v>
      </c>
      <c r="E39" s="1">
        <f>C10+B21+B27</f>
        <v>2</v>
      </c>
      <c r="F39" s="1">
        <f t="shared" si="0"/>
        <v>1</v>
      </c>
      <c r="G39" s="4"/>
      <c r="H39" s="36"/>
      <c r="I39" s="2" t="s">
        <v>39</v>
      </c>
      <c r="J39" s="1">
        <f>I12+J23+J29</f>
        <v>1</v>
      </c>
      <c r="K39" s="1">
        <f>I10+J21+J27</f>
        <v>1</v>
      </c>
      <c r="L39" s="1">
        <f>J10+I21+I27</f>
        <v>4</v>
      </c>
      <c r="M39" s="1">
        <f t="shared" si="1"/>
        <v>-3</v>
      </c>
      <c r="N39" s="4"/>
      <c r="O39" s="13"/>
      <c r="P39" s="2" t="s">
        <v>41</v>
      </c>
      <c r="Q39" s="1">
        <f>P12+Q23+Q29</f>
        <v>0</v>
      </c>
      <c r="R39" s="1">
        <f>P10+Q21+Q27</f>
        <v>1</v>
      </c>
      <c r="S39" s="1">
        <f>Q10+P21+P27</f>
        <v>7</v>
      </c>
      <c r="T39" s="1">
        <f t="shared" si="2"/>
        <v>-6</v>
      </c>
      <c r="U39" s="4"/>
      <c r="V39" s="13"/>
      <c r="W39" s="2" t="s">
        <v>43</v>
      </c>
      <c r="X39" s="1">
        <f>W12+X23+X29</f>
        <v>3</v>
      </c>
      <c r="Y39" s="1">
        <f>W10+X21+X27</f>
        <v>3</v>
      </c>
      <c r="Z39" s="1">
        <f>X10+W21+W27</f>
        <v>3</v>
      </c>
      <c r="AA39" s="1">
        <f t="shared" si="3"/>
        <v>0</v>
      </c>
      <c r="AB39" s="4"/>
      <c r="AC39" s="13"/>
      <c r="AD39" s="2" t="s">
        <v>45</v>
      </c>
      <c r="AE39" s="1">
        <f>AD12+AE23+AE29</f>
        <v>3</v>
      </c>
      <c r="AF39" s="1">
        <f>AD10+AE21+AE27</f>
        <v>2</v>
      </c>
      <c r="AG39" s="1">
        <f>AE10+AD21+AD27</f>
        <v>3</v>
      </c>
      <c r="AH39" s="1">
        <f t="shared" si="4"/>
        <v>-1</v>
      </c>
      <c r="AI39" s="4"/>
      <c r="AJ39" s="4"/>
      <c r="AK39" s="2" t="s">
        <v>47</v>
      </c>
      <c r="AL39" s="1">
        <f>AK12+AL23+AL29</f>
        <v>1</v>
      </c>
      <c r="AM39" s="1">
        <f>AK10+AL21+AL27</f>
        <v>3</v>
      </c>
      <c r="AN39" s="1">
        <f>AL10+AK21+AK27</f>
        <v>5</v>
      </c>
      <c r="AO39" s="1">
        <f t="shared" si="5"/>
        <v>-2</v>
      </c>
      <c r="AP39" s="4"/>
    </row>
    <row r="40" spans="1:42" x14ac:dyDescent="0.45">
      <c r="A40" s="35"/>
      <c r="B40" s="2" t="s">
        <v>38</v>
      </c>
      <c r="C40" s="1">
        <f>C12+B18+B34</f>
        <v>5</v>
      </c>
      <c r="D40" s="1">
        <f>C10+B16+B32</f>
        <v>3</v>
      </c>
      <c r="E40" s="1">
        <f>B10+C16+C32</f>
        <v>2</v>
      </c>
      <c r="F40" s="1">
        <f t="shared" si="0"/>
        <v>1</v>
      </c>
      <c r="G40" s="4"/>
      <c r="H40" s="35"/>
      <c r="I40" s="2" t="s">
        <v>40</v>
      </c>
      <c r="J40" s="1">
        <f>J12+I18+I34</f>
        <v>7</v>
      </c>
      <c r="K40" s="1">
        <f>J10+I16+I32</f>
        <v>5</v>
      </c>
      <c r="L40" s="1">
        <f>I10+J16+J32</f>
        <v>1</v>
      </c>
      <c r="M40" s="1">
        <f t="shared" si="1"/>
        <v>4</v>
      </c>
      <c r="N40" s="4"/>
      <c r="O40" s="13"/>
      <c r="P40" s="2" t="s">
        <v>42</v>
      </c>
      <c r="Q40" s="1">
        <f>Q12+P18+P34</f>
        <v>4</v>
      </c>
      <c r="R40" s="1">
        <f>Q10+P16+P32</f>
        <v>3</v>
      </c>
      <c r="S40" s="1">
        <f>P10+Q16+Q32</f>
        <v>4</v>
      </c>
      <c r="T40" s="1">
        <f t="shared" si="2"/>
        <v>-1</v>
      </c>
      <c r="U40" s="4"/>
      <c r="V40" s="13"/>
      <c r="W40" s="2" t="s">
        <v>44</v>
      </c>
      <c r="X40" s="1">
        <f>X12+W18+W34</f>
        <v>5</v>
      </c>
      <c r="Y40" s="1">
        <f>X10+W16+W32</f>
        <v>3</v>
      </c>
      <c r="Z40" s="1">
        <f>W10+X16+X32</f>
        <v>2</v>
      </c>
      <c r="AA40" s="1">
        <f t="shared" si="3"/>
        <v>1</v>
      </c>
      <c r="AB40" s="4"/>
      <c r="AC40" s="13"/>
      <c r="AD40" s="2" t="s">
        <v>46</v>
      </c>
      <c r="AE40" s="1">
        <f>AE12+AD18+AD34</f>
        <v>6</v>
      </c>
      <c r="AF40" s="1">
        <f>AE10+AD16+AD32</f>
        <v>3</v>
      </c>
      <c r="AG40" s="1">
        <f>AD10+AE16+AE32</f>
        <v>1</v>
      </c>
      <c r="AH40" s="1">
        <f t="shared" si="4"/>
        <v>2</v>
      </c>
      <c r="AI40" s="4"/>
      <c r="AJ40" s="4"/>
      <c r="AK40" s="2" t="s">
        <v>48</v>
      </c>
      <c r="AL40" s="1">
        <f>AL12+AK18+AK34</f>
        <v>1</v>
      </c>
      <c r="AM40" s="1">
        <f>AL10+AK16+AK32</f>
        <v>1</v>
      </c>
      <c r="AN40" s="1">
        <f>AK10+AL16+AL32</f>
        <v>5</v>
      </c>
      <c r="AO40" s="1">
        <f t="shared" si="5"/>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5</v>
      </c>
      <c r="D43" s="1" cm="1">
        <f t="array" ref="D43:D46">_xlfn.SORTBY(D37:D40,C37:C40,-1,F37:F40,-1,D37:D40,-1)</f>
        <v>3</v>
      </c>
      <c r="E43" s="1" cm="1">
        <f t="array" ref="E43:E46">_xlfn.SORTBY(E37:E40,C37:C40,-1,F37:F40,-1,D37:D40,-1)</f>
        <v>2</v>
      </c>
      <c r="F43" s="1" cm="1">
        <f t="array" ref="F43:F46">_xlfn.SORTBY(F37:F40,C37:C40,-1,F37:F40,-1,D37:D40,-1)</f>
        <v>1</v>
      </c>
      <c r="G43" s="4"/>
      <c r="H43" s="33">
        <v>1</v>
      </c>
      <c r="I43" s="2" t="str" cm="1">
        <f t="array" ref="I43:I46">_xlfn.SORTBY(I37:I40,J37:J40,-1,M37:M40,-1,K37:K40,-1)</f>
        <v>Schweiz</v>
      </c>
      <c r="J43" s="1" cm="1">
        <f t="array" ref="J43:J46">_xlfn.SORTBY(J37:J40,J37:J40,-1,M37:M40,-1,K37:K40,-1)</f>
        <v>7</v>
      </c>
      <c r="K43" s="1" cm="1">
        <f t="array" ref="K43:K46">_xlfn.SORTBY(K37:K40,J37:J40,-1,M37:M40,-1,K37:K40,-1)</f>
        <v>5</v>
      </c>
      <c r="L43" s="1" cm="1">
        <f t="array" ref="L43:L46">_xlfn.SORTBY(L37:L40,J37:J40,-1,M37:M40,-1,K37:K40,-1)</f>
        <v>1</v>
      </c>
      <c r="M43" s="1" cm="1">
        <f t="array" ref="M43:M46">_xlfn.SORTBY(M37:M40,J37:J40,-1,M37:M40,-1,K37:K40,-1)</f>
        <v>4</v>
      </c>
      <c r="N43" s="4"/>
      <c r="O43" s="33">
        <v>1</v>
      </c>
      <c r="P43" s="2" t="str" cm="1">
        <f t="array" ref="P43:P46">_xlfn.SORTBY(P37:P40,Q37:Q40,-1,T37:T40,-1,R37:R40,-1)</f>
        <v>Brasilien</v>
      </c>
      <c r="Q43" s="1" cm="1">
        <f t="array" ref="Q43:Q46">_xlfn.SORTBY(Q37:Q40,Q37:Q40,-1,T37:T40,-1,R37:R40,-1)</f>
        <v>7</v>
      </c>
      <c r="R43" s="1" cm="1">
        <f t="array" ref="R43:R46">_xlfn.SORTBY(R37:R40,Q37:Q40,-1,T37:T40,-1,R37:R40,-1)</f>
        <v>6</v>
      </c>
      <c r="S43" s="1" cm="1">
        <f t="array" ref="S43:S46">_xlfn.SORTBY(S37:S40,Q37:Q40,-1,T37:T40,-1,R37:R40,-1)</f>
        <v>1</v>
      </c>
      <c r="T43" s="1" cm="1">
        <f t="array" ref="T43:T46">_xlfn.SORTBY(T37:T40,Q37:Q40,-1,T37:T40,-1,R37:R40,-1)</f>
        <v>5</v>
      </c>
      <c r="U43" s="4"/>
      <c r="V43" s="33">
        <v>1</v>
      </c>
      <c r="W43" s="2" t="str" cm="1">
        <f t="array" ref="W43:W46">_xlfn.SORTBY(W37:W40,X37:X40,-1,AA37:AA40,-1,Y37:Y40,-1)</f>
        <v>USA</v>
      </c>
      <c r="X43" s="1" cm="1">
        <f t="array" ref="X43:X46">_xlfn.SORTBY(X37:X40,X37:X40,-1,AA37:AA40,-1,Y37:Y40,-1)</f>
        <v>5</v>
      </c>
      <c r="Y43" s="1" cm="1">
        <f t="array" ref="Y43:Y46">_xlfn.SORTBY(Y37:Y40,X37:X40,-1,AA37:AA40,-1,Y37:Y40,-1)</f>
        <v>3</v>
      </c>
      <c r="Z43" s="1" cm="1">
        <f t="array" ref="Z43:Z46">_xlfn.SORTBY(Z37:Z40,X37:X40,-1,AA37:AA40,-1,Y37:Y40,-1)</f>
        <v>2</v>
      </c>
      <c r="AA43" s="1" cm="1">
        <f t="array" ref="AA43:AA46">_xlfn.SORTBY(AA37:AA40,X37:X40,-1,AA37:AA40,-1,Y37:Y40,-1)</f>
        <v>1</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5</v>
      </c>
      <c r="AN43" s="1" cm="1">
        <f t="array" ref="AN43:AN46">_xlfn.SORTBY(AN37:AN40,AL37:AL40,-1,AO37:AO40,-1,AM37:AM40,-1)</f>
        <v>2</v>
      </c>
      <c r="AO43" s="1" cm="1">
        <f t="array" ref="AO43:AO46">_xlfn.SORTBY(AO37:AO40,AL37:AL40,-1,AO37:AO40,-1,AM37:AM40,-1)</f>
        <v>3</v>
      </c>
      <c r="AP43" s="4"/>
    </row>
    <row r="44" spans="1:42" x14ac:dyDescent="0.45">
      <c r="A44" s="33">
        <v>2</v>
      </c>
      <c r="B44" s="2" t="str">
        <v>Südkorea</v>
      </c>
      <c r="C44" s="1">
        <v>5</v>
      </c>
      <c r="D44" s="1">
        <v>3</v>
      </c>
      <c r="E44" s="1">
        <v>2</v>
      </c>
      <c r="F44" s="1">
        <v>1</v>
      </c>
      <c r="G44" s="4"/>
      <c r="H44" s="33">
        <v>2</v>
      </c>
      <c r="I44" s="2" t="str">
        <v>Kanada</v>
      </c>
      <c r="J44" s="1">
        <v>7</v>
      </c>
      <c r="K44" s="1">
        <v>3</v>
      </c>
      <c r="L44" s="1">
        <v>1</v>
      </c>
      <c r="M44" s="1">
        <v>2</v>
      </c>
      <c r="N44" s="4"/>
      <c r="O44" s="33">
        <v>2</v>
      </c>
      <c r="P44" s="2" t="str">
        <v>Marokko</v>
      </c>
      <c r="Q44" s="1">
        <v>5</v>
      </c>
      <c r="R44" s="1">
        <v>4</v>
      </c>
      <c r="S44" s="1">
        <v>2</v>
      </c>
      <c r="T44" s="1">
        <v>2</v>
      </c>
      <c r="U44" s="4"/>
      <c r="V44" s="33">
        <v>2</v>
      </c>
      <c r="W44" s="2" t="str">
        <v>Türkei</v>
      </c>
      <c r="X44" s="1">
        <v>5</v>
      </c>
      <c r="Y44" s="1">
        <v>3</v>
      </c>
      <c r="Z44" s="1">
        <v>2</v>
      </c>
      <c r="AA44" s="1">
        <v>1</v>
      </c>
      <c r="AB44" s="4"/>
      <c r="AC44" s="33">
        <v>2</v>
      </c>
      <c r="AD44" s="2" t="str">
        <v>Ecuador</v>
      </c>
      <c r="AE44" s="1">
        <v>6</v>
      </c>
      <c r="AF44" s="1">
        <v>3</v>
      </c>
      <c r="AG44" s="1">
        <v>1</v>
      </c>
      <c r="AH44" s="1">
        <v>2</v>
      </c>
      <c r="AI44" s="4"/>
      <c r="AJ44" s="33">
        <v>2</v>
      </c>
      <c r="AK44" s="2" t="str">
        <v>Japan</v>
      </c>
      <c r="AL44" s="1">
        <v>7</v>
      </c>
      <c r="AM44" s="1">
        <v>5</v>
      </c>
      <c r="AN44" s="1">
        <v>2</v>
      </c>
      <c r="AO44" s="1">
        <v>3</v>
      </c>
      <c r="AP44" s="4"/>
    </row>
    <row r="45" spans="1:42" x14ac:dyDescent="0.45">
      <c r="A45" s="34">
        <v>3</v>
      </c>
      <c r="B45" s="2" t="str">
        <v>Tschechien</v>
      </c>
      <c r="C45" s="1">
        <v>5</v>
      </c>
      <c r="D45" s="1">
        <v>3</v>
      </c>
      <c r="E45" s="1">
        <v>2</v>
      </c>
      <c r="F45" s="1">
        <v>1</v>
      </c>
      <c r="G45" s="4"/>
      <c r="H45" s="34">
        <v>3</v>
      </c>
      <c r="I45" s="2" t="str">
        <v>Bosnien-Herz.</v>
      </c>
      <c r="J45" s="1">
        <v>1</v>
      </c>
      <c r="K45" s="1">
        <v>1</v>
      </c>
      <c r="L45" s="1">
        <v>4</v>
      </c>
      <c r="M45" s="1">
        <v>-3</v>
      </c>
      <c r="N45" s="4"/>
      <c r="O45" s="34">
        <v>3</v>
      </c>
      <c r="P45" s="2" t="str">
        <v>Schottland</v>
      </c>
      <c r="Q45" s="1">
        <v>4</v>
      </c>
      <c r="R45" s="1">
        <v>3</v>
      </c>
      <c r="S45" s="1">
        <v>4</v>
      </c>
      <c r="T45" s="1">
        <v>-1</v>
      </c>
      <c r="U45" s="4"/>
      <c r="V45" s="34">
        <v>3</v>
      </c>
      <c r="W45" s="2" t="str">
        <v>Australien</v>
      </c>
      <c r="X45" s="1">
        <v>3</v>
      </c>
      <c r="Y45" s="1">
        <v>3</v>
      </c>
      <c r="Z45" s="1">
        <v>3</v>
      </c>
      <c r="AA45" s="1">
        <v>0</v>
      </c>
      <c r="AB45" s="4"/>
      <c r="AC45" s="34">
        <v>3</v>
      </c>
      <c r="AD45" s="2" t="str">
        <v>Elfenbeinküste</v>
      </c>
      <c r="AE45" s="1">
        <v>3</v>
      </c>
      <c r="AF45" s="1">
        <v>2</v>
      </c>
      <c r="AG45" s="1">
        <v>3</v>
      </c>
      <c r="AH45" s="1">
        <v>-1</v>
      </c>
      <c r="AI45" s="4"/>
      <c r="AJ45" s="34">
        <v>3</v>
      </c>
      <c r="AK45" s="2" t="str">
        <v>Schweden</v>
      </c>
      <c r="AL45" s="1">
        <v>1</v>
      </c>
      <c r="AM45" s="1">
        <v>3</v>
      </c>
      <c r="AN45" s="1">
        <v>5</v>
      </c>
      <c r="AO45" s="1">
        <v>-2</v>
      </c>
      <c r="AP45" s="4"/>
    </row>
    <row r="46" spans="1:42" x14ac:dyDescent="0.45">
      <c r="A46" s="32">
        <v>4</v>
      </c>
      <c r="B46" s="2" t="str">
        <v>Südafrika</v>
      </c>
      <c r="C46" s="1">
        <v>0</v>
      </c>
      <c r="D46" s="1">
        <v>0</v>
      </c>
      <c r="E46" s="1">
        <v>3</v>
      </c>
      <c r="F46" s="1">
        <v>-3</v>
      </c>
      <c r="G46" s="4"/>
      <c r="H46" s="32">
        <v>4</v>
      </c>
      <c r="I46" s="2" t="str">
        <v>Katar</v>
      </c>
      <c r="J46" s="1">
        <v>1</v>
      </c>
      <c r="K46" s="1">
        <v>1</v>
      </c>
      <c r="L46" s="1">
        <v>4</v>
      </c>
      <c r="M46" s="1">
        <v>-3</v>
      </c>
      <c r="N46" s="4"/>
      <c r="O46" s="32">
        <v>4</v>
      </c>
      <c r="P46" s="2" t="str">
        <v>Haiti</v>
      </c>
      <c r="Q46" s="1">
        <v>0</v>
      </c>
      <c r="R46" s="1">
        <v>1</v>
      </c>
      <c r="S46" s="1">
        <v>7</v>
      </c>
      <c r="T46" s="1">
        <v>-6</v>
      </c>
      <c r="U46" s="4"/>
      <c r="V46" s="32">
        <v>4</v>
      </c>
      <c r="W46" s="2" t="str">
        <v>Paraguay</v>
      </c>
      <c r="X46" s="1">
        <v>1</v>
      </c>
      <c r="Y46" s="1">
        <v>1</v>
      </c>
      <c r="Z46" s="1">
        <v>3</v>
      </c>
      <c r="AA46" s="1">
        <v>-2</v>
      </c>
      <c r="AB46" s="4"/>
      <c r="AC46" s="32">
        <v>4</v>
      </c>
      <c r="AD46" s="2" t="str">
        <v>Curacao</v>
      </c>
      <c r="AE46" s="1">
        <v>0</v>
      </c>
      <c r="AF46" s="1">
        <v>0</v>
      </c>
      <c r="AG46" s="1">
        <v>6</v>
      </c>
      <c r="AH46" s="1">
        <v>-6</v>
      </c>
      <c r="AI46" s="4"/>
      <c r="AJ46" s="32">
        <v>4</v>
      </c>
      <c r="AK46" s="2" t="str">
        <v>Tunesien</v>
      </c>
      <c r="AL46" s="1">
        <v>1</v>
      </c>
      <c r="AM46" s="1">
        <v>1</v>
      </c>
      <c r="AN46" s="1">
        <v>5</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3</v>
      </c>
      <c r="J52" s="38">
        <v>0</v>
      </c>
      <c r="K52" s="4"/>
      <c r="L52" s="4"/>
      <c r="M52" s="4"/>
      <c r="N52" s="4"/>
      <c r="O52" s="4"/>
      <c r="P52" s="38">
        <v>2</v>
      </c>
      <c r="Q52" s="38">
        <v>0</v>
      </c>
      <c r="R52" s="4"/>
      <c r="S52" s="4"/>
      <c r="T52" s="4"/>
      <c r="U52" s="4"/>
      <c r="V52" s="4"/>
      <c r="W52" s="38">
        <v>2</v>
      </c>
      <c r="X52" s="38">
        <v>0</v>
      </c>
      <c r="Y52" s="4"/>
      <c r="Z52" s="4"/>
      <c r="AA52" s="4"/>
      <c r="AB52" s="4"/>
      <c r="AC52" s="4"/>
      <c r="AD52" s="38">
        <v>2</v>
      </c>
      <c r="AE52" s="38">
        <v>0</v>
      </c>
      <c r="AF52" s="4"/>
      <c r="AG52" s="4"/>
      <c r="AH52" s="4"/>
      <c r="AI52" s="4"/>
      <c r="AJ52" s="4"/>
      <c r="AK52" s="38">
        <v>1</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Unentschieden</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0</v>
      </c>
      <c r="D57" s="4"/>
      <c r="E57" s="4"/>
      <c r="F57" s="4"/>
      <c r="G57" s="4"/>
      <c r="H57" s="4"/>
      <c r="I57" s="38">
        <v>0</v>
      </c>
      <c r="J57" s="38">
        <v>1</v>
      </c>
      <c r="K57" s="4"/>
      <c r="L57" s="4"/>
      <c r="M57" s="4"/>
      <c r="N57" s="4"/>
      <c r="O57" s="4"/>
      <c r="P57" s="38">
        <v>0</v>
      </c>
      <c r="Q57" s="38">
        <v>1</v>
      </c>
      <c r="R57" s="4"/>
      <c r="S57" s="4"/>
      <c r="T57" s="4"/>
      <c r="U57" s="4"/>
      <c r="V57" s="4"/>
      <c r="W57" s="38">
        <v>2</v>
      </c>
      <c r="X57" s="38">
        <v>0</v>
      </c>
      <c r="Y57" s="4"/>
      <c r="Z57" s="4"/>
      <c r="AA57" s="4"/>
      <c r="AB57" s="4"/>
      <c r="AC57" s="4"/>
      <c r="AD57" s="38">
        <v>0</v>
      </c>
      <c r="AE57" s="38">
        <v>2</v>
      </c>
      <c r="AF57" s="4"/>
      <c r="AG57" s="4"/>
      <c r="AH57" s="4"/>
      <c r="AI57" s="4"/>
      <c r="AJ57" s="4"/>
      <c r="AK57" s="38">
        <v>1</v>
      </c>
      <c r="AL57" s="38">
        <v>1</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Unentschieden</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2</v>
      </c>
      <c r="J63" s="38">
        <v>0</v>
      </c>
      <c r="K63" s="4"/>
      <c r="L63" s="4"/>
      <c r="M63" s="4"/>
      <c r="N63" s="4"/>
      <c r="O63" s="4"/>
      <c r="P63" s="38">
        <v>2</v>
      </c>
      <c r="Q63" s="38">
        <v>0</v>
      </c>
      <c r="R63" s="4"/>
      <c r="S63" s="4"/>
      <c r="T63" s="4"/>
      <c r="U63" s="4"/>
      <c r="V63" s="4"/>
      <c r="W63" s="38">
        <v>1</v>
      </c>
      <c r="X63" s="38">
        <v>0</v>
      </c>
      <c r="Y63" s="4"/>
      <c r="Z63" s="4"/>
      <c r="AA63" s="4"/>
      <c r="AB63" s="4"/>
      <c r="AC63" s="4"/>
      <c r="AD63" s="38">
        <v>3</v>
      </c>
      <c r="AE63" s="38">
        <v>0</v>
      </c>
      <c r="AF63" s="4"/>
      <c r="AG63" s="4"/>
      <c r="AH63" s="4"/>
      <c r="AI63" s="4"/>
      <c r="AJ63" s="4"/>
      <c r="AK63" s="38">
        <v>3</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1</v>
      </c>
      <c r="D68" s="4"/>
      <c r="E68" s="4"/>
      <c r="F68" s="4"/>
      <c r="G68" s="4"/>
      <c r="H68" s="4"/>
      <c r="I68" s="38">
        <v>1</v>
      </c>
      <c r="J68" s="38">
        <v>0</v>
      </c>
      <c r="K68" s="4"/>
      <c r="L68" s="4"/>
      <c r="M68" s="4"/>
      <c r="N68" s="4"/>
      <c r="O68" s="4"/>
      <c r="P68" s="38">
        <v>1</v>
      </c>
      <c r="Q68" s="38">
        <v>1</v>
      </c>
      <c r="R68" s="4"/>
      <c r="S68" s="4"/>
      <c r="T68" s="4"/>
      <c r="U68" s="4"/>
      <c r="V68" s="4"/>
      <c r="W68" s="38">
        <v>1</v>
      </c>
      <c r="X68" s="38">
        <v>2</v>
      </c>
      <c r="Y68" s="4"/>
      <c r="Z68" s="4"/>
      <c r="AA68" s="4"/>
      <c r="AB68" s="4"/>
      <c r="AC68" s="4"/>
      <c r="AD68" s="38">
        <v>2</v>
      </c>
      <c r="AE68" s="38">
        <v>0</v>
      </c>
      <c r="AF68" s="4"/>
      <c r="AG68" s="4"/>
      <c r="AH68" s="4"/>
      <c r="AI68" s="4"/>
      <c r="AJ68" s="4"/>
      <c r="AK68" s="38">
        <v>0</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3</v>
      </c>
      <c r="D74" s="4"/>
      <c r="E74" s="4"/>
      <c r="F74" s="4"/>
      <c r="G74" s="4"/>
      <c r="H74" s="4"/>
      <c r="I74" s="38">
        <v>0</v>
      </c>
      <c r="J74" s="38">
        <v>1</v>
      </c>
      <c r="K74" s="4"/>
      <c r="L74" s="4"/>
      <c r="M74" s="4"/>
      <c r="N74" s="4"/>
      <c r="O74" s="4"/>
      <c r="P74" s="38">
        <v>1</v>
      </c>
      <c r="Q74" s="38">
        <v>2</v>
      </c>
      <c r="R74" s="4"/>
      <c r="S74" s="4"/>
      <c r="T74" s="4"/>
      <c r="U74" s="4"/>
      <c r="V74" s="4"/>
      <c r="W74" s="38">
        <v>0</v>
      </c>
      <c r="X74" s="38">
        <v>3</v>
      </c>
      <c r="Y74" s="4"/>
      <c r="Z74" s="4"/>
      <c r="AA74" s="4"/>
      <c r="AB74" s="4"/>
      <c r="AC74" s="4"/>
      <c r="AD74" s="38">
        <v>1</v>
      </c>
      <c r="AE74" s="38">
        <v>2</v>
      </c>
      <c r="AF74" s="4"/>
      <c r="AG74" s="4"/>
      <c r="AH74" s="4"/>
      <c r="AI74" s="4"/>
      <c r="AJ74" s="4"/>
      <c r="AK74" s="38">
        <v>0</v>
      </c>
      <c r="AL74" s="38">
        <v>2</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2</v>
      </c>
      <c r="D79" s="4"/>
      <c r="E79" s="4"/>
      <c r="F79" s="4"/>
      <c r="G79" s="4"/>
      <c r="H79" s="4"/>
      <c r="I79" s="38">
        <v>0</v>
      </c>
      <c r="J79" s="38">
        <v>1</v>
      </c>
      <c r="K79" s="4"/>
      <c r="L79" s="4"/>
      <c r="M79" s="4"/>
      <c r="N79" s="4"/>
      <c r="O79" s="4"/>
      <c r="P79" s="38">
        <v>1</v>
      </c>
      <c r="Q79" s="38">
        <v>0</v>
      </c>
      <c r="R79" s="4"/>
      <c r="S79" s="4"/>
      <c r="T79" s="4"/>
      <c r="U79" s="4"/>
      <c r="V79" s="4"/>
      <c r="W79" s="38">
        <v>1</v>
      </c>
      <c r="X79" s="38">
        <v>1</v>
      </c>
      <c r="Y79" s="4"/>
      <c r="Z79" s="4"/>
      <c r="AA79" s="4"/>
      <c r="AB79" s="4"/>
      <c r="AC79" s="4"/>
      <c r="AD79" s="38">
        <v>0</v>
      </c>
      <c r="AE79" s="38">
        <v>1</v>
      </c>
      <c r="AF79" s="4"/>
      <c r="AG79" s="4"/>
      <c r="AH79" s="4"/>
      <c r="AI79" s="4"/>
      <c r="AJ79" s="4"/>
      <c r="AK79" s="38">
        <v>2</v>
      </c>
      <c r="AL79" s="38">
        <v>0</v>
      </c>
      <c r="AM79" s="4"/>
      <c r="AN79" s="4"/>
      <c r="AO79" s="4"/>
      <c r="AP79" s="4"/>
    </row>
    <row r="80" spans="1:42" ht="17.399999999999999" customHeight="1" x14ac:dyDescent="0.45">
      <c r="A80" s="4"/>
      <c r="B80" s="80" t="str">
        <f>IF(B79=C79,"Unentschieden",IF(B79&gt;C79,B78,C78))</f>
        <v>Iran</v>
      </c>
      <c r="C80" s="80"/>
      <c r="D80" s="4"/>
      <c r="E80" s="4"/>
      <c r="F80" s="4"/>
      <c r="G80" s="4"/>
      <c r="H80" s="4"/>
      <c r="I80" s="80" t="str">
        <f>IF(I79=J79,"Unentschieden",IF(I79&gt;J79,I78,J78))</f>
        <v>Saudi-Arabien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Usbekistan</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0</v>
      </c>
      <c r="AE81" s="1">
        <f>IF(AE79=AD79,1,IF(AE79&gt;AD79,3,0))</f>
        <v>3</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7</v>
      </c>
      <c r="E84" s="1">
        <f>C52+C63+B74</f>
        <v>1</v>
      </c>
      <c r="F84" s="1">
        <f>D84-E84</f>
        <v>6</v>
      </c>
      <c r="G84" s="4"/>
      <c r="H84" s="37"/>
      <c r="I84" s="2" t="s">
        <v>65</v>
      </c>
      <c r="J84" s="1">
        <f>I54+I65+J76</f>
        <v>9</v>
      </c>
      <c r="K84" s="1">
        <f>I52+I63+J74</f>
        <v>6</v>
      </c>
      <c r="L84" s="1">
        <f>J52+J63+I74</f>
        <v>0</v>
      </c>
      <c r="M84" s="1">
        <f>K84-L84</f>
        <v>6</v>
      </c>
      <c r="N84" s="4"/>
      <c r="O84" s="13"/>
      <c r="P84" s="2" t="s">
        <v>67</v>
      </c>
      <c r="Q84" s="1">
        <f>P54+P65+Q76</f>
        <v>9</v>
      </c>
      <c r="R84" s="1">
        <f>P52+P63+Q74</f>
        <v>6</v>
      </c>
      <c r="S84" s="1">
        <f>Q52+Q63+P74</f>
        <v>1</v>
      </c>
      <c r="T84" s="1">
        <f>R84-S84</f>
        <v>5</v>
      </c>
      <c r="U84" s="4"/>
      <c r="V84" s="13"/>
      <c r="W84" s="2" t="s">
        <v>69</v>
      </c>
      <c r="X84" s="1">
        <f>W54+W65+X76</f>
        <v>9</v>
      </c>
      <c r="Y84" s="1">
        <f>W52+W63+X74</f>
        <v>6</v>
      </c>
      <c r="Z84" s="1">
        <f>X52+X63+W74</f>
        <v>0</v>
      </c>
      <c r="AA84" s="1">
        <f>Y84-Z84</f>
        <v>6</v>
      </c>
      <c r="AB84" s="4"/>
      <c r="AC84" s="13"/>
      <c r="AD84" s="2" t="s">
        <v>71</v>
      </c>
      <c r="AE84" s="1">
        <f>AD54+AD65+AE76</f>
        <v>9</v>
      </c>
      <c r="AF84" s="1">
        <f>AD52+AD63+AE74</f>
        <v>7</v>
      </c>
      <c r="AG84" s="1">
        <f>AE52+AE63+AD74</f>
        <v>1</v>
      </c>
      <c r="AH84" s="1">
        <f>AF84-AG84</f>
        <v>6</v>
      </c>
      <c r="AI84" s="4"/>
      <c r="AJ84" s="4"/>
      <c r="AK84" s="2" t="s">
        <v>73</v>
      </c>
      <c r="AL84" s="1">
        <f>AK54+AK65+AL76</f>
        <v>7</v>
      </c>
      <c r="AM84" s="1">
        <f>AK52+AK63+AL74</f>
        <v>6</v>
      </c>
      <c r="AN84" s="1">
        <f>AL52+AL63+AK74</f>
        <v>1</v>
      </c>
      <c r="AO84" s="1">
        <f>AM84-AN84</f>
        <v>5</v>
      </c>
      <c r="AP84" s="4"/>
    </row>
    <row r="85" spans="1:42" ht="17.399999999999999" customHeight="1" x14ac:dyDescent="0.45">
      <c r="A85" s="37"/>
      <c r="B85" s="2" t="s">
        <v>64</v>
      </c>
      <c r="C85" s="1">
        <f>C54+C70+B81</f>
        <v>3</v>
      </c>
      <c r="D85" s="1">
        <f>C52+C68+B79</f>
        <v>2</v>
      </c>
      <c r="E85" s="1">
        <f>B52+B68+C79</f>
        <v>4</v>
      </c>
      <c r="F85" s="1">
        <f t="shared" ref="F85:F87" si="6">D85-E85</f>
        <v>-2</v>
      </c>
      <c r="G85" s="4"/>
      <c r="H85" s="37"/>
      <c r="I85" s="2" t="s">
        <v>66</v>
      </c>
      <c r="J85" s="1">
        <f>J54+J70+I81</f>
        <v>0</v>
      </c>
      <c r="K85" s="1">
        <f>J52+J68+I79</f>
        <v>0</v>
      </c>
      <c r="L85" s="1">
        <f>I52+I68+J79</f>
        <v>5</v>
      </c>
      <c r="M85" s="1">
        <f t="shared" ref="M85:M87" si="7">K85-L85</f>
        <v>-5</v>
      </c>
      <c r="N85" s="4"/>
      <c r="O85" s="13"/>
      <c r="P85" s="2" t="s">
        <v>68</v>
      </c>
      <c r="Q85" s="1">
        <f>Q54+Q70+P81</f>
        <v>4</v>
      </c>
      <c r="R85" s="1">
        <f>Q52+Q68+P79</f>
        <v>2</v>
      </c>
      <c r="S85" s="1">
        <f>P52+P68+Q79</f>
        <v>3</v>
      </c>
      <c r="T85" s="1">
        <f t="shared" ref="T85:T87" si="8">R85-S85</f>
        <v>-1</v>
      </c>
      <c r="U85" s="4"/>
      <c r="V85" s="13"/>
      <c r="W85" s="2" t="s">
        <v>70</v>
      </c>
      <c r="X85" s="1">
        <f>X54+X70+W81</f>
        <v>4</v>
      </c>
      <c r="Y85" s="1">
        <f>X52+X68+W79</f>
        <v>3</v>
      </c>
      <c r="Z85" s="1">
        <f>W52+W68+X79</f>
        <v>4</v>
      </c>
      <c r="AA85" s="1">
        <f t="shared" ref="AA85:AA87" si="9">Y85-Z85</f>
        <v>-1</v>
      </c>
      <c r="AB85" s="4"/>
      <c r="AC85" s="13"/>
      <c r="AD85" s="2" t="s">
        <v>72</v>
      </c>
      <c r="AE85" s="1">
        <f>AE54+AE70+AD81</f>
        <v>0</v>
      </c>
      <c r="AF85" s="1">
        <f>AE52+AE68+AD79</f>
        <v>0</v>
      </c>
      <c r="AG85" s="1">
        <f>AD52+AD68+AE79</f>
        <v>5</v>
      </c>
      <c r="AH85" s="1">
        <f t="shared" ref="AH85:AH87" si="10">AF85-AG85</f>
        <v>-5</v>
      </c>
      <c r="AI85" s="4"/>
      <c r="AJ85" s="4"/>
      <c r="AK85" s="2" t="s">
        <v>74</v>
      </c>
      <c r="AL85" s="1">
        <f>AL54+AL70+AK81</f>
        <v>7</v>
      </c>
      <c r="AM85" s="1">
        <f>AL52+AL68+AK79</f>
        <v>5</v>
      </c>
      <c r="AN85" s="1">
        <f>AK52+AK68+AL79</f>
        <v>1</v>
      </c>
      <c r="AO85" s="1">
        <f t="shared" ref="AO85:AO87" si="11">AM85-AN85</f>
        <v>4</v>
      </c>
      <c r="AP85" s="4"/>
    </row>
    <row r="86" spans="1:42" ht="17.399999999999999" customHeight="1" x14ac:dyDescent="0.45">
      <c r="A86" s="36"/>
      <c r="B86" s="2" t="s">
        <v>75</v>
      </c>
      <c r="C86" s="1">
        <f>B59+C65+C81</f>
        <v>6</v>
      </c>
      <c r="D86" s="1">
        <f>B57+C63+C79</f>
        <v>5</v>
      </c>
      <c r="E86" s="1">
        <f>C57+B63+B79</f>
        <v>3</v>
      </c>
      <c r="F86" s="1">
        <f t="shared" si="6"/>
        <v>2</v>
      </c>
      <c r="G86" s="4"/>
      <c r="H86" s="36"/>
      <c r="I86" s="2" t="s">
        <v>77</v>
      </c>
      <c r="J86" s="1">
        <f>I59+J65+J81</f>
        <v>3</v>
      </c>
      <c r="K86" s="1">
        <f>I57+J63+J79</f>
        <v>1</v>
      </c>
      <c r="L86" s="1">
        <f>J57+I63+I79</f>
        <v>3</v>
      </c>
      <c r="M86" s="1">
        <f t="shared" si="7"/>
        <v>-2</v>
      </c>
      <c r="N86" s="4"/>
      <c r="O86" s="13"/>
      <c r="P86" s="2" t="s">
        <v>79</v>
      </c>
      <c r="Q86" s="1">
        <f>P59+Q65+Q81</f>
        <v>0</v>
      </c>
      <c r="R86" s="1">
        <f>P57+Q63+Q79</f>
        <v>0</v>
      </c>
      <c r="S86" s="1">
        <f>Q57+P63+P79</f>
        <v>4</v>
      </c>
      <c r="T86" s="1">
        <f t="shared" si="8"/>
        <v>-4</v>
      </c>
      <c r="U86" s="4"/>
      <c r="V86" s="13"/>
      <c r="W86" s="2" t="s">
        <v>81</v>
      </c>
      <c r="X86" s="1">
        <f>W59+X65+X81</f>
        <v>4</v>
      </c>
      <c r="Y86" s="1">
        <f>W57+X63+X79</f>
        <v>3</v>
      </c>
      <c r="Z86" s="1">
        <f>X57+W63+W79</f>
        <v>2</v>
      </c>
      <c r="AA86" s="1">
        <f t="shared" si="9"/>
        <v>1</v>
      </c>
      <c r="AB86" s="4"/>
      <c r="AC86" s="13"/>
      <c r="AD86" s="2" t="s">
        <v>83</v>
      </c>
      <c r="AE86" s="1">
        <f>AD59+AE65+AE81</f>
        <v>3</v>
      </c>
      <c r="AF86" s="1">
        <f>AD57+AE63+AE79</f>
        <v>1</v>
      </c>
      <c r="AG86" s="1">
        <f>AE57+AD63+AD79</f>
        <v>5</v>
      </c>
      <c r="AH86" s="1">
        <f t="shared" si="10"/>
        <v>-4</v>
      </c>
      <c r="AI86" s="4"/>
      <c r="AJ86" s="4"/>
      <c r="AK86" s="2" t="s">
        <v>85</v>
      </c>
      <c r="AL86" s="1">
        <f>AK59+AL65+AL81</f>
        <v>1</v>
      </c>
      <c r="AM86" s="1">
        <f>AK57+AL63+AL79</f>
        <v>1</v>
      </c>
      <c r="AN86" s="1">
        <f>AL57+AK63+AK79</f>
        <v>6</v>
      </c>
      <c r="AO86" s="1">
        <f t="shared" si="11"/>
        <v>-5</v>
      </c>
      <c r="AP86" s="4"/>
    </row>
    <row r="87" spans="1:42" x14ac:dyDescent="0.45">
      <c r="A87" s="35"/>
      <c r="B87" s="2" t="s">
        <v>76</v>
      </c>
      <c r="C87" s="1">
        <f>C59+B70+B76</f>
        <v>0</v>
      </c>
      <c r="D87" s="1">
        <f>C57+B68+B74</f>
        <v>0</v>
      </c>
      <c r="E87" s="1">
        <f>B57+C68+C74</f>
        <v>6</v>
      </c>
      <c r="F87" s="1">
        <f t="shared" si="6"/>
        <v>-6</v>
      </c>
      <c r="G87" s="4"/>
      <c r="H87" s="35"/>
      <c r="I87" s="2" t="s">
        <v>78</v>
      </c>
      <c r="J87" s="1">
        <f>J59+I70+I76</f>
        <v>6</v>
      </c>
      <c r="K87" s="1">
        <f>J57+I68+I74</f>
        <v>2</v>
      </c>
      <c r="L87" s="1">
        <f>I57+J68+J74</f>
        <v>1</v>
      </c>
      <c r="M87" s="1">
        <f t="shared" si="7"/>
        <v>1</v>
      </c>
      <c r="N87" s="4"/>
      <c r="O87" s="13"/>
      <c r="P87" s="2" t="s">
        <v>80</v>
      </c>
      <c r="Q87" s="1">
        <f>Q59+P70+P76</f>
        <v>4</v>
      </c>
      <c r="R87" s="1">
        <f>Q57+P68+P74</f>
        <v>3</v>
      </c>
      <c r="S87" s="1">
        <f>P57+Q68+Q74</f>
        <v>3</v>
      </c>
      <c r="T87" s="1">
        <f t="shared" si="8"/>
        <v>0</v>
      </c>
      <c r="U87" s="4"/>
      <c r="V87" s="13"/>
      <c r="W87" s="2" t="s">
        <v>82</v>
      </c>
      <c r="X87" s="1">
        <f>X59+W70+W76</f>
        <v>0</v>
      </c>
      <c r="Y87" s="1">
        <f>X57+W68+W74</f>
        <v>1</v>
      </c>
      <c r="Z87" s="1">
        <f>W57+X68+X74</f>
        <v>7</v>
      </c>
      <c r="AA87" s="1">
        <f t="shared" si="9"/>
        <v>-6</v>
      </c>
      <c r="AB87" s="4"/>
      <c r="AC87" s="13"/>
      <c r="AD87" s="2" t="s">
        <v>84</v>
      </c>
      <c r="AE87" s="1">
        <f>AE59+AD70+AD76</f>
        <v>6</v>
      </c>
      <c r="AF87" s="1">
        <f>AE57+AD68+AD74</f>
        <v>5</v>
      </c>
      <c r="AG87" s="1">
        <f>AD57+AE68+AE74</f>
        <v>2</v>
      </c>
      <c r="AH87" s="1">
        <f t="shared" si="10"/>
        <v>3</v>
      </c>
      <c r="AI87" s="4"/>
      <c r="AJ87" s="4"/>
      <c r="AK87" s="2" t="s">
        <v>86</v>
      </c>
      <c r="AL87" s="1">
        <f>AL59+AK70+AK76</f>
        <v>1</v>
      </c>
      <c r="AM87" s="1">
        <f>AL57+AK68+AK74</f>
        <v>1</v>
      </c>
      <c r="AN87" s="1">
        <f>AK57+AL68+AL74</f>
        <v>5</v>
      </c>
      <c r="AO87" s="1">
        <f t="shared" si="11"/>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7</v>
      </c>
      <c r="E90" s="1" cm="1">
        <f t="array" ref="E90:E93">_xlfn.SORTBY(E84:E87,C84:C87,-1,F84:F87,-1,D84:D87,-1)</f>
        <v>1</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6</v>
      </c>
      <c r="L90" s="1" cm="1">
        <f t="array" ref="L90:L93">_xlfn.SORTBY(L84:L87,J84:J87,-1,M84:M87,-1,K84:K87,-1)</f>
        <v>0</v>
      </c>
      <c r="M90" s="1" cm="1">
        <f t="array" ref="M90:M93">_xlfn.SORTBY(M84:M87,J84:J87,-1,M84:M87,-1,K84:K87,-1)</f>
        <v>6</v>
      </c>
      <c r="N90" s="4"/>
      <c r="O90" s="33">
        <v>1</v>
      </c>
      <c r="P90" s="2" t="str" cm="1">
        <f t="array" ref="P90:P93">_xlfn.SORTBY(P84:P87,Q84:Q87,-1,T84:T87,-1,R84:R87,-1)</f>
        <v>Frankreich</v>
      </c>
      <c r="Q90" s="1" cm="1">
        <f t="array" ref="Q90:Q93">_xlfn.SORTBY(Q84:Q87,Q84:Q87,-1,T84:T87,-1,R84:R87,-1)</f>
        <v>9</v>
      </c>
      <c r="R90" s="1" cm="1">
        <f t="array" ref="R90:R93">_xlfn.SORTBY(R84:R87,Q84:Q87,-1,T84:T87,-1,R84:R87,-1)</f>
        <v>6</v>
      </c>
      <c r="S90" s="1" cm="1">
        <f t="array" ref="S90:S93">_xlfn.SORTBY(S84:S87,Q84:Q87,-1,T84:T87,-1,R84:R87,-1)</f>
        <v>1</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6</v>
      </c>
      <c r="Z90" s="1" cm="1">
        <f t="array" ref="Z90:Z93">_xlfn.SORTBY(Z84:Z87,X84:X87,-1,AA84:AA87,-1,Y84:Y87,-1)</f>
        <v>0</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7</v>
      </c>
      <c r="AG90" s="1" cm="1">
        <f t="array" ref="AG90:AG93">_xlfn.SORTBY(AG84:AG87,AE84:AE87,-1,AH84:AH87,-1,AF84:AF87,-1)</f>
        <v>1</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6</v>
      </c>
      <c r="AN90" s="1" cm="1">
        <f t="array" ref="AN90:AN93">_xlfn.SORTBY(AN84:AN87,AL84:AL87,-1,AO84:AO87,-1,AM84:AM87,-1)</f>
        <v>1</v>
      </c>
      <c r="AO90" s="1" cm="1">
        <f t="array" ref="AO90:AO93">_xlfn.SORTBY(AO84:AO87,AL84:AL87,-1,AO84:AO87,-1,AM84:AM87,-1)</f>
        <v>5</v>
      </c>
      <c r="AP90" s="4"/>
    </row>
    <row r="91" spans="1:42" x14ac:dyDescent="0.45">
      <c r="A91" s="33">
        <v>2</v>
      </c>
      <c r="B91" s="2" t="str">
        <v>Iran</v>
      </c>
      <c r="C91" s="1">
        <v>6</v>
      </c>
      <c r="D91" s="1">
        <v>5</v>
      </c>
      <c r="E91" s="1">
        <v>3</v>
      </c>
      <c r="F91" s="1">
        <v>2</v>
      </c>
      <c r="G91" s="4"/>
      <c r="H91" s="33">
        <v>2</v>
      </c>
      <c r="I91" s="2" t="str">
        <v>Uruguay</v>
      </c>
      <c r="J91" s="1">
        <v>6</v>
      </c>
      <c r="K91" s="1">
        <v>2</v>
      </c>
      <c r="L91" s="1">
        <v>1</v>
      </c>
      <c r="M91" s="1">
        <v>1</v>
      </c>
      <c r="N91" s="4"/>
      <c r="O91" s="33">
        <v>2</v>
      </c>
      <c r="P91" s="2" t="str">
        <v>Norwegen</v>
      </c>
      <c r="Q91" s="1">
        <v>4</v>
      </c>
      <c r="R91" s="1">
        <v>3</v>
      </c>
      <c r="S91" s="1">
        <v>3</v>
      </c>
      <c r="T91" s="1">
        <v>0</v>
      </c>
      <c r="U91" s="4"/>
      <c r="V91" s="33">
        <v>2</v>
      </c>
      <c r="W91" s="2" t="str">
        <v>Österreich</v>
      </c>
      <c r="X91" s="1">
        <v>4</v>
      </c>
      <c r="Y91" s="1">
        <v>3</v>
      </c>
      <c r="Z91" s="1">
        <v>2</v>
      </c>
      <c r="AA91" s="1">
        <v>1</v>
      </c>
      <c r="AB91" s="4"/>
      <c r="AC91" s="33">
        <v>2</v>
      </c>
      <c r="AD91" s="2" t="str">
        <v>Kolumbien</v>
      </c>
      <c r="AE91" s="1">
        <v>6</v>
      </c>
      <c r="AF91" s="1">
        <v>5</v>
      </c>
      <c r="AG91" s="1">
        <v>2</v>
      </c>
      <c r="AH91" s="1">
        <v>3</v>
      </c>
      <c r="AI91" s="4"/>
      <c r="AJ91" s="33">
        <v>2</v>
      </c>
      <c r="AK91" s="2" t="str">
        <v>Kroatien</v>
      </c>
      <c r="AL91" s="1">
        <v>7</v>
      </c>
      <c r="AM91" s="1">
        <v>5</v>
      </c>
      <c r="AN91" s="1">
        <v>1</v>
      </c>
      <c r="AO91" s="1">
        <v>4</v>
      </c>
      <c r="AP91" s="4"/>
    </row>
    <row r="92" spans="1:42" x14ac:dyDescent="0.45">
      <c r="A92" s="34">
        <v>3</v>
      </c>
      <c r="B92" s="2" t="str">
        <v>Ägypten</v>
      </c>
      <c r="C92" s="1">
        <v>3</v>
      </c>
      <c r="D92" s="1">
        <v>2</v>
      </c>
      <c r="E92" s="1">
        <v>4</v>
      </c>
      <c r="F92" s="1">
        <v>-2</v>
      </c>
      <c r="G92" s="4"/>
      <c r="H92" s="34">
        <v>3</v>
      </c>
      <c r="I92" s="2" t="str">
        <v>Saudi-Arabien</v>
      </c>
      <c r="J92" s="1">
        <v>3</v>
      </c>
      <c r="K92" s="1">
        <v>1</v>
      </c>
      <c r="L92" s="1">
        <v>3</v>
      </c>
      <c r="M92" s="1">
        <v>-2</v>
      </c>
      <c r="N92" s="4"/>
      <c r="O92" s="34">
        <v>3</v>
      </c>
      <c r="P92" s="2" t="str">
        <v>Senegal</v>
      </c>
      <c r="Q92" s="1">
        <v>4</v>
      </c>
      <c r="R92" s="1">
        <v>2</v>
      </c>
      <c r="S92" s="1">
        <v>3</v>
      </c>
      <c r="T92" s="1">
        <v>-1</v>
      </c>
      <c r="U92" s="4"/>
      <c r="V92" s="34">
        <v>3</v>
      </c>
      <c r="W92" s="2" t="str">
        <v>Algerien</v>
      </c>
      <c r="X92" s="1">
        <v>4</v>
      </c>
      <c r="Y92" s="1">
        <v>3</v>
      </c>
      <c r="Z92" s="1">
        <v>4</v>
      </c>
      <c r="AA92" s="1">
        <v>-1</v>
      </c>
      <c r="AB92" s="4"/>
      <c r="AC92" s="34">
        <v>3</v>
      </c>
      <c r="AD92" s="2" t="str">
        <v>Usbekistan</v>
      </c>
      <c r="AE92" s="1">
        <v>3</v>
      </c>
      <c r="AF92" s="1">
        <v>1</v>
      </c>
      <c r="AG92" s="1">
        <v>5</v>
      </c>
      <c r="AH92" s="1">
        <v>-4</v>
      </c>
      <c r="AI92" s="4"/>
      <c r="AJ92" s="34">
        <v>3</v>
      </c>
      <c r="AK92" s="2" t="str">
        <v>Panama</v>
      </c>
      <c r="AL92" s="1">
        <v>1</v>
      </c>
      <c r="AM92" s="1">
        <v>1</v>
      </c>
      <c r="AN92" s="1">
        <v>5</v>
      </c>
      <c r="AO92" s="1">
        <v>-4</v>
      </c>
      <c r="AP92" s="4"/>
    </row>
    <row r="93" spans="1:42" x14ac:dyDescent="0.45">
      <c r="A93" s="32">
        <v>4</v>
      </c>
      <c r="B93" s="2" t="str">
        <v>Neuseeland</v>
      </c>
      <c r="C93" s="1">
        <v>0</v>
      </c>
      <c r="D93" s="1">
        <v>0</v>
      </c>
      <c r="E93" s="1">
        <v>6</v>
      </c>
      <c r="F93" s="1">
        <v>-6</v>
      </c>
      <c r="G93" s="4"/>
      <c r="H93" s="32">
        <v>4</v>
      </c>
      <c r="I93" s="2" t="str">
        <v>Kap Verde</v>
      </c>
      <c r="J93" s="1">
        <v>0</v>
      </c>
      <c r="K93" s="1">
        <v>0</v>
      </c>
      <c r="L93" s="1">
        <v>5</v>
      </c>
      <c r="M93" s="1">
        <v>-5</v>
      </c>
      <c r="N93" s="4"/>
      <c r="O93" s="32">
        <v>4</v>
      </c>
      <c r="P93" s="2" t="str">
        <v>Irak</v>
      </c>
      <c r="Q93" s="1">
        <v>0</v>
      </c>
      <c r="R93" s="1">
        <v>0</v>
      </c>
      <c r="S93" s="1">
        <v>4</v>
      </c>
      <c r="T93" s="1">
        <v>-4</v>
      </c>
      <c r="U93" s="4"/>
      <c r="V93" s="32">
        <v>4</v>
      </c>
      <c r="W93" s="2" t="str">
        <v>Jordanien</v>
      </c>
      <c r="X93" s="1">
        <v>0</v>
      </c>
      <c r="Y93" s="1">
        <v>1</v>
      </c>
      <c r="Z93" s="1">
        <v>7</v>
      </c>
      <c r="AA93" s="1">
        <v>-6</v>
      </c>
      <c r="AB93" s="4"/>
      <c r="AC93" s="32">
        <v>4</v>
      </c>
      <c r="AD93" s="2" t="str">
        <v>DR Kongo</v>
      </c>
      <c r="AE93" s="1">
        <v>0</v>
      </c>
      <c r="AF93" s="1">
        <v>0</v>
      </c>
      <c r="AG93" s="1">
        <v>5</v>
      </c>
      <c r="AH93" s="1">
        <v>-5</v>
      </c>
      <c r="AI93" s="4"/>
      <c r="AJ93" s="32">
        <v>4</v>
      </c>
      <c r="AK93" s="2" t="str">
        <v>Ghana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Ägypten</v>
      </c>
      <c r="S98" s="82"/>
      <c r="T98" s="82"/>
      <c r="U98" s="2">
        <f>C92</f>
        <v>3</v>
      </c>
      <c r="V98" s="2">
        <f>D92</f>
        <v>2</v>
      </c>
      <c r="W98" s="2">
        <f>E92</f>
        <v>4</v>
      </c>
      <c r="X98" s="2">
        <f>F92</f>
        <v>-2</v>
      </c>
    </row>
    <row r="99" spans="17:24" x14ac:dyDescent="0.45">
      <c r="Q99"/>
      <c r="R99" s="82" t="str">
        <f>I92</f>
        <v>Saudi-Arabien</v>
      </c>
      <c r="S99" s="82"/>
      <c r="T99" s="82"/>
      <c r="U99" s="2">
        <f>J92</f>
        <v>3</v>
      </c>
      <c r="V99" s="2">
        <f>K92</f>
        <v>1</v>
      </c>
      <c r="W99" s="2">
        <f>L92</f>
        <v>3</v>
      </c>
      <c r="X99" s="2">
        <f>M92</f>
        <v>-2</v>
      </c>
    </row>
    <row r="100" spans="17:24" x14ac:dyDescent="0.45">
      <c r="Q100"/>
      <c r="R100" s="82" t="str">
        <f>P92</f>
        <v>Senegal</v>
      </c>
      <c r="S100" s="82"/>
      <c r="T100" s="82"/>
      <c r="U100" s="2">
        <f>Q92</f>
        <v>4</v>
      </c>
      <c r="V100" s="2">
        <f>R92</f>
        <v>2</v>
      </c>
      <c r="W100" s="2">
        <f>S92</f>
        <v>3</v>
      </c>
      <c r="X100" s="2">
        <f>T92</f>
        <v>-1</v>
      </c>
    </row>
    <row r="101" spans="17:24" x14ac:dyDescent="0.45">
      <c r="Q101"/>
      <c r="R101" s="82" t="str">
        <f>W92</f>
        <v>Algerien</v>
      </c>
      <c r="S101" s="82"/>
      <c r="T101" s="82"/>
      <c r="U101" s="2">
        <f>X92</f>
        <v>4</v>
      </c>
      <c r="V101" s="2">
        <f>Y92</f>
        <v>3</v>
      </c>
      <c r="W101" s="2">
        <f>Z92</f>
        <v>4</v>
      </c>
      <c r="X101" s="2">
        <f>AA92</f>
        <v>-1</v>
      </c>
    </row>
    <row r="102" spans="17:24" x14ac:dyDescent="0.45">
      <c r="Q102"/>
      <c r="R102" s="82" t="str">
        <f>AD92</f>
        <v>Usbekistan</v>
      </c>
      <c r="S102" s="82"/>
      <c r="T102" s="82"/>
      <c r="U102" s="2">
        <f>AE92</f>
        <v>3</v>
      </c>
      <c r="V102" s="2">
        <f>AF92</f>
        <v>1</v>
      </c>
      <c r="W102" s="2">
        <f>AG92</f>
        <v>5</v>
      </c>
      <c r="X102" s="2">
        <f t="shared" ref="X102" si="12">AH92</f>
        <v>-4</v>
      </c>
    </row>
    <row r="103" spans="17:24" x14ac:dyDescent="0.45">
      <c r="Q103"/>
      <c r="R103" s="82" t="str">
        <f>AK92</f>
        <v>Panama</v>
      </c>
      <c r="S103" s="82"/>
      <c r="T103" s="82"/>
      <c r="U103" s="2">
        <f>AL92</f>
        <v>1</v>
      </c>
      <c r="V103" s="2">
        <f t="shared" ref="V103:X103" si="13">AM92</f>
        <v>1</v>
      </c>
      <c r="W103" s="2">
        <f t="shared" si="13"/>
        <v>5</v>
      </c>
      <c r="X103" s="2">
        <f t="shared" si="13"/>
        <v>-4</v>
      </c>
    </row>
    <row r="104" spans="17:24" x14ac:dyDescent="0.45">
      <c r="R104" s="82" t="str">
        <f>B45</f>
        <v>Tschechien</v>
      </c>
      <c r="S104" s="82"/>
      <c r="T104" s="82"/>
      <c r="U104" s="2">
        <f>C45</f>
        <v>5</v>
      </c>
      <c r="V104" s="2">
        <f t="shared" ref="V104:X104" si="14">D45</f>
        <v>3</v>
      </c>
      <c r="W104" s="2">
        <f t="shared" si="14"/>
        <v>2</v>
      </c>
      <c r="X104" s="2">
        <f t="shared" si="14"/>
        <v>1</v>
      </c>
    </row>
    <row r="105" spans="17:24" x14ac:dyDescent="0.45">
      <c r="R105" s="82" t="str">
        <f>I45</f>
        <v>Bosnien-Herz.</v>
      </c>
      <c r="S105" s="82"/>
      <c r="T105" s="82"/>
      <c r="U105" s="2">
        <f>J45</f>
        <v>1</v>
      </c>
      <c r="V105" s="2">
        <f t="shared" ref="V105:X105" si="15">K45</f>
        <v>1</v>
      </c>
      <c r="W105" s="2">
        <f t="shared" si="15"/>
        <v>4</v>
      </c>
      <c r="X105" s="2">
        <f t="shared" si="15"/>
        <v>-3</v>
      </c>
    </row>
    <row r="106" spans="17:24" x14ac:dyDescent="0.45">
      <c r="R106" s="82" t="str">
        <f>P45</f>
        <v>Schottland</v>
      </c>
      <c r="S106" s="82"/>
      <c r="T106" s="82"/>
      <c r="U106" s="2">
        <f>Q45</f>
        <v>4</v>
      </c>
      <c r="V106" s="2">
        <f t="shared" ref="V106:X106" si="16">R45</f>
        <v>3</v>
      </c>
      <c r="W106" s="2">
        <f t="shared" si="16"/>
        <v>4</v>
      </c>
      <c r="X106" s="2">
        <f t="shared" si="16"/>
        <v>-1</v>
      </c>
    </row>
    <row r="107" spans="17:24" x14ac:dyDescent="0.45">
      <c r="R107" s="82" t="str">
        <f>W45</f>
        <v>Australien</v>
      </c>
      <c r="S107" s="82"/>
      <c r="T107" s="82"/>
      <c r="U107" s="2">
        <f>X45</f>
        <v>3</v>
      </c>
      <c r="V107" s="2">
        <f t="shared" ref="V107:W107" si="17">Y45</f>
        <v>3</v>
      </c>
      <c r="W107" s="2">
        <f t="shared" si="17"/>
        <v>3</v>
      </c>
      <c r="X107" s="2">
        <f>AA45</f>
        <v>0</v>
      </c>
    </row>
    <row r="108" spans="17:24" x14ac:dyDescent="0.45">
      <c r="R108" s="82" t="str">
        <f>AD45</f>
        <v>Elfenbeinküste</v>
      </c>
      <c r="S108" s="82"/>
      <c r="T108" s="82"/>
      <c r="U108" s="2">
        <f>AE45</f>
        <v>3</v>
      </c>
      <c r="V108" s="2">
        <f t="shared" ref="V108:X108" si="18">AF45</f>
        <v>2</v>
      </c>
      <c r="W108" s="2">
        <f t="shared" si="18"/>
        <v>3</v>
      </c>
      <c r="X108" s="2">
        <f t="shared" si="18"/>
        <v>-1</v>
      </c>
    </row>
    <row r="109" spans="17:24" x14ac:dyDescent="0.45">
      <c r="R109" s="82" t="str">
        <f>AK45</f>
        <v>Schweden</v>
      </c>
      <c r="S109" s="82"/>
      <c r="T109" s="82"/>
      <c r="U109" s="2">
        <f>AL45</f>
        <v>1</v>
      </c>
      <c r="V109" s="2">
        <f t="shared" ref="V109:W109" si="19">AM45</f>
        <v>3</v>
      </c>
      <c r="W109" s="2">
        <f t="shared" si="19"/>
        <v>5</v>
      </c>
      <c r="X109" s="2">
        <f>AO45</f>
        <v>-2</v>
      </c>
    </row>
    <row r="112" spans="17:24" x14ac:dyDescent="0.45">
      <c r="Q112" s="33">
        <v>1</v>
      </c>
      <c r="R112" s="2" t="str" cm="1">
        <f t="array" ref="R112:R123">_xlfn.SORTBY(R98:R109,U98:U109,-1,X98:X109,-1,V98:V109,-1)</f>
        <v>Tschechien</v>
      </c>
      <c r="U112" s="2" cm="1">
        <f t="array" ref="U112:U123">_xlfn.SORTBY(U98:U109,U98:U109,-1,X98:X109,-1,V98:V109,-1)</f>
        <v>5</v>
      </c>
      <c r="V112" s="2" cm="1">
        <f t="array" ref="V112:V123">_xlfn.SORTBY(V98:V109,U98:U109,-1,X98:X109,-1,V98:V109,-1)</f>
        <v>3</v>
      </c>
      <c r="W112" s="2" cm="1">
        <f t="array" ref="W112:W123">_xlfn.SORTBY(W98:W109,U98:U109,-1,X98:X109,-1,V98:V109,-1)</f>
        <v>2</v>
      </c>
      <c r="X112" s="2" cm="1">
        <f t="array" ref="X112:X123">_xlfn.SORTBY(X98:X109,U98:U109,-1,X98:X109,-1,V98:V109,-1)</f>
        <v>1</v>
      </c>
    </row>
    <row r="113" spans="17:24" x14ac:dyDescent="0.45">
      <c r="Q113" s="33">
        <v>2</v>
      </c>
      <c r="R113" s="2" t="str">
        <v>Algerien</v>
      </c>
      <c r="U113" s="2">
        <v>4</v>
      </c>
      <c r="V113" s="2">
        <v>3</v>
      </c>
      <c r="W113" s="2">
        <v>4</v>
      </c>
      <c r="X113" s="2">
        <v>-1</v>
      </c>
    </row>
    <row r="114" spans="17:24" x14ac:dyDescent="0.45">
      <c r="Q114" s="33">
        <v>3</v>
      </c>
      <c r="R114" s="2" t="str">
        <v>Schottland</v>
      </c>
      <c r="U114" s="2">
        <v>4</v>
      </c>
      <c r="V114" s="2">
        <v>3</v>
      </c>
      <c r="W114" s="2">
        <v>4</v>
      </c>
      <c r="X114" s="2">
        <v>-1</v>
      </c>
    </row>
    <row r="115" spans="17:24" x14ac:dyDescent="0.45">
      <c r="Q115" s="33">
        <v>4</v>
      </c>
      <c r="R115" s="2" t="str">
        <v>Senegal</v>
      </c>
      <c r="U115" s="2">
        <v>4</v>
      </c>
      <c r="V115" s="2">
        <v>2</v>
      </c>
      <c r="W115" s="2">
        <v>3</v>
      </c>
      <c r="X115" s="2">
        <v>-1</v>
      </c>
    </row>
    <row r="116" spans="17:24" x14ac:dyDescent="0.45">
      <c r="Q116" s="33">
        <v>5</v>
      </c>
      <c r="R116" s="2" t="str">
        <v>Australien</v>
      </c>
      <c r="U116" s="2">
        <v>3</v>
      </c>
      <c r="V116" s="2">
        <v>3</v>
      </c>
      <c r="W116" s="2">
        <v>3</v>
      </c>
      <c r="X116" s="2">
        <v>0</v>
      </c>
    </row>
    <row r="117" spans="17:24" x14ac:dyDescent="0.45">
      <c r="Q117" s="33">
        <v>6</v>
      </c>
      <c r="R117" s="2" t="str">
        <v>Elfenbeinküste</v>
      </c>
      <c r="U117" s="2">
        <v>3</v>
      </c>
      <c r="V117" s="2">
        <v>2</v>
      </c>
      <c r="W117" s="2">
        <v>3</v>
      </c>
      <c r="X117" s="2">
        <v>-1</v>
      </c>
    </row>
    <row r="118" spans="17:24" x14ac:dyDescent="0.45">
      <c r="Q118" s="33">
        <v>7</v>
      </c>
      <c r="R118" s="2" t="str">
        <v>Ägypten</v>
      </c>
      <c r="U118" s="2">
        <v>3</v>
      </c>
      <c r="V118" s="2">
        <v>2</v>
      </c>
      <c r="W118" s="2">
        <v>4</v>
      </c>
      <c r="X118" s="2">
        <v>-2</v>
      </c>
    </row>
    <row r="119" spans="17:24" x14ac:dyDescent="0.45">
      <c r="Q119" s="33">
        <v>8</v>
      </c>
      <c r="R119" s="2" t="str">
        <v>Saudi-Arabien</v>
      </c>
      <c r="U119" s="2">
        <v>3</v>
      </c>
      <c r="V119" s="2">
        <v>1</v>
      </c>
      <c r="W119" s="2">
        <v>3</v>
      </c>
      <c r="X119" s="2">
        <v>-2</v>
      </c>
    </row>
    <row r="120" spans="17:24" x14ac:dyDescent="0.45">
      <c r="Q120" s="32">
        <v>9</v>
      </c>
      <c r="R120" s="2" t="str">
        <v>Usbekistan</v>
      </c>
      <c r="U120" s="2">
        <v>3</v>
      </c>
      <c r="V120" s="2">
        <v>1</v>
      </c>
      <c r="W120" s="2">
        <v>5</v>
      </c>
      <c r="X120" s="2">
        <v>-4</v>
      </c>
    </row>
    <row r="121" spans="17:24" x14ac:dyDescent="0.45">
      <c r="Q121" s="32">
        <v>10</v>
      </c>
      <c r="R121" s="2" t="str">
        <v>Schweden</v>
      </c>
      <c r="U121" s="2">
        <v>1</v>
      </c>
      <c r="V121" s="2">
        <v>3</v>
      </c>
      <c r="W121" s="2">
        <v>5</v>
      </c>
      <c r="X121" s="2">
        <v>-2</v>
      </c>
    </row>
    <row r="122" spans="17:24" x14ac:dyDescent="0.45">
      <c r="Q122" s="32">
        <v>11</v>
      </c>
      <c r="R122" s="2" t="str">
        <v>Bosnien-Herz.</v>
      </c>
      <c r="U122" s="2">
        <v>1</v>
      </c>
      <c r="V122" s="2">
        <v>1</v>
      </c>
      <c r="W122" s="2">
        <v>4</v>
      </c>
      <c r="X122" s="2">
        <v>-3</v>
      </c>
    </row>
    <row r="123" spans="17:24" x14ac:dyDescent="0.45">
      <c r="Q123" s="32">
        <v>12</v>
      </c>
      <c r="R123" s="2" t="str">
        <v>Panama</v>
      </c>
      <c r="U123" s="2">
        <v>1</v>
      </c>
      <c r="V123" s="2">
        <v>1</v>
      </c>
      <c r="W123" s="2">
        <v>5</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190</v>
      </c>
    </row>
    <row r="155" spans="1:23" x14ac:dyDescent="0.45">
      <c r="A155" s="23" t="s">
        <v>103</v>
      </c>
      <c r="B155" s="24">
        <f>SUM(H160:H231)</f>
        <v>216</v>
      </c>
    </row>
    <row r="156" spans="1:23" x14ac:dyDescent="0.45">
      <c r="A156" s="23" t="s">
        <v>104</v>
      </c>
      <c r="B156" s="24">
        <f>SUM(E234:E265)</f>
        <v>125</v>
      </c>
    </row>
    <row r="157" spans="1:23" x14ac:dyDescent="0.45">
      <c r="A157" s="25" t="s">
        <v>105</v>
      </c>
      <c r="B157" s="26">
        <f>B154+B155+B156</f>
        <v>531</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0</v>
      </c>
      <c r="H163" s="28">
        <f>IF(OR(B21="",Realität!B21=""),0,MAX(0,5-ABS(B21-Realität!B21)-ABS(C21-Realität!C21)))</f>
        <v>4</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0</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5</v>
      </c>
      <c r="H172" s="28">
        <f>IF(OR(P5="",Realität!P5=""),0,MAX(0,5-ABS(P5-Realität!P5)-ABS(Q5-Realität!Q5)))</f>
        <v>5</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3</v>
      </c>
    </row>
    <row r="174" spans="1:8" x14ac:dyDescent="0.45">
      <c r="A174" s="28">
        <v>15</v>
      </c>
      <c r="B174" s="29" t="s">
        <v>155</v>
      </c>
      <c r="C174" s="30" t="s">
        <v>156</v>
      </c>
      <c r="D174" s="30" t="s">
        <v>157</v>
      </c>
      <c r="E174" s="28">
        <f>Realität!P16</f>
        <v>0</v>
      </c>
      <c r="F174" s="28">
        <f>Realität!Q16</f>
        <v>1</v>
      </c>
      <c r="G174" s="28">
        <f>IF(OR(P16="",Realität!P16=""),0,IF(SIGN(P16-Q16)=SIGN(Realität!P16-Realität!Q16),5,0))</f>
        <v>0</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1</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3</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3</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2</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2</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2</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4</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3</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5</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4</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3</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1</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3</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1</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2</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0</v>
      </c>
      <c r="H226" s="28">
        <f>IF(OR(AK52="",Realität!AK52=""),0,MAX(0,5-ABS(AK52-Realität!AK52)-ABS(AL52-Realität!AL52)))</f>
        <v>1</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2</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4</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190</v>
      </c>
      <c r="H232" s="24">
        <f>SUM(H160:H231)</f>
        <v>216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Australien</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Ecuador</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0</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Norwegen</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Österreich</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Tschechien</v>
      </c>
      <c r="E258" s="28">
        <f t="shared" si="20"/>
        <v>0</v>
      </c>
    </row>
    <row r="259" spans="1:5" x14ac:dyDescent="0.45">
      <c r="A259" s="28">
        <v>26</v>
      </c>
      <c r="B259" s="29" t="s">
        <v>359</v>
      </c>
      <c r="C259" s="29" t="str">
        <f>Realität!R113</f>
        <v>Schweden</v>
      </c>
      <c r="D259" s="29" t="str">
        <f t="shared" si="21"/>
        <v>Algerien</v>
      </c>
      <c r="E259" s="28">
        <f t="shared" si="20"/>
        <v>5</v>
      </c>
    </row>
    <row r="260" spans="1:5" x14ac:dyDescent="0.45">
      <c r="A260" s="28">
        <v>27</v>
      </c>
      <c r="B260" s="29" t="s">
        <v>360</v>
      </c>
      <c r="C260" s="29" t="str">
        <f>Realität!R114</f>
        <v>Ghana</v>
      </c>
      <c r="D260" s="29" t="str">
        <f t="shared" si="21"/>
        <v>Schottland</v>
      </c>
      <c r="E260" s="28">
        <f t="shared" si="20"/>
        <v>0</v>
      </c>
    </row>
    <row r="261" spans="1:5" x14ac:dyDescent="0.45">
      <c r="A261" s="28">
        <v>28</v>
      </c>
      <c r="B261" s="29" t="s">
        <v>361</v>
      </c>
      <c r="C261" s="29" t="str">
        <f>Realität!R115</f>
        <v>Ecuador</v>
      </c>
      <c r="D261" s="29" t="str">
        <f t="shared" si="21"/>
        <v>Senegal</v>
      </c>
      <c r="E261" s="28">
        <f t="shared" si="20"/>
        <v>5</v>
      </c>
    </row>
    <row r="262" spans="1:5" x14ac:dyDescent="0.45">
      <c r="A262" s="28">
        <v>29</v>
      </c>
      <c r="B262" s="29" t="s">
        <v>362</v>
      </c>
      <c r="C262" s="29" t="str">
        <f>Realität!R116</f>
        <v>Bosnien-Herz.</v>
      </c>
      <c r="D262" s="29" t="str">
        <f t="shared" si="21"/>
        <v>Australien</v>
      </c>
      <c r="E262" s="28">
        <f t="shared" si="20"/>
        <v>5</v>
      </c>
    </row>
    <row r="263" spans="1:5" x14ac:dyDescent="0.45">
      <c r="A263" s="28">
        <v>30</v>
      </c>
      <c r="B263" s="29" t="s">
        <v>363</v>
      </c>
      <c r="C263" s="29" t="str">
        <f>Realität!R117</f>
        <v>Algerien</v>
      </c>
      <c r="D263" s="29" t="str">
        <f t="shared" si="21"/>
        <v>Elfenbeinküste</v>
      </c>
      <c r="E263" s="28">
        <f t="shared" si="20"/>
        <v>5</v>
      </c>
    </row>
    <row r="264" spans="1:5" x14ac:dyDescent="0.45">
      <c r="A264" s="28">
        <v>31</v>
      </c>
      <c r="B264" s="29" t="s">
        <v>364</v>
      </c>
      <c r="C264" s="29" t="str">
        <f>Realität!R118</f>
        <v>Paraguay</v>
      </c>
      <c r="D264" s="29" t="str">
        <f t="shared" si="21"/>
        <v>Ägypten</v>
      </c>
      <c r="E264" s="28">
        <f t="shared" si="20"/>
        <v>5</v>
      </c>
    </row>
    <row r="265" spans="1:5" x14ac:dyDescent="0.45">
      <c r="A265" s="28">
        <v>32</v>
      </c>
      <c r="B265" s="29" t="s">
        <v>365</v>
      </c>
      <c r="C265" s="29" t="str">
        <f>Realität!R119</f>
        <v>Senegal</v>
      </c>
      <c r="D265" s="29" t="str">
        <f t="shared" si="21"/>
        <v>Saudi-Arabien</v>
      </c>
      <c r="E265" s="28">
        <f t="shared" si="20"/>
        <v>0</v>
      </c>
    </row>
    <row r="266" spans="1:5" x14ac:dyDescent="0.45">
      <c r="D266" s="23" t="s">
        <v>330</v>
      </c>
      <c r="E266" s="24">
        <f>SUM(E234:E265)</f>
        <v>125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6818-A15F-4D67-B77E-CD3E3DAFA39D}">
  <dimension ref="A1:AP266"/>
  <sheetViews>
    <sheetView tabSelected="1" topLeftCell="A150" zoomScaleNormal="121" workbookViewId="0">
      <selection activeCell="G169" sqref="G169"/>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3</v>
      </c>
      <c r="D5" s="4"/>
      <c r="E5" s="4"/>
      <c r="F5" s="4"/>
      <c r="G5" s="4"/>
      <c r="H5" s="4"/>
      <c r="I5" s="38">
        <v>0</v>
      </c>
      <c r="J5" s="38">
        <v>2</v>
      </c>
      <c r="K5" s="4"/>
      <c r="L5" s="4"/>
      <c r="M5" s="4"/>
      <c r="N5" s="4"/>
      <c r="O5" s="4"/>
      <c r="P5" s="38">
        <v>3</v>
      </c>
      <c r="Q5" s="38">
        <v>2</v>
      </c>
      <c r="R5" s="4"/>
      <c r="S5" s="4"/>
      <c r="T5" s="4"/>
      <c r="U5" s="4"/>
      <c r="V5" s="4"/>
      <c r="W5" s="38">
        <v>0</v>
      </c>
      <c r="X5" s="38">
        <v>2</v>
      </c>
      <c r="Y5" s="4"/>
      <c r="Z5" s="4"/>
      <c r="AA5" s="4"/>
      <c r="AB5" s="4"/>
      <c r="AC5" s="4"/>
      <c r="AD5" s="38">
        <v>5</v>
      </c>
      <c r="AE5" s="38">
        <v>0</v>
      </c>
      <c r="AF5" s="4"/>
      <c r="AG5" s="4"/>
      <c r="AH5" s="4"/>
      <c r="AI5" s="4"/>
      <c r="AJ5" s="4"/>
      <c r="AK5" s="38">
        <v>3</v>
      </c>
      <c r="AL5" s="38">
        <v>0</v>
      </c>
      <c r="AM5" s="4"/>
      <c r="AN5" s="4"/>
      <c r="AO5" s="4"/>
      <c r="AP5" s="4"/>
    </row>
    <row r="6" spans="1:42" x14ac:dyDescent="0.45">
      <c r="A6" s="4"/>
      <c r="B6" s="80" t="str">
        <f>IF(B5=C5,"Unentschieden",IF(B5&gt;C5,B4,C4))</f>
        <v>Südafrika</v>
      </c>
      <c r="C6" s="80"/>
      <c r="D6" s="4"/>
      <c r="E6" s="4"/>
      <c r="F6" s="4"/>
      <c r="G6" s="4"/>
      <c r="H6" s="4"/>
      <c r="I6" s="80" t="str">
        <f>IF(I5=J5,"Unentschieden",IF(I5&gt;J5,I4,J4))</f>
        <v>Bosnien-Herz.</v>
      </c>
      <c r="J6" s="80"/>
      <c r="K6" s="4"/>
      <c r="L6" s="4"/>
      <c r="M6" s="4"/>
      <c r="N6" s="4"/>
      <c r="O6" s="4"/>
      <c r="P6" s="80" t="str">
        <f>IF(P5=Q5,"Unentschieden",IF(P5&gt;Q5,P4,Q4))</f>
        <v>Brasilien</v>
      </c>
      <c r="Q6" s="80"/>
      <c r="R6" s="4"/>
      <c r="S6" s="4"/>
      <c r="T6" s="4"/>
      <c r="U6" s="4"/>
      <c r="V6" s="4"/>
      <c r="W6" s="80" t="str">
        <f>IF(W5=X5,"Unentschieden",IF(W5&gt;X5,W4,X4))</f>
        <v>Paraguay</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0</v>
      </c>
      <c r="C7" s="1">
        <f>IF(C5=B5,1,IF(C5&gt;B5,3,0))</f>
        <v>3</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2</v>
      </c>
      <c r="D10" s="4"/>
      <c r="E10" s="4"/>
      <c r="F10" s="4"/>
      <c r="G10" s="4"/>
      <c r="H10" s="4"/>
      <c r="I10" s="38">
        <v>0</v>
      </c>
      <c r="J10" s="38">
        <v>4</v>
      </c>
      <c r="K10" s="4"/>
      <c r="L10" s="4"/>
      <c r="M10" s="4"/>
      <c r="N10" s="4"/>
      <c r="O10" s="4"/>
      <c r="P10" s="38">
        <v>0</v>
      </c>
      <c r="Q10" s="38">
        <v>2</v>
      </c>
      <c r="R10" s="4"/>
      <c r="S10" s="4"/>
      <c r="T10" s="4"/>
      <c r="U10" s="4"/>
      <c r="V10" s="4"/>
      <c r="W10" s="38">
        <v>0</v>
      </c>
      <c r="X10" s="38">
        <v>3</v>
      </c>
      <c r="Y10" s="4"/>
      <c r="Z10" s="4"/>
      <c r="AA10" s="4"/>
      <c r="AB10" s="4"/>
      <c r="AC10" s="4"/>
      <c r="AD10" s="38">
        <v>3</v>
      </c>
      <c r="AE10" s="38">
        <v>1</v>
      </c>
      <c r="AF10" s="4"/>
      <c r="AG10" s="4"/>
      <c r="AH10" s="4"/>
      <c r="AI10" s="4"/>
      <c r="AJ10" s="4"/>
      <c r="AK10" s="38">
        <v>3</v>
      </c>
      <c r="AL10" s="38">
        <v>1</v>
      </c>
      <c r="AM10" s="4"/>
      <c r="AN10" s="4"/>
      <c r="AO10" s="4"/>
      <c r="AP10" s="4"/>
    </row>
    <row r="11" spans="1:42" x14ac:dyDescent="0.45">
      <c r="A11" s="4"/>
      <c r="B11" s="80" t="str">
        <f>IF(B10=C10,"Unentschieden",IF(B10&gt;C10,B9,C9))</f>
        <v>Tschechien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2</v>
      </c>
      <c r="D16" s="4"/>
      <c r="E16" s="4"/>
      <c r="F16" s="4"/>
      <c r="G16" s="4"/>
      <c r="H16" s="4"/>
      <c r="I16" s="38">
        <v>2</v>
      </c>
      <c r="J16" s="38">
        <v>1</v>
      </c>
      <c r="K16" s="4"/>
      <c r="L16" s="4"/>
      <c r="M16" s="4"/>
      <c r="N16" s="4"/>
      <c r="O16" s="4"/>
      <c r="P16" s="38">
        <v>1</v>
      </c>
      <c r="Q16" s="38">
        <v>2</v>
      </c>
      <c r="R16" s="4"/>
      <c r="S16" s="4"/>
      <c r="T16" s="4"/>
      <c r="U16" s="4"/>
      <c r="V16" s="4"/>
      <c r="W16" s="38">
        <v>2</v>
      </c>
      <c r="X16" s="38">
        <v>1</v>
      </c>
      <c r="Y16" s="4"/>
      <c r="Z16" s="4"/>
      <c r="AA16" s="4"/>
      <c r="AB16" s="4"/>
      <c r="AC16" s="4"/>
      <c r="AD16" s="38">
        <v>2</v>
      </c>
      <c r="AE16" s="38">
        <v>1</v>
      </c>
      <c r="AF16" s="4"/>
      <c r="AG16" s="4"/>
      <c r="AH16" s="4"/>
      <c r="AI16" s="4"/>
      <c r="AJ16" s="4"/>
      <c r="AK16" s="38">
        <v>0</v>
      </c>
      <c r="AL16" s="38">
        <v>2</v>
      </c>
      <c r="AM16" s="4"/>
      <c r="AN16" s="4"/>
      <c r="AO16" s="4"/>
      <c r="AP16" s="4"/>
    </row>
    <row r="17" spans="1:42" x14ac:dyDescent="0.45">
      <c r="A17" s="4"/>
      <c r="B17" s="80" t="str">
        <f>IF(B16=C16,"Unentschieden",IF(B16&gt;C16,B15,C15))</f>
        <v>Südafrika</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0</v>
      </c>
      <c r="C18" s="1">
        <f>IF(C16=B16,1,IF(C16&gt;B16,3,0))</f>
        <v>3</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0</v>
      </c>
      <c r="D21" s="4"/>
      <c r="E21" s="4"/>
      <c r="F21" s="4"/>
      <c r="G21" s="4"/>
      <c r="H21" s="4"/>
      <c r="I21" s="38">
        <v>1</v>
      </c>
      <c r="J21" s="38">
        <v>0</v>
      </c>
      <c r="K21" s="4"/>
      <c r="L21" s="4"/>
      <c r="M21" s="4"/>
      <c r="N21" s="4"/>
      <c r="O21" s="4"/>
      <c r="P21" s="38">
        <v>3</v>
      </c>
      <c r="Q21" s="38">
        <v>0</v>
      </c>
      <c r="R21" s="4"/>
      <c r="S21" s="4"/>
      <c r="T21" s="4"/>
      <c r="U21" s="4"/>
      <c r="V21" s="4"/>
      <c r="W21" s="38">
        <v>0</v>
      </c>
      <c r="X21" s="38">
        <v>2</v>
      </c>
      <c r="Y21" s="4"/>
      <c r="Z21" s="4"/>
      <c r="AA21" s="4"/>
      <c r="AB21" s="4"/>
      <c r="AC21" s="4"/>
      <c r="AD21" s="38">
        <v>3</v>
      </c>
      <c r="AE21" s="38">
        <v>1</v>
      </c>
      <c r="AF21" s="4"/>
      <c r="AG21" s="4"/>
      <c r="AH21" s="4"/>
      <c r="AI21" s="4"/>
      <c r="AJ21" s="4"/>
      <c r="AK21" s="38">
        <v>3</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Australien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0</v>
      </c>
      <c r="X23" s="1">
        <f>IF(X21=W21,1,IF(X21&gt;W21,3,0))</f>
        <v>3</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3</v>
      </c>
      <c r="C27" s="38">
        <v>1</v>
      </c>
      <c r="D27" s="4"/>
      <c r="E27" s="4"/>
      <c r="F27" s="4"/>
      <c r="G27" s="4"/>
      <c r="H27" s="4"/>
      <c r="I27" s="38">
        <v>3</v>
      </c>
      <c r="J27" s="38">
        <v>0</v>
      </c>
      <c r="K27" s="4"/>
      <c r="L27" s="4"/>
      <c r="M27" s="4"/>
      <c r="N27" s="4"/>
      <c r="O27" s="4"/>
      <c r="P27" s="38">
        <v>2</v>
      </c>
      <c r="Q27" s="38">
        <v>0</v>
      </c>
      <c r="R27" s="4"/>
      <c r="S27" s="4"/>
      <c r="T27" s="4"/>
      <c r="U27" s="4"/>
      <c r="V27" s="4"/>
      <c r="W27" s="38">
        <v>1</v>
      </c>
      <c r="X27" s="38">
        <v>0</v>
      </c>
      <c r="Y27" s="4"/>
      <c r="Z27" s="4"/>
      <c r="AA27" s="4"/>
      <c r="AB27" s="4"/>
      <c r="AC27" s="4"/>
      <c r="AD27" s="38">
        <v>0</v>
      </c>
      <c r="AE27" s="38">
        <v>3</v>
      </c>
      <c r="AF27" s="4"/>
      <c r="AG27" s="4"/>
      <c r="AH27" s="4"/>
      <c r="AI27" s="4"/>
      <c r="AJ27" s="4"/>
      <c r="AK27" s="38">
        <v>2</v>
      </c>
      <c r="AL27" s="38">
        <v>0</v>
      </c>
      <c r="AM27" s="4"/>
      <c r="AN27" s="4"/>
      <c r="AO27" s="4"/>
      <c r="AP27" s="4"/>
    </row>
    <row r="28" spans="1:42" x14ac:dyDescent="0.45">
      <c r="A28" s="4"/>
      <c r="B28" s="80" t="str">
        <f>IF(B27=C27,"Unentschieden",IF(B27&gt;C27,B26,C26))</f>
        <v>Südafrika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Paraguay</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3</v>
      </c>
      <c r="J32" s="38">
        <v>0</v>
      </c>
      <c r="K32" s="4"/>
      <c r="L32" s="4"/>
      <c r="M32" s="4"/>
      <c r="N32" s="4"/>
      <c r="O32" s="4"/>
      <c r="P32" s="38">
        <v>1</v>
      </c>
      <c r="Q32" s="38">
        <v>2</v>
      </c>
      <c r="R32" s="4"/>
      <c r="S32" s="4"/>
      <c r="T32" s="4"/>
      <c r="U32" s="4"/>
      <c r="V32" s="4"/>
      <c r="W32" s="38">
        <v>4</v>
      </c>
      <c r="X32" s="38">
        <v>0</v>
      </c>
      <c r="Y32" s="4"/>
      <c r="Z32" s="4"/>
      <c r="AA32" s="4"/>
      <c r="AB32" s="4"/>
      <c r="AC32" s="4"/>
      <c r="AD32" s="38">
        <v>0</v>
      </c>
      <c r="AE32" s="38">
        <v>4</v>
      </c>
      <c r="AF32" s="4"/>
      <c r="AG32" s="4"/>
      <c r="AH32" s="4"/>
      <c r="AI32" s="4"/>
      <c r="AJ32" s="4"/>
      <c r="AK32" s="38">
        <v>0</v>
      </c>
      <c r="AL32" s="38">
        <v>4</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6</v>
      </c>
      <c r="D37" s="1">
        <f>B5+B21+C32</f>
        <v>5</v>
      </c>
      <c r="E37" s="1">
        <f>C5+C21+B32</f>
        <v>4</v>
      </c>
      <c r="F37" s="1">
        <f>D37-E37</f>
        <v>1</v>
      </c>
      <c r="G37" s="4"/>
      <c r="H37" s="37"/>
      <c r="I37" s="2" t="s">
        <v>27</v>
      </c>
      <c r="J37" s="1">
        <f>I7+I23+J34</f>
        <v>3</v>
      </c>
      <c r="K37" s="1">
        <f>I5+I21+J32</f>
        <v>1</v>
      </c>
      <c r="L37" s="1">
        <f>J5+J21+I32</f>
        <v>5</v>
      </c>
      <c r="M37" s="1">
        <f>K37-L37</f>
        <v>-4</v>
      </c>
      <c r="N37" s="4"/>
      <c r="O37" s="13"/>
      <c r="P37" s="2" t="s">
        <v>29</v>
      </c>
      <c r="Q37" s="1">
        <f>P7+P23+Q34</f>
        <v>9</v>
      </c>
      <c r="R37" s="1">
        <f>P5+P21+Q32</f>
        <v>8</v>
      </c>
      <c r="S37" s="1">
        <f>Q5+Q21+P32</f>
        <v>3</v>
      </c>
      <c r="T37" s="1">
        <f>R37-S37</f>
        <v>5</v>
      </c>
      <c r="U37" s="4"/>
      <c r="V37" s="13"/>
      <c r="W37" s="2" t="s">
        <v>31</v>
      </c>
      <c r="X37" s="1">
        <f>W7+W23+X34</f>
        <v>0</v>
      </c>
      <c r="Y37" s="1">
        <f>W5+W21+X32</f>
        <v>0</v>
      </c>
      <c r="Z37" s="1">
        <f>X5+X21+W32</f>
        <v>8</v>
      </c>
      <c r="AA37" s="1">
        <f>Y37-Z37</f>
        <v>-8</v>
      </c>
      <c r="AB37" s="4"/>
      <c r="AC37" s="13"/>
      <c r="AD37" s="2" t="s">
        <v>33</v>
      </c>
      <c r="AE37" s="1">
        <f>AD7+AD23+AE34</f>
        <v>9</v>
      </c>
      <c r="AF37" s="1">
        <f>AD5+AD21+AE32</f>
        <v>12</v>
      </c>
      <c r="AG37" s="1">
        <f>AE5+AE21+AD32</f>
        <v>1</v>
      </c>
      <c r="AH37" s="1">
        <f>AF37-AG37</f>
        <v>11</v>
      </c>
      <c r="AI37" s="4"/>
      <c r="AJ37" s="4"/>
      <c r="AK37" s="2" t="s">
        <v>35</v>
      </c>
      <c r="AL37" s="1">
        <f>AK7+AK23+AL34</f>
        <v>9</v>
      </c>
      <c r="AM37" s="1">
        <f>AK5+AK21+AL32</f>
        <v>10</v>
      </c>
      <c r="AN37" s="1">
        <f>AL5+AL21+AK32</f>
        <v>1</v>
      </c>
      <c r="AO37" s="1">
        <f>AM37-AN37</f>
        <v>9</v>
      </c>
      <c r="AP37" s="4"/>
    </row>
    <row r="38" spans="1:42" x14ac:dyDescent="0.45">
      <c r="A38" s="37"/>
      <c r="B38" s="2" t="s">
        <v>26</v>
      </c>
      <c r="C38" s="1">
        <f>C7+C18+B29</f>
        <v>9</v>
      </c>
      <c r="D38" s="1">
        <f>C5+C16+B27</f>
        <v>8</v>
      </c>
      <c r="E38" s="1">
        <f>B5+B16+C27</f>
        <v>3</v>
      </c>
      <c r="F38" s="1">
        <f>D38-E38</f>
        <v>5</v>
      </c>
      <c r="G38" s="4"/>
      <c r="H38" s="37"/>
      <c r="I38" s="2" t="s">
        <v>28</v>
      </c>
      <c r="J38" s="1">
        <f>J7+J18+I29</f>
        <v>6</v>
      </c>
      <c r="K38" s="1">
        <f>J5+J16+I27</f>
        <v>6</v>
      </c>
      <c r="L38" s="1">
        <f>I5+I16+J27</f>
        <v>2</v>
      </c>
      <c r="M38" s="1">
        <f>K38-L38</f>
        <v>4</v>
      </c>
      <c r="N38" s="4"/>
      <c r="O38" s="13"/>
      <c r="P38" s="2" t="s">
        <v>30</v>
      </c>
      <c r="Q38" s="1">
        <f>Q7+Q18+P29</f>
        <v>6</v>
      </c>
      <c r="R38" s="1">
        <f>Q5+Q16+P27</f>
        <v>6</v>
      </c>
      <c r="S38" s="1">
        <f>P5+P16+Q27</f>
        <v>4</v>
      </c>
      <c r="T38" s="1">
        <f>R38-S38</f>
        <v>2</v>
      </c>
      <c r="U38" s="4"/>
      <c r="V38" s="13"/>
      <c r="W38" s="2" t="s">
        <v>32</v>
      </c>
      <c r="X38" s="1">
        <f>X7+X18+W29</f>
        <v>6</v>
      </c>
      <c r="Y38" s="1">
        <f>X5+X16+W27</f>
        <v>4</v>
      </c>
      <c r="Z38" s="1">
        <f>W5+W16+X27</f>
        <v>2</v>
      </c>
      <c r="AA38" s="1">
        <f>Y38-Z38</f>
        <v>2</v>
      </c>
      <c r="AB38" s="4"/>
      <c r="AC38" s="13"/>
      <c r="AD38" s="2" t="s">
        <v>34</v>
      </c>
      <c r="AE38" s="1">
        <f>AE7+AE18+AD29</f>
        <v>0</v>
      </c>
      <c r="AF38" s="1">
        <f>AE5+AE16+AD27</f>
        <v>1</v>
      </c>
      <c r="AG38" s="1">
        <f>AD5+AD16+AE27</f>
        <v>10</v>
      </c>
      <c r="AH38" s="1">
        <f>AF38-AG38</f>
        <v>-9</v>
      </c>
      <c r="AI38" s="4"/>
      <c r="AJ38" s="4"/>
      <c r="AK38" s="2" t="s">
        <v>36</v>
      </c>
      <c r="AL38" s="1">
        <f>AL7+AL18+AK29</f>
        <v>6</v>
      </c>
      <c r="AM38" s="1">
        <f>AL5+AL16+AK27</f>
        <v>4</v>
      </c>
      <c r="AN38" s="1">
        <f>AK5+AK16+AL27</f>
        <v>3</v>
      </c>
      <c r="AO38" s="1">
        <f>AM38-AN38</f>
        <v>1</v>
      </c>
      <c r="AP38" s="4"/>
    </row>
    <row r="39" spans="1:42" x14ac:dyDescent="0.45">
      <c r="A39" s="36"/>
      <c r="B39" s="2" t="s">
        <v>37</v>
      </c>
      <c r="C39" s="1">
        <f>B12+C23+C29</f>
        <v>0</v>
      </c>
      <c r="D39" s="1">
        <f>B10+C21+C27</f>
        <v>1</v>
      </c>
      <c r="E39" s="1">
        <f>C10+B21+B27</f>
        <v>7</v>
      </c>
      <c r="F39" s="1">
        <f>D39-E39</f>
        <v>-6</v>
      </c>
      <c r="G39" s="4"/>
      <c r="H39" s="36"/>
      <c r="I39" s="2" t="s">
        <v>39</v>
      </c>
      <c r="J39" s="1">
        <f>I12+J23+J29</f>
        <v>0</v>
      </c>
      <c r="K39" s="1">
        <f>I10+J21+J27</f>
        <v>0</v>
      </c>
      <c r="L39" s="1">
        <f>J10+I21+I27</f>
        <v>8</v>
      </c>
      <c r="M39" s="1">
        <f>K39-L39</f>
        <v>-8</v>
      </c>
      <c r="N39" s="4"/>
      <c r="O39" s="13"/>
      <c r="P39" s="2" t="s">
        <v>41</v>
      </c>
      <c r="Q39" s="1">
        <f>P12+Q23+Q29</f>
        <v>0</v>
      </c>
      <c r="R39" s="1">
        <f>P10+Q21+Q27</f>
        <v>0</v>
      </c>
      <c r="S39" s="1">
        <f>Q10+P21+P27</f>
        <v>7</v>
      </c>
      <c r="T39" s="1">
        <f>R39-S39</f>
        <v>-7</v>
      </c>
      <c r="U39" s="4"/>
      <c r="V39" s="13"/>
      <c r="W39" s="2" t="s">
        <v>43</v>
      </c>
      <c r="X39" s="1">
        <f>W12+X23+X29</f>
        <v>3</v>
      </c>
      <c r="Y39" s="1">
        <f>W10+X21+X27</f>
        <v>2</v>
      </c>
      <c r="Z39" s="1">
        <f>X10+W21+W27</f>
        <v>4</v>
      </c>
      <c r="AA39" s="1">
        <f>Y39-Z39</f>
        <v>-2</v>
      </c>
      <c r="AB39" s="4"/>
      <c r="AC39" s="13"/>
      <c r="AD39" s="2" t="s">
        <v>45</v>
      </c>
      <c r="AE39" s="1">
        <f>AD12+AE23+AE29</f>
        <v>6</v>
      </c>
      <c r="AF39" s="1">
        <f>AD10+AE21+AE27</f>
        <v>7</v>
      </c>
      <c r="AG39" s="1">
        <f>AE10+AD21+AD27</f>
        <v>4</v>
      </c>
      <c r="AH39" s="1">
        <f>AF39-AG39</f>
        <v>3</v>
      </c>
      <c r="AI39" s="4"/>
      <c r="AJ39" s="4"/>
      <c r="AK39" s="2" t="s">
        <v>47</v>
      </c>
      <c r="AL39" s="1">
        <f>AK12+AL23+AL29</f>
        <v>3</v>
      </c>
      <c r="AM39" s="1">
        <f>AK10+AL21+AL27</f>
        <v>4</v>
      </c>
      <c r="AN39" s="1">
        <f>AL10+AK21+AK27</f>
        <v>6</v>
      </c>
      <c r="AO39" s="1">
        <f>AM39-AN39</f>
        <v>-2</v>
      </c>
      <c r="AP39" s="4"/>
    </row>
    <row r="40" spans="1:42" x14ac:dyDescent="0.45">
      <c r="A40" s="35"/>
      <c r="B40" s="2" t="s">
        <v>38</v>
      </c>
      <c r="C40" s="1">
        <f>C12+B18+B34</f>
        <v>3</v>
      </c>
      <c r="D40" s="1">
        <f>C10+B16+B32</f>
        <v>4</v>
      </c>
      <c r="E40" s="1">
        <f>B10+C16+C32</f>
        <v>4</v>
      </c>
      <c r="F40" s="1">
        <f>D40-E40</f>
        <v>0</v>
      </c>
      <c r="G40" s="4"/>
      <c r="H40" s="35"/>
      <c r="I40" s="2" t="s">
        <v>40</v>
      </c>
      <c r="J40" s="1">
        <f>J12+I18+I34</f>
        <v>9</v>
      </c>
      <c r="K40" s="1">
        <f>J10+I16+I32</f>
        <v>9</v>
      </c>
      <c r="L40" s="1">
        <f>I10+J16+J32</f>
        <v>1</v>
      </c>
      <c r="M40" s="1">
        <f>K40-L40</f>
        <v>8</v>
      </c>
      <c r="N40" s="4"/>
      <c r="O40" s="13"/>
      <c r="P40" s="2" t="s">
        <v>42</v>
      </c>
      <c r="Q40" s="1">
        <f>Q12+P18+P34</f>
        <v>3</v>
      </c>
      <c r="R40" s="1">
        <f>Q10+P16+P32</f>
        <v>4</v>
      </c>
      <c r="S40" s="1">
        <f>P10+Q16+Q32</f>
        <v>4</v>
      </c>
      <c r="T40" s="1">
        <f>R40-S40</f>
        <v>0</v>
      </c>
      <c r="U40" s="4"/>
      <c r="V40" s="13"/>
      <c r="W40" s="2" t="s">
        <v>44</v>
      </c>
      <c r="X40" s="1">
        <f>X12+W18+W34</f>
        <v>9</v>
      </c>
      <c r="Y40" s="1">
        <f>X10+W16+W32</f>
        <v>9</v>
      </c>
      <c r="Z40" s="1">
        <f>W10+X16+X32</f>
        <v>1</v>
      </c>
      <c r="AA40" s="1">
        <f>Y40-Z40</f>
        <v>8</v>
      </c>
      <c r="AB40" s="4"/>
      <c r="AC40" s="13"/>
      <c r="AD40" s="2" t="s">
        <v>46</v>
      </c>
      <c r="AE40" s="1">
        <f>AE12+AD18+AD34</f>
        <v>3</v>
      </c>
      <c r="AF40" s="1">
        <f>AE10+AD16+AD32</f>
        <v>3</v>
      </c>
      <c r="AG40" s="1">
        <f>AD10+AE16+AE32</f>
        <v>8</v>
      </c>
      <c r="AH40" s="1">
        <f>AF40-AG40</f>
        <v>-5</v>
      </c>
      <c r="AI40" s="4"/>
      <c r="AJ40" s="4"/>
      <c r="AK40" s="2" t="s">
        <v>48</v>
      </c>
      <c r="AL40" s="1">
        <f>AL12+AK18+AK34</f>
        <v>0</v>
      </c>
      <c r="AM40" s="1">
        <f>AL10+AK16+AK32</f>
        <v>1</v>
      </c>
      <c r="AN40" s="1">
        <f>AK10+AL16+AL32</f>
        <v>9</v>
      </c>
      <c r="AO40" s="1">
        <f>AM40-AN40</f>
        <v>-8</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Südafrika</v>
      </c>
      <c r="C43" s="1" cm="1">
        <f t="array" ref="C43:C46">_xlfn.SORTBY(C37:C40,C37:C40,-1,F37:F40,-1,D37:D40,-1)</f>
        <v>9</v>
      </c>
      <c r="D43" s="1" cm="1">
        <f t="array" ref="D43:D46">_xlfn.SORTBY(D37:D40,C37:C40,-1,F37:F40,-1,D37:D40,-1)</f>
        <v>8</v>
      </c>
      <c r="E43" s="1" cm="1">
        <f t="array" ref="E43:E46">_xlfn.SORTBY(E37:E40,C37:C40,-1,F37:F40,-1,D37:D40,-1)</f>
        <v>3</v>
      </c>
      <c r="F43" s="1" cm="1">
        <f t="array" ref="F43:F46">_xlfn.SORTBY(F37:F40,C37:C40,-1,F37:F40,-1,D37:D40,-1)</f>
        <v>5</v>
      </c>
      <c r="G43" s="4"/>
      <c r="H43" s="33">
        <v>1</v>
      </c>
      <c r="I43" s="2" t="str" cm="1">
        <f t="array" ref="I43:I46">_xlfn.SORTBY(I37:I40,J37:J40,-1,M37:M40,-1,K37:K40,-1)</f>
        <v>Schweiz</v>
      </c>
      <c r="J43" s="1" cm="1">
        <f t="array" ref="J43:J46">_xlfn.SORTBY(J37:J40,J37:J40,-1,M37:M40,-1,K37:K40,-1)</f>
        <v>9</v>
      </c>
      <c r="K43" s="1" cm="1">
        <f t="array" ref="K43:K46">_xlfn.SORTBY(K37:K40,J37:J40,-1,M37:M40,-1,K37:K40,-1)</f>
        <v>9</v>
      </c>
      <c r="L43" s="1" cm="1">
        <f t="array" ref="L43:L46">_xlfn.SORTBY(L37:L40,J37:J40,-1,M37:M40,-1,K37:K40,-1)</f>
        <v>1</v>
      </c>
      <c r="M43" s="1" cm="1">
        <f t="array" ref="M43:M46">_xlfn.SORTBY(M37:M40,J37:J40,-1,M37:M40,-1,K37:K40,-1)</f>
        <v>8</v>
      </c>
      <c r="N43" s="4"/>
      <c r="O43" s="33">
        <v>1</v>
      </c>
      <c r="P43" s="2" t="str" cm="1">
        <f t="array" ref="P43:P46">_xlfn.SORTBY(P37:P40,Q37:Q40,-1,T37:T40,-1,R37:R40,-1)</f>
        <v>Brasilien</v>
      </c>
      <c r="Q43" s="1" cm="1">
        <f t="array" ref="Q43:Q46">_xlfn.SORTBY(Q37:Q40,Q37:Q40,-1,T37:T40,-1,R37:R40,-1)</f>
        <v>9</v>
      </c>
      <c r="R43" s="1" cm="1">
        <f t="array" ref="R43:R46">_xlfn.SORTBY(R37:R40,Q37:Q40,-1,T37:T40,-1,R37:R40,-1)</f>
        <v>8</v>
      </c>
      <c r="S43" s="1" cm="1">
        <f t="array" ref="S43:S46">_xlfn.SORTBY(S37:S40,Q37:Q40,-1,T37:T40,-1,R37:R40,-1)</f>
        <v>3</v>
      </c>
      <c r="T43" s="1" cm="1">
        <f t="array" ref="T43:T46">_xlfn.SORTBY(T37:T40,Q37:Q40,-1,T37:T40,-1,R37:R40,-1)</f>
        <v>5</v>
      </c>
      <c r="U43" s="4"/>
      <c r="V43" s="33">
        <v>1</v>
      </c>
      <c r="W43" s="2" t="str" cm="1">
        <f t="array" ref="W43:W46">_xlfn.SORTBY(W37:W40,X37:X40,-1,AA37:AA40,-1,Y37:Y40,-1)</f>
        <v>Türkei</v>
      </c>
      <c r="X43" s="1" cm="1">
        <f t="array" ref="X43:X46">_xlfn.SORTBY(X37:X40,X37:X40,-1,AA37:AA40,-1,Y37:Y40,-1)</f>
        <v>9</v>
      </c>
      <c r="Y43" s="1" cm="1">
        <f t="array" ref="Y43:Y46">_xlfn.SORTBY(Y37:Y40,X37:X40,-1,AA37:AA40,-1,Y37:Y40,-1)</f>
        <v>9</v>
      </c>
      <c r="Z43" s="1" cm="1">
        <f t="array" ref="Z43:Z46">_xlfn.SORTBY(Z37:Z40,X37:X40,-1,AA37:AA40,-1,Y37:Y40,-1)</f>
        <v>1</v>
      </c>
      <c r="AA43" s="1" cm="1">
        <f t="array" ref="AA43:AA46">_xlfn.SORTBY(AA37:AA40,X37:X40,-1,AA37:AA40,-1,Y37:Y40,-1)</f>
        <v>8</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12</v>
      </c>
      <c r="AG43" s="1" cm="1">
        <f t="array" ref="AG43:AG46">_xlfn.SORTBY(AG37:AG40,AE37:AE40,-1,AH37:AH40,-1,AF37:AF40,-1)</f>
        <v>1</v>
      </c>
      <c r="AH43" s="1" cm="1">
        <f t="array" ref="AH43:AH46">_xlfn.SORTBY(AH37:AH40,AE37:AE40,-1,AH37:AH40,-1,AF37:AF40,-1)</f>
        <v>11</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10</v>
      </c>
      <c r="AN43" s="1" cm="1">
        <f t="array" ref="AN43:AN46">_xlfn.SORTBY(AN37:AN40,AL37:AL40,-1,AO37:AO40,-1,AM37:AM40,-1)</f>
        <v>1</v>
      </c>
      <c r="AO43" s="1" cm="1">
        <f t="array" ref="AO43:AO46">_xlfn.SORTBY(AO37:AO40,AL37:AL40,-1,AO37:AO40,-1,AM37:AM40,-1)</f>
        <v>9</v>
      </c>
      <c r="AP43" s="4"/>
    </row>
    <row r="44" spans="1:42" x14ac:dyDescent="0.45">
      <c r="A44" s="33">
        <v>2</v>
      </c>
      <c r="B44" s="2" t="str">
        <v>Mexiko</v>
      </c>
      <c r="C44" s="1">
        <v>6</v>
      </c>
      <c r="D44" s="1">
        <v>5</v>
      </c>
      <c r="E44" s="1">
        <v>4</v>
      </c>
      <c r="F44" s="1">
        <v>1</v>
      </c>
      <c r="G44" s="4"/>
      <c r="H44" s="33">
        <v>2</v>
      </c>
      <c r="I44" s="2" t="str">
        <v>Bosnien-Herz.</v>
      </c>
      <c r="J44" s="1">
        <v>6</v>
      </c>
      <c r="K44" s="1">
        <v>6</v>
      </c>
      <c r="L44" s="1">
        <v>2</v>
      </c>
      <c r="M44" s="1">
        <v>4</v>
      </c>
      <c r="N44" s="4"/>
      <c r="O44" s="33">
        <v>2</v>
      </c>
      <c r="P44" s="2" t="str">
        <v>Marokko</v>
      </c>
      <c r="Q44" s="1">
        <v>6</v>
      </c>
      <c r="R44" s="1">
        <v>6</v>
      </c>
      <c r="S44" s="1">
        <v>4</v>
      </c>
      <c r="T44" s="1">
        <v>2</v>
      </c>
      <c r="U44" s="4"/>
      <c r="V44" s="33">
        <v>2</v>
      </c>
      <c r="W44" s="2" t="str">
        <v>Paraguay</v>
      </c>
      <c r="X44" s="1">
        <v>6</v>
      </c>
      <c r="Y44" s="1">
        <v>4</v>
      </c>
      <c r="Z44" s="1">
        <v>2</v>
      </c>
      <c r="AA44" s="1">
        <v>2</v>
      </c>
      <c r="AB44" s="4"/>
      <c r="AC44" s="33">
        <v>2</v>
      </c>
      <c r="AD44" s="2" t="str">
        <v>Elfenbeinküste</v>
      </c>
      <c r="AE44" s="1">
        <v>6</v>
      </c>
      <c r="AF44" s="1">
        <v>7</v>
      </c>
      <c r="AG44" s="1">
        <v>4</v>
      </c>
      <c r="AH44" s="1">
        <v>3</v>
      </c>
      <c r="AI44" s="4"/>
      <c r="AJ44" s="33">
        <v>2</v>
      </c>
      <c r="AK44" s="2" t="str">
        <v>Japan</v>
      </c>
      <c r="AL44" s="1">
        <v>6</v>
      </c>
      <c r="AM44" s="1">
        <v>4</v>
      </c>
      <c r="AN44" s="1">
        <v>3</v>
      </c>
      <c r="AO44" s="1">
        <v>1</v>
      </c>
      <c r="AP44" s="4"/>
    </row>
    <row r="45" spans="1:42" x14ac:dyDescent="0.45">
      <c r="A45" s="34">
        <v>3</v>
      </c>
      <c r="B45" s="2" t="str">
        <v>Tschechien</v>
      </c>
      <c r="C45" s="1">
        <v>3</v>
      </c>
      <c r="D45" s="1">
        <v>4</v>
      </c>
      <c r="E45" s="1">
        <v>4</v>
      </c>
      <c r="F45" s="1">
        <v>0</v>
      </c>
      <c r="G45" s="4"/>
      <c r="H45" s="34">
        <v>3</v>
      </c>
      <c r="I45" s="2" t="str">
        <v>Kanada</v>
      </c>
      <c r="J45" s="1">
        <v>3</v>
      </c>
      <c r="K45" s="1">
        <v>1</v>
      </c>
      <c r="L45" s="1">
        <v>5</v>
      </c>
      <c r="M45" s="1">
        <v>-4</v>
      </c>
      <c r="N45" s="4"/>
      <c r="O45" s="34">
        <v>3</v>
      </c>
      <c r="P45" s="2" t="str">
        <v>Schottland</v>
      </c>
      <c r="Q45" s="1">
        <v>3</v>
      </c>
      <c r="R45" s="1">
        <v>4</v>
      </c>
      <c r="S45" s="1">
        <v>4</v>
      </c>
      <c r="T45" s="1">
        <v>0</v>
      </c>
      <c r="U45" s="4"/>
      <c r="V45" s="34">
        <v>3</v>
      </c>
      <c r="W45" s="2" t="str">
        <v>Australien</v>
      </c>
      <c r="X45" s="1">
        <v>3</v>
      </c>
      <c r="Y45" s="1">
        <v>2</v>
      </c>
      <c r="Z45" s="1">
        <v>4</v>
      </c>
      <c r="AA45" s="1">
        <v>-2</v>
      </c>
      <c r="AB45" s="4"/>
      <c r="AC45" s="34">
        <v>3</v>
      </c>
      <c r="AD45" s="2" t="str">
        <v>Ecuador</v>
      </c>
      <c r="AE45" s="1">
        <v>3</v>
      </c>
      <c r="AF45" s="1">
        <v>3</v>
      </c>
      <c r="AG45" s="1">
        <v>8</v>
      </c>
      <c r="AH45" s="1">
        <v>-5</v>
      </c>
      <c r="AI45" s="4"/>
      <c r="AJ45" s="34">
        <v>3</v>
      </c>
      <c r="AK45" s="2" t="str">
        <v>Schweden</v>
      </c>
      <c r="AL45" s="1">
        <v>3</v>
      </c>
      <c r="AM45" s="1">
        <v>4</v>
      </c>
      <c r="AN45" s="1">
        <v>6</v>
      </c>
      <c r="AO45" s="1">
        <v>-2</v>
      </c>
      <c r="AP45" s="4"/>
    </row>
    <row r="46" spans="1:42" x14ac:dyDescent="0.45">
      <c r="A46" s="32">
        <v>4</v>
      </c>
      <c r="B46" s="2" t="str">
        <v>Südkorea</v>
      </c>
      <c r="C46" s="1">
        <v>0</v>
      </c>
      <c r="D46" s="1">
        <v>1</v>
      </c>
      <c r="E46" s="1">
        <v>7</v>
      </c>
      <c r="F46" s="1">
        <v>-6</v>
      </c>
      <c r="G46" s="4"/>
      <c r="H46" s="32">
        <v>4</v>
      </c>
      <c r="I46" s="2" t="str">
        <v>Katar</v>
      </c>
      <c r="J46" s="1">
        <v>0</v>
      </c>
      <c r="K46" s="1">
        <v>0</v>
      </c>
      <c r="L46" s="1">
        <v>8</v>
      </c>
      <c r="M46" s="1">
        <v>-8</v>
      </c>
      <c r="N46" s="4"/>
      <c r="O46" s="32">
        <v>4</v>
      </c>
      <c r="P46" s="2" t="str">
        <v>Haiti</v>
      </c>
      <c r="Q46" s="1">
        <v>0</v>
      </c>
      <c r="R46" s="1">
        <v>0</v>
      </c>
      <c r="S46" s="1">
        <v>7</v>
      </c>
      <c r="T46" s="1">
        <v>-7</v>
      </c>
      <c r="U46" s="4"/>
      <c r="V46" s="32">
        <v>4</v>
      </c>
      <c r="W46" s="2" t="str">
        <v>USA</v>
      </c>
      <c r="X46" s="1">
        <v>0</v>
      </c>
      <c r="Y46" s="1">
        <v>0</v>
      </c>
      <c r="Z46" s="1">
        <v>8</v>
      </c>
      <c r="AA46" s="1">
        <v>-8</v>
      </c>
      <c r="AB46" s="4"/>
      <c r="AC46" s="32">
        <v>4</v>
      </c>
      <c r="AD46" s="2" t="str">
        <v>Curacao</v>
      </c>
      <c r="AE46" s="1">
        <v>0</v>
      </c>
      <c r="AF46" s="1">
        <v>1</v>
      </c>
      <c r="AG46" s="1">
        <v>10</v>
      </c>
      <c r="AH46" s="1">
        <v>-9</v>
      </c>
      <c r="AI46" s="4"/>
      <c r="AJ46" s="32">
        <v>4</v>
      </c>
      <c r="AK46" s="2" t="str">
        <v>Tunesien</v>
      </c>
      <c r="AL46" s="1">
        <v>0</v>
      </c>
      <c r="AM46" s="1">
        <v>1</v>
      </c>
      <c r="AN46" s="1">
        <v>9</v>
      </c>
      <c r="AO46" s="1">
        <v>-8</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55"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5</v>
      </c>
      <c r="J52" s="38">
        <v>0</v>
      </c>
      <c r="K52" s="4"/>
      <c r="L52" s="4"/>
      <c r="M52" s="4"/>
      <c r="N52" s="4"/>
      <c r="O52" s="4"/>
      <c r="P52" s="38">
        <v>4</v>
      </c>
      <c r="Q52" s="38">
        <v>1</v>
      </c>
      <c r="R52" s="4"/>
      <c r="S52" s="4"/>
      <c r="T52" s="4"/>
      <c r="U52" s="4"/>
      <c r="V52" s="4"/>
      <c r="W52" s="38">
        <v>3</v>
      </c>
      <c r="X52" s="38">
        <v>0</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0</v>
      </c>
      <c r="C57" s="38">
        <v>2</v>
      </c>
      <c r="D57" s="4"/>
      <c r="E57" s="4"/>
      <c r="F57" s="4"/>
      <c r="G57" s="4"/>
      <c r="H57" s="4"/>
      <c r="I57" s="38">
        <v>0</v>
      </c>
      <c r="J57" s="38">
        <v>3</v>
      </c>
      <c r="K57" s="4"/>
      <c r="L57" s="4"/>
      <c r="M57" s="4"/>
      <c r="N57" s="4"/>
      <c r="O57" s="4"/>
      <c r="P57" s="38">
        <v>0</v>
      </c>
      <c r="Q57" s="38">
        <v>3</v>
      </c>
      <c r="R57" s="4"/>
      <c r="S57" s="4"/>
      <c r="T57" s="4"/>
      <c r="U57" s="4"/>
      <c r="V57" s="4"/>
      <c r="W57" s="38">
        <v>3</v>
      </c>
      <c r="X57" s="38">
        <v>0</v>
      </c>
      <c r="Y57" s="4"/>
      <c r="Z57" s="4"/>
      <c r="AA57" s="4"/>
      <c r="AB57" s="4"/>
      <c r="AC57" s="4"/>
      <c r="AD57" s="38">
        <v>0</v>
      </c>
      <c r="AE57" s="38">
        <v>3</v>
      </c>
      <c r="AF57" s="4"/>
      <c r="AG57" s="4"/>
      <c r="AH57" s="4"/>
      <c r="AI57" s="4"/>
      <c r="AJ57" s="4"/>
      <c r="AK57" s="38">
        <v>2</v>
      </c>
      <c r="AL57" s="38">
        <v>0</v>
      </c>
      <c r="AM57" s="4"/>
      <c r="AN57" s="4"/>
      <c r="AO57" s="4"/>
      <c r="AP57" s="4"/>
    </row>
    <row r="58" spans="1:42" x14ac:dyDescent="0.45">
      <c r="A58" s="4"/>
      <c r="B58" s="80" t="str">
        <f>IF(B57=C57,"Unentschieden",IF(B57&gt;C57,B56,C56))</f>
        <v>Neuseeland</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0</v>
      </c>
      <c r="C59" s="1">
        <f>IF(C57=B57,1,IF(C57&gt;B57,3,0))</f>
        <v>3</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4</v>
      </c>
      <c r="C63" s="38">
        <v>0</v>
      </c>
      <c r="D63" s="4"/>
      <c r="E63" s="4"/>
      <c r="F63" s="4"/>
      <c r="G63" s="4"/>
      <c r="H63" s="4"/>
      <c r="I63" s="38">
        <v>6</v>
      </c>
      <c r="J63" s="38">
        <v>0</v>
      </c>
      <c r="K63" s="4"/>
      <c r="L63" s="4"/>
      <c r="M63" s="4"/>
      <c r="N63" s="4"/>
      <c r="O63" s="4"/>
      <c r="P63" s="38">
        <v>5</v>
      </c>
      <c r="Q63" s="38">
        <v>0</v>
      </c>
      <c r="R63" s="4"/>
      <c r="S63" s="4"/>
      <c r="T63" s="4"/>
      <c r="U63" s="4"/>
      <c r="V63" s="4"/>
      <c r="W63" s="38">
        <v>1</v>
      </c>
      <c r="X63" s="38">
        <v>3</v>
      </c>
      <c r="Y63" s="4"/>
      <c r="Z63" s="4"/>
      <c r="AA63" s="4"/>
      <c r="AB63" s="4"/>
      <c r="AC63" s="4"/>
      <c r="AD63" s="38">
        <v>3</v>
      </c>
      <c r="AE63" s="38">
        <v>0</v>
      </c>
      <c r="AF63" s="4"/>
      <c r="AG63" s="4"/>
      <c r="AH63" s="4"/>
      <c r="AI63" s="4"/>
      <c r="AJ63" s="4"/>
      <c r="AK63" s="38">
        <v>3</v>
      </c>
      <c r="AL63" s="38">
        <v>1</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Österreich</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0</v>
      </c>
      <c r="X65" s="1">
        <f>IF(X63=W63,1,IF(X63&gt;W63,3,0))</f>
        <v>3</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2</v>
      </c>
      <c r="C68" s="38">
        <v>0</v>
      </c>
      <c r="D68" s="4"/>
      <c r="E68" s="4"/>
      <c r="F68" s="4"/>
      <c r="G68" s="4"/>
      <c r="H68" s="4"/>
      <c r="I68" s="38">
        <v>2</v>
      </c>
      <c r="J68" s="38">
        <v>0</v>
      </c>
      <c r="K68" s="4"/>
      <c r="L68" s="4"/>
      <c r="M68" s="4"/>
      <c r="N68" s="4"/>
      <c r="O68" s="4"/>
      <c r="P68" s="38">
        <v>2</v>
      </c>
      <c r="Q68" s="38">
        <v>1</v>
      </c>
      <c r="R68" s="4"/>
      <c r="S68" s="4"/>
      <c r="T68" s="4"/>
      <c r="U68" s="4"/>
      <c r="V68" s="4"/>
      <c r="W68" s="38">
        <v>1</v>
      </c>
      <c r="X68" s="38">
        <v>0</v>
      </c>
      <c r="Y68" s="4"/>
      <c r="Z68" s="4"/>
      <c r="AA68" s="4"/>
      <c r="AB68" s="4"/>
      <c r="AC68" s="4"/>
      <c r="AD68" s="38">
        <v>2</v>
      </c>
      <c r="AE68" s="38">
        <v>1</v>
      </c>
      <c r="AF68" s="4"/>
      <c r="AG68" s="4"/>
      <c r="AH68" s="4"/>
      <c r="AI68" s="4"/>
      <c r="AJ68" s="4"/>
      <c r="AK68" s="38">
        <v>0</v>
      </c>
      <c r="AL68" s="38">
        <v>3</v>
      </c>
      <c r="AM68" s="4"/>
      <c r="AN68" s="4"/>
      <c r="AO68" s="4"/>
      <c r="AP68" s="4"/>
    </row>
    <row r="69" spans="1:42" x14ac:dyDescent="0.45">
      <c r="A69" s="4"/>
      <c r="B69" s="80" t="str">
        <f>IF(B68=C68,"Unentschieden",IF(B68&gt;C68,B67,C67))</f>
        <v>Neuseeland</v>
      </c>
      <c r="C69" s="80"/>
      <c r="D69" s="4"/>
      <c r="E69" s="4"/>
      <c r="F69" s="4"/>
      <c r="G69" s="4"/>
      <c r="H69" s="4"/>
      <c r="I69" s="80" t="str">
        <f>IF(I68=J68,"Unentschieden",IF(I68&gt;J68,I67,J67))</f>
        <v>Uruguay</v>
      </c>
      <c r="J69" s="80"/>
      <c r="K69" s="4"/>
      <c r="L69" s="4"/>
      <c r="M69" s="4"/>
      <c r="N69" s="4"/>
      <c r="O69" s="4"/>
      <c r="P69" s="80" t="str">
        <f>IF(P68=Q68,"Unentschieden",IF(P68&gt;Q68,P67,Q67))</f>
        <v>Norwegen</v>
      </c>
      <c r="Q69" s="80"/>
      <c r="R69" s="4"/>
      <c r="S69" s="4"/>
      <c r="T69" s="4"/>
      <c r="U69" s="4"/>
      <c r="V69" s="4"/>
      <c r="W69" s="80" t="str">
        <f>IF(W68=X68,"Unentschieden",IF(W68&gt;X68,W67,X67))</f>
        <v>Jordanien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3</v>
      </c>
      <c r="C70" s="1">
        <f>IF(C68=B68,1,IF(C68&gt;B68,3,0))</f>
        <v>0</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3</v>
      </c>
      <c r="X70" s="1">
        <f>IF(X68=W68,1,IF(X68&gt;W68,3,0))</f>
        <v>0</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2</v>
      </c>
      <c r="D74" s="4"/>
      <c r="E74" s="4"/>
      <c r="F74" s="4"/>
      <c r="G74" s="4"/>
      <c r="H74" s="4"/>
      <c r="I74" s="38">
        <v>1</v>
      </c>
      <c r="J74" s="38">
        <v>3</v>
      </c>
      <c r="K74" s="4"/>
      <c r="L74" s="4"/>
      <c r="M74" s="4"/>
      <c r="N74" s="4"/>
      <c r="O74" s="4"/>
      <c r="P74" s="38">
        <v>1</v>
      </c>
      <c r="Q74" s="38">
        <v>3</v>
      </c>
      <c r="R74" s="4"/>
      <c r="S74" s="4"/>
      <c r="T74" s="4"/>
      <c r="U74" s="4"/>
      <c r="V74" s="4"/>
      <c r="W74" s="38">
        <v>0</v>
      </c>
      <c r="X74" s="38">
        <v>5</v>
      </c>
      <c r="Y74" s="4"/>
      <c r="Z74" s="4"/>
      <c r="AA74" s="4"/>
      <c r="AB74" s="4"/>
      <c r="AC74" s="4"/>
      <c r="AD74" s="38">
        <v>1</v>
      </c>
      <c r="AE74" s="38">
        <v>3</v>
      </c>
      <c r="AF74" s="4"/>
      <c r="AG74" s="4"/>
      <c r="AH74" s="4"/>
      <c r="AI74" s="4"/>
      <c r="AJ74" s="4"/>
      <c r="AK74" s="38">
        <v>0</v>
      </c>
      <c r="AL74" s="39">
        <v>3</v>
      </c>
      <c r="AM74" s="4"/>
      <c r="AN74" s="4"/>
      <c r="AO74" s="4"/>
      <c r="AP74" s="4"/>
    </row>
    <row r="75" spans="1:42" ht="17.55"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3</v>
      </c>
      <c r="C79" s="38">
        <v>0</v>
      </c>
      <c r="D79" s="4"/>
      <c r="E79" s="4"/>
      <c r="F79" s="4"/>
      <c r="G79" s="4"/>
      <c r="H79" s="4"/>
      <c r="I79" s="38">
        <v>1</v>
      </c>
      <c r="J79" s="38">
        <v>1</v>
      </c>
      <c r="K79" s="4"/>
      <c r="L79" s="4"/>
      <c r="M79" s="4"/>
      <c r="N79" s="4"/>
      <c r="O79" s="4"/>
      <c r="P79" s="38">
        <v>3</v>
      </c>
      <c r="Q79" s="38">
        <v>0</v>
      </c>
      <c r="R79" s="4"/>
      <c r="S79" s="4"/>
      <c r="T79" s="4"/>
      <c r="U79" s="4"/>
      <c r="V79" s="4"/>
      <c r="W79" s="38">
        <v>1</v>
      </c>
      <c r="X79" s="38">
        <v>3</v>
      </c>
      <c r="Y79" s="4"/>
      <c r="Z79" s="4"/>
      <c r="AA79" s="4"/>
      <c r="AB79" s="4"/>
      <c r="AC79" s="4"/>
      <c r="AD79" s="38">
        <v>3</v>
      </c>
      <c r="AE79" s="38">
        <v>0</v>
      </c>
      <c r="AF79" s="4"/>
      <c r="AG79" s="4"/>
      <c r="AH79" s="4"/>
      <c r="AI79" s="4"/>
      <c r="AJ79" s="4"/>
      <c r="AK79" s="38">
        <v>3</v>
      </c>
      <c r="AL79" s="38">
        <v>1</v>
      </c>
      <c r="AM79" s="4"/>
      <c r="AN79" s="4"/>
      <c r="AO79" s="4"/>
      <c r="AP79" s="4"/>
    </row>
    <row r="80" spans="1:42" ht="17.55" customHeight="1" x14ac:dyDescent="0.45">
      <c r="A80" s="4"/>
      <c r="B80" s="80" t="str">
        <f>IF(B79=C79,"Unentschieden",IF(B79&gt;C79,B78,C78))</f>
        <v>Ägypten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Österreich</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8</v>
      </c>
      <c r="E84" s="1">
        <f>C52+C63+B74</f>
        <v>1</v>
      </c>
      <c r="F84" s="1">
        <f>D84-E84</f>
        <v>7</v>
      </c>
      <c r="G84" s="4"/>
      <c r="H84" s="37"/>
      <c r="I84" s="2" t="s">
        <v>65</v>
      </c>
      <c r="J84" s="1">
        <f>I54+I65+J76</f>
        <v>9</v>
      </c>
      <c r="K84" s="1">
        <f>I52+I63+J74</f>
        <v>14</v>
      </c>
      <c r="L84" s="1">
        <f>J52+J63+I74</f>
        <v>1</v>
      </c>
      <c r="M84" s="1">
        <f>K84-L84</f>
        <v>13</v>
      </c>
      <c r="N84" s="4"/>
      <c r="O84" s="13"/>
      <c r="P84" s="2" t="s">
        <v>67</v>
      </c>
      <c r="Q84" s="1">
        <f>P54+P65+Q76</f>
        <v>9</v>
      </c>
      <c r="R84" s="1">
        <f>P52+P63+Q74</f>
        <v>12</v>
      </c>
      <c r="S84" s="1">
        <f>Q52+Q63+P74</f>
        <v>2</v>
      </c>
      <c r="T84" s="1">
        <f>R84-S84</f>
        <v>10</v>
      </c>
      <c r="U84" s="4"/>
      <c r="V84" s="13"/>
      <c r="W84" s="2" t="s">
        <v>69</v>
      </c>
      <c r="X84" s="1">
        <f>W54+W65+X76</f>
        <v>6</v>
      </c>
      <c r="Y84" s="1">
        <f>W52+W63+X74</f>
        <v>9</v>
      </c>
      <c r="Z84" s="1">
        <f>X52+X63+W74</f>
        <v>3</v>
      </c>
      <c r="AA84" s="1">
        <f>Y84-Z84</f>
        <v>6</v>
      </c>
      <c r="AB84" s="4"/>
      <c r="AC84" s="13"/>
      <c r="AD84" s="2" t="s">
        <v>71</v>
      </c>
      <c r="AE84" s="1">
        <f>AD54+AD65+AE76</f>
        <v>9</v>
      </c>
      <c r="AF84" s="1">
        <f>AD52+AD63+AE74</f>
        <v>9</v>
      </c>
      <c r="AG84" s="1">
        <f>AE52+AE63+AD74</f>
        <v>2</v>
      </c>
      <c r="AH84" s="1">
        <f>AF84-AG84</f>
        <v>7</v>
      </c>
      <c r="AI84" s="4"/>
      <c r="AJ84" s="4"/>
      <c r="AK84" s="2" t="s">
        <v>73</v>
      </c>
      <c r="AL84" s="1">
        <f>AK54+AK65+AL76</f>
        <v>9</v>
      </c>
      <c r="AM84" s="1">
        <f>AK52+AK63+AL74</f>
        <v>8</v>
      </c>
      <c r="AN84" s="1">
        <f>AL52+AL63+AK74</f>
        <v>2</v>
      </c>
      <c r="AO84" s="1">
        <f>AM84-AN84</f>
        <v>6</v>
      </c>
      <c r="AP84" s="4"/>
    </row>
    <row r="85" spans="1:42" ht="17.55" customHeight="1" x14ac:dyDescent="0.45">
      <c r="A85" s="37"/>
      <c r="B85" s="2" t="s">
        <v>64</v>
      </c>
      <c r="C85" s="1">
        <f>C54+C70+B81</f>
        <v>3</v>
      </c>
      <c r="D85" s="1">
        <f>C52+C68+B79</f>
        <v>4</v>
      </c>
      <c r="E85" s="1">
        <f>B52+B68+C79</f>
        <v>4</v>
      </c>
      <c r="F85" s="1">
        <f>D85-E85</f>
        <v>0</v>
      </c>
      <c r="G85" s="4"/>
      <c r="H85" s="37"/>
      <c r="I85" s="2" t="s">
        <v>66</v>
      </c>
      <c r="J85" s="1">
        <f>J54+J70+I81</f>
        <v>1</v>
      </c>
      <c r="K85" s="1">
        <f>J52+J68+I79</f>
        <v>1</v>
      </c>
      <c r="L85" s="1">
        <f>I52+I68+J79</f>
        <v>8</v>
      </c>
      <c r="M85" s="1">
        <f>K85-L85</f>
        <v>-7</v>
      </c>
      <c r="N85" s="4"/>
      <c r="O85" s="13"/>
      <c r="P85" s="2" t="s">
        <v>68</v>
      </c>
      <c r="Q85" s="1">
        <f>Q54+Q70+P81</f>
        <v>3</v>
      </c>
      <c r="R85" s="1">
        <f>Q52+Q68+P79</f>
        <v>5</v>
      </c>
      <c r="S85" s="1">
        <f>P52+P68+Q79</f>
        <v>6</v>
      </c>
      <c r="T85" s="1">
        <f>R85-S85</f>
        <v>-1</v>
      </c>
      <c r="U85" s="4"/>
      <c r="V85" s="13"/>
      <c r="W85" s="2" t="s">
        <v>70</v>
      </c>
      <c r="X85" s="1">
        <f>X54+X70+W81</f>
        <v>0</v>
      </c>
      <c r="Y85" s="1">
        <f>X52+X68+W79</f>
        <v>1</v>
      </c>
      <c r="Z85" s="1">
        <f>W52+W68+X79</f>
        <v>7</v>
      </c>
      <c r="AA85" s="1">
        <f>Y85-Z85</f>
        <v>-6</v>
      </c>
      <c r="AB85" s="4"/>
      <c r="AC85" s="13"/>
      <c r="AD85" s="2" t="s">
        <v>72</v>
      </c>
      <c r="AE85" s="1">
        <f>AE54+AE70+AD81</f>
        <v>3</v>
      </c>
      <c r="AF85" s="1">
        <f>AE52+AE68+AD79</f>
        <v>5</v>
      </c>
      <c r="AG85" s="1">
        <f>AD52+AD68+AE79</f>
        <v>5</v>
      </c>
      <c r="AH85" s="1">
        <f>AF85-AG85</f>
        <v>0</v>
      </c>
      <c r="AI85" s="4"/>
      <c r="AJ85" s="4"/>
      <c r="AK85" s="2" t="s">
        <v>74</v>
      </c>
      <c r="AL85" s="1">
        <f>AL54+AL70+AK81</f>
        <v>6</v>
      </c>
      <c r="AM85" s="1">
        <f>AL52+AL68+AK79</f>
        <v>7</v>
      </c>
      <c r="AN85" s="1">
        <f>AK52+AK68+AL79</f>
        <v>3</v>
      </c>
      <c r="AO85" s="1">
        <f>AM85-AN85</f>
        <v>4</v>
      </c>
      <c r="AP85" s="4"/>
    </row>
    <row r="86" spans="1:42" ht="17.55" customHeight="1" x14ac:dyDescent="0.45">
      <c r="A86" s="36"/>
      <c r="B86" s="2" t="s">
        <v>75</v>
      </c>
      <c r="C86" s="1">
        <f>B59+C65+C81</f>
        <v>0</v>
      </c>
      <c r="D86" s="1">
        <f>B57+C63+C79</f>
        <v>0</v>
      </c>
      <c r="E86" s="1">
        <f>C57+B63+B79</f>
        <v>9</v>
      </c>
      <c r="F86" s="1">
        <f>D86-E86</f>
        <v>-9</v>
      </c>
      <c r="G86" s="4"/>
      <c r="H86" s="36"/>
      <c r="I86" s="2" t="s">
        <v>77</v>
      </c>
      <c r="J86" s="1">
        <f>I59+J65+J81</f>
        <v>1</v>
      </c>
      <c r="K86" s="1">
        <f>I57+J63+J79</f>
        <v>1</v>
      </c>
      <c r="L86" s="1">
        <f>J57+I63+I79</f>
        <v>10</v>
      </c>
      <c r="M86" s="1">
        <f>K86-L86</f>
        <v>-9</v>
      </c>
      <c r="N86" s="4"/>
      <c r="O86" s="13"/>
      <c r="P86" s="2" t="s">
        <v>79</v>
      </c>
      <c r="Q86" s="1">
        <f>P59+Q65+Q81</f>
        <v>0</v>
      </c>
      <c r="R86" s="1">
        <f>P57+Q63+Q79</f>
        <v>0</v>
      </c>
      <c r="S86" s="1">
        <f>Q57+P63+P79</f>
        <v>11</v>
      </c>
      <c r="T86" s="1">
        <f>R86-S86</f>
        <v>-11</v>
      </c>
      <c r="U86" s="4"/>
      <c r="V86" s="13"/>
      <c r="W86" s="2" t="s">
        <v>81</v>
      </c>
      <c r="X86" s="1">
        <f>W59+X65+X81</f>
        <v>9</v>
      </c>
      <c r="Y86" s="1">
        <f>W57+X63+X79</f>
        <v>9</v>
      </c>
      <c r="Z86" s="1">
        <f>X57+W63+W79</f>
        <v>2</v>
      </c>
      <c r="AA86" s="1">
        <f>Y86-Z86</f>
        <v>7</v>
      </c>
      <c r="AB86" s="4"/>
      <c r="AC86" s="13"/>
      <c r="AD86" s="2" t="s">
        <v>83</v>
      </c>
      <c r="AE86" s="1">
        <f>AD59+AE65+AE81</f>
        <v>0</v>
      </c>
      <c r="AF86" s="1">
        <f>AD57+AE63+AE79</f>
        <v>0</v>
      </c>
      <c r="AG86" s="1">
        <f>AE57+AD63+AD79</f>
        <v>9</v>
      </c>
      <c r="AH86" s="1">
        <f>AF86-AG86</f>
        <v>-9</v>
      </c>
      <c r="AI86" s="4"/>
      <c r="AJ86" s="4"/>
      <c r="AK86" s="2" t="s">
        <v>85</v>
      </c>
      <c r="AL86" s="1">
        <f>AK59+AL65+AL81</f>
        <v>3</v>
      </c>
      <c r="AM86" s="1">
        <f>AK57+AL63+AL79</f>
        <v>4</v>
      </c>
      <c r="AN86" s="1">
        <f>AL57+AK63+AK79</f>
        <v>6</v>
      </c>
      <c r="AO86" s="1">
        <f>AM86-AN86</f>
        <v>-2</v>
      </c>
      <c r="AP86" s="4"/>
    </row>
    <row r="87" spans="1:42" x14ac:dyDescent="0.45">
      <c r="A87" s="35"/>
      <c r="B87" s="2" t="s">
        <v>76</v>
      </c>
      <c r="C87" s="1">
        <f>C59+B70+B76</f>
        <v>6</v>
      </c>
      <c r="D87" s="1">
        <f>C57+B68+B74</f>
        <v>4</v>
      </c>
      <c r="E87" s="1">
        <f>B57+C68+C74</f>
        <v>2</v>
      </c>
      <c r="F87" s="1">
        <f>D87-E87</f>
        <v>2</v>
      </c>
      <c r="G87" s="4"/>
      <c r="H87" s="35"/>
      <c r="I87" s="2" t="s">
        <v>78</v>
      </c>
      <c r="J87" s="1">
        <f>J59+I70+I76</f>
        <v>6</v>
      </c>
      <c r="K87" s="1">
        <f>J57+I68+I74</f>
        <v>6</v>
      </c>
      <c r="L87" s="1">
        <f>I57+J68+J74</f>
        <v>3</v>
      </c>
      <c r="M87" s="1">
        <f>K87-L87</f>
        <v>3</v>
      </c>
      <c r="N87" s="4"/>
      <c r="O87" s="13"/>
      <c r="P87" s="2" t="s">
        <v>80</v>
      </c>
      <c r="Q87" s="1">
        <f>Q59+P70+P76</f>
        <v>6</v>
      </c>
      <c r="R87" s="1">
        <f>Q57+P68+P74</f>
        <v>6</v>
      </c>
      <c r="S87" s="1">
        <f>P57+Q68+Q74</f>
        <v>4</v>
      </c>
      <c r="T87" s="1">
        <f>R87-S87</f>
        <v>2</v>
      </c>
      <c r="U87" s="4"/>
      <c r="V87" s="13"/>
      <c r="W87" s="2" t="s">
        <v>82</v>
      </c>
      <c r="X87" s="1">
        <f>X59+W70+W76</f>
        <v>3</v>
      </c>
      <c r="Y87" s="1">
        <f>X57+W68+W74</f>
        <v>1</v>
      </c>
      <c r="Z87" s="1">
        <f>W57+X68+X74</f>
        <v>8</v>
      </c>
      <c r="AA87" s="1">
        <f>Y87-Z87</f>
        <v>-7</v>
      </c>
      <c r="AB87" s="4"/>
      <c r="AC87" s="13"/>
      <c r="AD87" s="2" t="s">
        <v>84</v>
      </c>
      <c r="AE87" s="1">
        <f>AE59+AD70+AD76</f>
        <v>6</v>
      </c>
      <c r="AF87" s="1">
        <f>AE57+AD68+AD74</f>
        <v>6</v>
      </c>
      <c r="AG87" s="1">
        <f>AD57+AE68+AE74</f>
        <v>4</v>
      </c>
      <c r="AH87" s="1">
        <f>AF87-AG87</f>
        <v>2</v>
      </c>
      <c r="AI87" s="4"/>
      <c r="AJ87" s="4"/>
      <c r="AK87" s="2" t="s">
        <v>86</v>
      </c>
      <c r="AL87" s="1">
        <f>AL59+AK70+AK76</f>
        <v>0</v>
      </c>
      <c r="AM87" s="1">
        <f>AL57+AK68+AK74</f>
        <v>0</v>
      </c>
      <c r="AN87" s="1">
        <f>AK57+AL68+AL74</f>
        <v>8</v>
      </c>
      <c r="AO87" s="1">
        <f>AM87-AN87</f>
        <v>-8</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8</v>
      </c>
      <c r="E90" s="1" cm="1">
        <f t="array" ref="E90:E93">_xlfn.SORTBY(E84:E87,C84:C87,-1,F84:F87,-1,D84:D87,-1)</f>
        <v>1</v>
      </c>
      <c r="F90" s="1" cm="1">
        <f t="array" ref="F90:F93">_xlfn.SORTBY(F84:F87,C84:C87,-1,F84:F87,-1,D84:D87,-1)</f>
        <v>7</v>
      </c>
      <c r="G90" s="4"/>
      <c r="H90" s="33">
        <v>1</v>
      </c>
      <c r="I90" s="2" t="str" cm="1">
        <f t="array" ref="I90:I93">_xlfn.SORTBY(I84:I87,J84:J87,-1,M84:M87,-1,K84:K87,-1)</f>
        <v>Spanien</v>
      </c>
      <c r="J90" s="1" cm="1">
        <f t="array" ref="J90:J93">_xlfn.SORTBY(J84:J87,J84:J87,-1,M84:M87,-1,K84:K87,-1)</f>
        <v>9</v>
      </c>
      <c r="K90" s="1" cm="1">
        <f t="array" ref="K90:K93">_xlfn.SORTBY(K84:K87,J84:J87,-1,M84:M87,-1,K84:K87,-1)</f>
        <v>14</v>
      </c>
      <c r="L90" s="1" cm="1">
        <f t="array" ref="L90:L93">_xlfn.SORTBY(L84:L87,J84:J87,-1,M84:M87,-1,K84:K87,-1)</f>
        <v>1</v>
      </c>
      <c r="M90" s="1" cm="1">
        <f t="array" ref="M90:M93">_xlfn.SORTBY(M84:M87,J84:J87,-1,M84:M87,-1,K84:K87,-1)</f>
        <v>13</v>
      </c>
      <c r="N90" s="4"/>
      <c r="O90" s="33">
        <v>1</v>
      </c>
      <c r="P90" s="2" t="str" cm="1">
        <f t="array" ref="P90:P93">_xlfn.SORTBY(P84:P87,Q84:Q87,-1,T84:T87,-1,R84:R87,-1)</f>
        <v>Frankreich</v>
      </c>
      <c r="Q90" s="1" cm="1">
        <f t="array" ref="Q90:Q93">_xlfn.SORTBY(Q84:Q87,Q84:Q87,-1,T84:T87,-1,R84:R87,-1)</f>
        <v>9</v>
      </c>
      <c r="R90" s="1" cm="1">
        <f t="array" ref="R90:R93">_xlfn.SORTBY(R84:R87,Q84:Q87,-1,T84:T87,-1,R84:R87,-1)</f>
        <v>12</v>
      </c>
      <c r="S90" s="1" cm="1">
        <f t="array" ref="S90:S93">_xlfn.SORTBY(S84:S87,Q84:Q87,-1,T84:T87,-1,R84:R87,-1)</f>
        <v>2</v>
      </c>
      <c r="T90" s="1" cm="1">
        <f t="array" ref="T90:T93">_xlfn.SORTBY(T84:T87,Q84:Q87,-1,T84:T87,-1,R84:R87,-1)</f>
        <v>10</v>
      </c>
      <c r="U90" s="4"/>
      <c r="V90" s="33">
        <v>1</v>
      </c>
      <c r="W90" s="2" t="str" cm="1">
        <f t="array" ref="W90:W93">_xlfn.SORTBY(W84:W87,X84:X87,-1,AA84:AA87,-1,Y84:Y87,-1)</f>
        <v>Österreich</v>
      </c>
      <c r="X90" s="1" cm="1">
        <f t="array" ref="X90:X93">_xlfn.SORTBY(X84:X87,X84:X87,-1,AA84:AA87,-1,Y84:Y87,-1)</f>
        <v>9</v>
      </c>
      <c r="Y90" s="1" cm="1">
        <f t="array" ref="Y90:Y93">_xlfn.SORTBY(Y84:Y87,X84:X87,-1,AA84:AA87,-1,Y84:Y87,-1)</f>
        <v>9</v>
      </c>
      <c r="Z90" s="1" cm="1">
        <f t="array" ref="Z90:Z93">_xlfn.SORTBY(Z84:Z87,X84:X87,-1,AA84:AA87,-1,Y84:Y87,-1)</f>
        <v>2</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8</v>
      </c>
      <c r="AN90" s="1" cm="1">
        <f t="array" ref="AN90:AN93">_xlfn.SORTBY(AN84:AN87,AL84:AL87,-1,AO84:AO87,-1,AM84:AM87,-1)</f>
        <v>2</v>
      </c>
      <c r="AO90" s="1" cm="1">
        <f t="array" ref="AO90:AO93">_xlfn.SORTBY(AO84:AO87,AL84:AL87,-1,AO84:AO87,-1,AM84:AM87,-1)</f>
        <v>6</v>
      </c>
      <c r="AP90" s="4"/>
    </row>
    <row r="91" spans="1:42" x14ac:dyDescent="0.45">
      <c r="A91" s="33">
        <v>2</v>
      </c>
      <c r="B91" s="2" t="str">
        <v>Neuseeland</v>
      </c>
      <c r="C91" s="1">
        <v>6</v>
      </c>
      <c r="D91" s="1">
        <v>4</v>
      </c>
      <c r="E91" s="1">
        <v>2</v>
      </c>
      <c r="F91" s="1">
        <v>2</v>
      </c>
      <c r="G91" s="4"/>
      <c r="H91" s="33">
        <v>2</v>
      </c>
      <c r="I91" s="2" t="str">
        <v>Uruguay</v>
      </c>
      <c r="J91" s="1">
        <v>6</v>
      </c>
      <c r="K91" s="1">
        <v>6</v>
      </c>
      <c r="L91" s="1">
        <v>3</v>
      </c>
      <c r="M91" s="1">
        <v>3</v>
      </c>
      <c r="N91" s="4"/>
      <c r="O91" s="33">
        <v>2</v>
      </c>
      <c r="P91" s="2" t="str">
        <v>Norwegen</v>
      </c>
      <c r="Q91" s="1">
        <v>6</v>
      </c>
      <c r="R91" s="1">
        <v>6</v>
      </c>
      <c r="S91" s="1">
        <v>4</v>
      </c>
      <c r="T91" s="1">
        <v>2</v>
      </c>
      <c r="U91" s="4"/>
      <c r="V91" s="33">
        <v>2</v>
      </c>
      <c r="W91" s="2" t="str">
        <v>Argentinien</v>
      </c>
      <c r="X91" s="1">
        <v>6</v>
      </c>
      <c r="Y91" s="1">
        <v>9</v>
      </c>
      <c r="Z91" s="1">
        <v>3</v>
      </c>
      <c r="AA91" s="1">
        <v>6</v>
      </c>
      <c r="AB91" s="4"/>
      <c r="AC91" s="33">
        <v>2</v>
      </c>
      <c r="AD91" s="2" t="str">
        <v>Kolumbien</v>
      </c>
      <c r="AE91" s="1">
        <v>6</v>
      </c>
      <c r="AF91" s="1">
        <v>6</v>
      </c>
      <c r="AG91" s="1">
        <v>4</v>
      </c>
      <c r="AH91" s="1">
        <v>2</v>
      </c>
      <c r="AI91" s="4"/>
      <c r="AJ91" s="33">
        <v>2</v>
      </c>
      <c r="AK91" s="2" t="str">
        <v>Kroatien</v>
      </c>
      <c r="AL91" s="1">
        <v>6</v>
      </c>
      <c r="AM91" s="1">
        <v>7</v>
      </c>
      <c r="AN91" s="1">
        <v>3</v>
      </c>
      <c r="AO91" s="1">
        <v>4</v>
      </c>
      <c r="AP91" s="4"/>
    </row>
    <row r="92" spans="1:42" x14ac:dyDescent="0.45">
      <c r="A92" s="34">
        <v>3</v>
      </c>
      <c r="B92" s="2" t="str">
        <v>Ägypten</v>
      </c>
      <c r="C92" s="1">
        <v>3</v>
      </c>
      <c r="D92" s="1">
        <v>4</v>
      </c>
      <c r="E92" s="1">
        <v>4</v>
      </c>
      <c r="F92" s="1">
        <v>0</v>
      </c>
      <c r="G92" s="4"/>
      <c r="H92" s="34">
        <v>3</v>
      </c>
      <c r="I92" s="2" t="str">
        <v>Kap Verde</v>
      </c>
      <c r="J92" s="1">
        <v>1</v>
      </c>
      <c r="K92" s="1">
        <v>1</v>
      </c>
      <c r="L92" s="1">
        <v>8</v>
      </c>
      <c r="M92" s="1">
        <v>-7</v>
      </c>
      <c r="N92" s="4"/>
      <c r="O92" s="34">
        <v>3</v>
      </c>
      <c r="P92" s="2" t="str">
        <v>Senegal</v>
      </c>
      <c r="Q92" s="1">
        <v>3</v>
      </c>
      <c r="R92" s="1">
        <v>5</v>
      </c>
      <c r="S92" s="1">
        <v>6</v>
      </c>
      <c r="T92" s="1">
        <v>-1</v>
      </c>
      <c r="U92" s="4"/>
      <c r="V92" s="34">
        <v>3</v>
      </c>
      <c r="W92" s="2" t="str">
        <v>Jordanien</v>
      </c>
      <c r="X92" s="1">
        <v>3</v>
      </c>
      <c r="Y92" s="1">
        <v>1</v>
      </c>
      <c r="Z92" s="1">
        <v>8</v>
      </c>
      <c r="AA92" s="1">
        <v>-7</v>
      </c>
      <c r="AB92" s="4"/>
      <c r="AC92" s="34">
        <v>3</v>
      </c>
      <c r="AD92" s="2" t="str">
        <v>DR Kongo</v>
      </c>
      <c r="AE92" s="1">
        <v>3</v>
      </c>
      <c r="AF92" s="1">
        <v>5</v>
      </c>
      <c r="AG92" s="1">
        <v>5</v>
      </c>
      <c r="AH92" s="1">
        <v>0</v>
      </c>
      <c r="AI92" s="4"/>
      <c r="AJ92" s="34">
        <v>3</v>
      </c>
      <c r="AK92" s="2" t="str">
        <v>Ghana</v>
      </c>
      <c r="AL92" s="1">
        <v>3</v>
      </c>
      <c r="AM92" s="1">
        <v>4</v>
      </c>
      <c r="AN92" s="1">
        <v>6</v>
      </c>
      <c r="AO92" s="1">
        <v>-2</v>
      </c>
      <c r="AP92" s="4"/>
    </row>
    <row r="93" spans="1:42" x14ac:dyDescent="0.45">
      <c r="A93" s="32">
        <v>4</v>
      </c>
      <c r="B93" s="2" t="str">
        <v>Iran</v>
      </c>
      <c r="C93" s="1">
        <v>0</v>
      </c>
      <c r="D93" s="1">
        <v>0</v>
      </c>
      <c r="E93" s="1">
        <v>9</v>
      </c>
      <c r="F93" s="1">
        <v>-9</v>
      </c>
      <c r="G93" s="4"/>
      <c r="H93" s="32">
        <v>4</v>
      </c>
      <c r="I93" s="2" t="str">
        <v>Saudi-Arabien</v>
      </c>
      <c r="J93" s="1">
        <v>1</v>
      </c>
      <c r="K93" s="1">
        <v>1</v>
      </c>
      <c r="L93" s="1">
        <v>10</v>
      </c>
      <c r="M93" s="1">
        <v>-9</v>
      </c>
      <c r="N93" s="4"/>
      <c r="O93" s="32">
        <v>4</v>
      </c>
      <c r="P93" s="2" t="str">
        <v>Irak</v>
      </c>
      <c r="Q93" s="1">
        <v>0</v>
      </c>
      <c r="R93" s="1">
        <v>0</v>
      </c>
      <c r="S93" s="1">
        <v>11</v>
      </c>
      <c r="T93" s="1">
        <v>-11</v>
      </c>
      <c r="U93" s="4"/>
      <c r="V93" s="32">
        <v>4</v>
      </c>
      <c r="W93" s="2" t="str">
        <v>Algerien</v>
      </c>
      <c r="X93" s="1">
        <v>0</v>
      </c>
      <c r="Y93" s="1">
        <v>1</v>
      </c>
      <c r="Z93" s="1">
        <v>7</v>
      </c>
      <c r="AA93" s="1">
        <v>-6</v>
      </c>
      <c r="AB93" s="4"/>
      <c r="AC93" s="32">
        <v>4</v>
      </c>
      <c r="AD93" s="2" t="str">
        <v>Usbekistan</v>
      </c>
      <c r="AE93" s="1">
        <v>0</v>
      </c>
      <c r="AF93" s="1">
        <v>0</v>
      </c>
      <c r="AG93" s="1">
        <v>9</v>
      </c>
      <c r="AH93" s="1">
        <v>-9</v>
      </c>
      <c r="AI93" s="4"/>
      <c r="AJ93" s="32">
        <v>4</v>
      </c>
      <c r="AK93" s="2" t="str">
        <v>Panama</v>
      </c>
      <c r="AL93" s="1">
        <v>0</v>
      </c>
      <c r="AM93" s="1">
        <v>0</v>
      </c>
      <c r="AN93" s="1">
        <v>8</v>
      </c>
      <c r="AO93" s="1">
        <v>-8</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Ägypten</v>
      </c>
      <c r="S98" s="82"/>
      <c r="T98" s="82"/>
      <c r="U98" s="2">
        <f>C92</f>
        <v>3</v>
      </c>
      <c r="V98" s="2">
        <f>D92</f>
        <v>4</v>
      </c>
      <c r="W98" s="2">
        <f>E92</f>
        <v>4</v>
      </c>
      <c r="X98" s="2">
        <f>F92</f>
        <v>0</v>
      </c>
    </row>
    <row r="99" spans="17:24" x14ac:dyDescent="0.45">
      <c r="Q99"/>
      <c r="R99" s="82" t="str">
        <f>I92</f>
        <v>Kap Verde</v>
      </c>
      <c r="S99" s="82"/>
      <c r="T99" s="82"/>
      <c r="U99" s="2">
        <f>J92</f>
        <v>1</v>
      </c>
      <c r="V99" s="2">
        <f>K92</f>
        <v>1</v>
      </c>
      <c r="W99" s="2">
        <f>L92</f>
        <v>8</v>
      </c>
      <c r="X99" s="2">
        <f>M92</f>
        <v>-7</v>
      </c>
    </row>
    <row r="100" spans="17:24" x14ac:dyDescent="0.45">
      <c r="Q100"/>
      <c r="R100" s="82" t="str">
        <f>P92</f>
        <v>Senegal</v>
      </c>
      <c r="S100" s="82"/>
      <c r="T100" s="82"/>
      <c r="U100" s="2">
        <f>Q92</f>
        <v>3</v>
      </c>
      <c r="V100" s="2">
        <f>R92</f>
        <v>5</v>
      </c>
      <c r="W100" s="2">
        <f>S92</f>
        <v>6</v>
      </c>
      <c r="X100" s="2">
        <f>T92</f>
        <v>-1</v>
      </c>
    </row>
    <row r="101" spans="17:24" x14ac:dyDescent="0.45">
      <c r="Q101"/>
      <c r="R101" s="82" t="str">
        <f>W92</f>
        <v>Jordanien</v>
      </c>
      <c r="S101" s="82"/>
      <c r="T101" s="82"/>
      <c r="U101" s="2">
        <f>X92</f>
        <v>3</v>
      </c>
      <c r="V101" s="2">
        <f>Y92</f>
        <v>1</v>
      </c>
      <c r="W101" s="2">
        <f>Z92</f>
        <v>8</v>
      </c>
      <c r="X101" s="2">
        <f>AA92</f>
        <v>-7</v>
      </c>
    </row>
    <row r="102" spans="17:24" x14ac:dyDescent="0.45">
      <c r="Q102"/>
      <c r="R102" s="82" t="str">
        <f>AD92</f>
        <v>DR Kongo</v>
      </c>
      <c r="S102" s="82"/>
      <c r="T102" s="82"/>
      <c r="U102" s="2">
        <f>AE92</f>
        <v>3</v>
      </c>
      <c r="V102" s="2">
        <f>AF92</f>
        <v>5</v>
      </c>
      <c r="W102" s="2">
        <f>AG92</f>
        <v>5</v>
      </c>
      <c r="X102" s="2">
        <f>AH92</f>
        <v>0</v>
      </c>
    </row>
    <row r="103" spans="17:24" x14ac:dyDescent="0.45">
      <c r="Q103"/>
      <c r="R103" s="82" t="str">
        <f>AK92</f>
        <v>Ghana</v>
      </c>
      <c r="S103" s="82"/>
      <c r="T103" s="82"/>
      <c r="U103" s="2">
        <f>AL92</f>
        <v>3</v>
      </c>
      <c r="V103" s="2">
        <f>AM92</f>
        <v>4</v>
      </c>
      <c r="W103" s="2">
        <f>AN92</f>
        <v>6</v>
      </c>
      <c r="X103" s="2">
        <f>AO92</f>
        <v>-2</v>
      </c>
    </row>
    <row r="104" spans="17:24" x14ac:dyDescent="0.45">
      <c r="R104" s="82" t="str">
        <f>B45</f>
        <v>Tschechien</v>
      </c>
      <c r="S104" s="82"/>
      <c r="T104" s="82"/>
      <c r="U104" s="2">
        <f>C45</f>
        <v>3</v>
      </c>
      <c r="V104" s="2">
        <f>D45</f>
        <v>4</v>
      </c>
      <c r="W104" s="2">
        <f>E45</f>
        <v>4</v>
      </c>
      <c r="X104" s="2">
        <f>F45</f>
        <v>0</v>
      </c>
    </row>
    <row r="105" spans="17:24" x14ac:dyDescent="0.45">
      <c r="R105" s="82" t="str">
        <f>I45</f>
        <v>Kanada</v>
      </c>
      <c r="S105" s="82"/>
      <c r="T105" s="82"/>
      <c r="U105" s="2">
        <f>J45</f>
        <v>3</v>
      </c>
      <c r="V105" s="2">
        <f>K45</f>
        <v>1</v>
      </c>
      <c r="W105" s="2">
        <f>L45</f>
        <v>5</v>
      </c>
      <c r="X105" s="2">
        <f>M45</f>
        <v>-4</v>
      </c>
    </row>
    <row r="106" spans="17:24" x14ac:dyDescent="0.45">
      <c r="R106" s="82" t="str">
        <f>P45</f>
        <v>Schottland</v>
      </c>
      <c r="S106" s="82"/>
      <c r="T106" s="82"/>
      <c r="U106" s="2">
        <f>Q45</f>
        <v>3</v>
      </c>
      <c r="V106" s="2">
        <f>R45</f>
        <v>4</v>
      </c>
      <c r="W106" s="2">
        <f>S45</f>
        <v>4</v>
      </c>
      <c r="X106" s="2">
        <f>T45</f>
        <v>0</v>
      </c>
    </row>
    <row r="107" spans="17:24" x14ac:dyDescent="0.45">
      <c r="R107" s="82" t="str">
        <f>W45</f>
        <v>Australien</v>
      </c>
      <c r="S107" s="82"/>
      <c r="T107" s="82"/>
      <c r="U107" s="2">
        <f>X45</f>
        <v>3</v>
      </c>
      <c r="V107" s="2">
        <f>Y45</f>
        <v>2</v>
      </c>
      <c r="W107" s="2">
        <f>Z45</f>
        <v>4</v>
      </c>
      <c r="X107" s="2">
        <f>AA45</f>
        <v>-2</v>
      </c>
    </row>
    <row r="108" spans="17:24" x14ac:dyDescent="0.45">
      <c r="R108" s="82" t="str">
        <f>AD45</f>
        <v>Ecuador</v>
      </c>
      <c r="S108" s="82"/>
      <c r="T108" s="82"/>
      <c r="U108" s="2">
        <f>AE45</f>
        <v>3</v>
      </c>
      <c r="V108" s="2">
        <f>AF45</f>
        <v>3</v>
      </c>
      <c r="W108" s="2">
        <f>AG45</f>
        <v>8</v>
      </c>
      <c r="X108" s="2">
        <f>AH45</f>
        <v>-5</v>
      </c>
    </row>
    <row r="109" spans="17:24" x14ac:dyDescent="0.45">
      <c r="R109" s="82" t="str">
        <f>AK45</f>
        <v>Schweden</v>
      </c>
      <c r="S109" s="82"/>
      <c r="T109" s="82"/>
      <c r="U109" s="2">
        <f>AL45</f>
        <v>3</v>
      </c>
      <c r="V109" s="2">
        <f>AM45</f>
        <v>4</v>
      </c>
      <c r="W109" s="2">
        <f>AN45</f>
        <v>6</v>
      </c>
      <c r="X109" s="2">
        <f>AO45</f>
        <v>-2</v>
      </c>
    </row>
    <row r="112" spans="17:24" x14ac:dyDescent="0.45">
      <c r="Q112" s="33">
        <v>1</v>
      </c>
      <c r="R112" s="2" t="str" cm="1">
        <f t="array" ref="R112:R123">_xlfn.SORTBY(R98:R109,U98:U109,-1,X98:X109,-1,V98:V109,-1)</f>
        <v>DR Kongo</v>
      </c>
      <c r="U112" s="2" cm="1">
        <f t="array" ref="U112:U123">_xlfn.SORTBY(U98:U109,U98:U109,-1,X98:X109,-1,V98:V109,-1)</f>
        <v>3</v>
      </c>
      <c r="V112" s="2" cm="1">
        <f t="array" ref="V112:V123">_xlfn.SORTBY(V98:V109,U98:U109,-1,X98:X109,-1,V98:V109,-1)</f>
        <v>5</v>
      </c>
      <c r="W112" s="2" cm="1">
        <f t="array" ref="W112:W123">_xlfn.SORTBY(W98:W109,U98:U109,-1,X98:X109,-1,V98:V109,-1)</f>
        <v>5</v>
      </c>
      <c r="X112" s="2" cm="1">
        <f t="array" ref="X112:X123">_xlfn.SORTBY(X98:X109,U98:U109,-1,X98:X109,-1,V98:V109,-1)</f>
        <v>0</v>
      </c>
    </row>
    <row r="113" spans="17:24" x14ac:dyDescent="0.45">
      <c r="Q113" s="33">
        <v>2</v>
      </c>
      <c r="R113" s="2" t="str">
        <v>Ägypten</v>
      </c>
      <c r="U113" s="2">
        <v>3</v>
      </c>
      <c r="V113" s="2">
        <v>4</v>
      </c>
      <c r="W113" s="2">
        <v>4</v>
      </c>
      <c r="X113" s="2">
        <v>0</v>
      </c>
    </row>
    <row r="114" spans="17:24" x14ac:dyDescent="0.45">
      <c r="Q114" s="33">
        <v>3</v>
      </c>
      <c r="R114" s="2" t="str">
        <v>Tschechien</v>
      </c>
      <c r="U114" s="2">
        <v>3</v>
      </c>
      <c r="V114" s="2">
        <v>4</v>
      </c>
      <c r="W114" s="2">
        <v>4</v>
      </c>
      <c r="X114" s="2">
        <v>0</v>
      </c>
    </row>
    <row r="115" spans="17:24" x14ac:dyDescent="0.45">
      <c r="Q115" s="33">
        <v>4</v>
      </c>
      <c r="R115" s="2" t="str">
        <v>Schottland</v>
      </c>
      <c r="U115" s="2">
        <v>3</v>
      </c>
      <c r="V115" s="2">
        <v>4</v>
      </c>
      <c r="W115" s="2">
        <v>4</v>
      </c>
      <c r="X115" s="2">
        <v>0</v>
      </c>
    </row>
    <row r="116" spans="17:24" x14ac:dyDescent="0.45">
      <c r="Q116" s="33">
        <v>5</v>
      </c>
      <c r="R116" s="2" t="str">
        <v>Senegal</v>
      </c>
      <c r="U116" s="2">
        <v>3</v>
      </c>
      <c r="V116" s="2">
        <v>5</v>
      </c>
      <c r="W116" s="2">
        <v>6</v>
      </c>
      <c r="X116" s="2">
        <v>-1</v>
      </c>
    </row>
    <row r="117" spans="17:24" x14ac:dyDescent="0.45">
      <c r="Q117" s="33">
        <v>6</v>
      </c>
      <c r="R117" s="2" t="str">
        <v>Ghana</v>
      </c>
      <c r="U117" s="2">
        <v>3</v>
      </c>
      <c r="V117" s="2">
        <v>4</v>
      </c>
      <c r="W117" s="2">
        <v>6</v>
      </c>
      <c r="X117" s="2">
        <v>-2</v>
      </c>
    </row>
    <row r="118" spans="17:24" x14ac:dyDescent="0.45">
      <c r="Q118" s="33">
        <v>7</v>
      </c>
      <c r="R118" s="2" t="str">
        <v>Schweden</v>
      </c>
      <c r="U118" s="2">
        <v>3</v>
      </c>
      <c r="V118" s="2">
        <v>4</v>
      </c>
      <c r="W118" s="2">
        <v>6</v>
      </c>
      <c r="X118" s="2">
        <v>-2</v>
      </c>
    </row>
    <row r="119" spans="17:24" x14ac:dyDescent="0.45">
      <c r="Q119" s="33">
        <v>8</v>
      </c>
      <c r="R119" s="2" t="str">
        <v>Australien</v>
      </c>
      <c r="U119" s="2">
        <v>3</v>
      </c>
      <c r="V119" s="2">
        <v>2</v>
      </c>
      <c r="W119" s="2">
        <v>4</v>
      </c>
      <c r="X119" s="2">
        <v>-2</v>
      </c>
    </row>
    <row r="120" spans="17:24" x14ac:dyDescent="0.45">
      <c r="Q120" s="32">
        <v>9</v>
      </c>
      <c r="R120" s="2" t="str">
        <v>Kanada</v>
      </c>
      <c r="U120" s="2">
        <v>3</v>
      </c>
      <c r="V120" s="2">
        <v>1</v>
      </c>
      <c r="W120" s="2">
        <v>5</v>
      </c>
      <c r="X120" s="2">
        <v>-4</v>
      </c>
    </row>
    <row r="121" spans="17:24" x14ac:dyDescent="0.45">
      <c r="Q121" s="32">
        <v>10</v>
      </c>
      <c r="R121" s="2" t="str">
        <v>Ecuador</v>
      </c>
      <c r="U121" s="2">
        <v>3</v>
      </c>
      <c r="V121" s="2">
        <v>3</v>
      </c>
      <c r="W121" s="2">
        <v>8</v>
      </c>
      <c r="X121" s="2">
        <v>-5</v>
      </c>
    </row>
    <row r="122" spans="17:24" x14ac:dyDescent="0.45">
      <c r="Q122" s="32">
        <v>11</v>
      </c>
      <c r="R122" s="2" t="str">
        <v>Jordanien</v>
      </c>
      <c r="U122" s="2">
        <v>3</v>
      </c>
      <c r="V122" s="2">
        <v>1</v>
      </c>
      <c r="W122" s="2">
        <v>8</v>
      </c>
      <c r="X122" s="2">
        <v>-7</v>
      </c>
    </row>
    <row r="123" spans="17:24" x14ac:dyDescent="0.45">
      <c r="Q123" s="32">
        <v>12</v>
      </c>
      <c r="R123" s="2" t="str">
        <v>Kap Verde</v>
      </c>
      <c r="U123" s="2">
        <v>1</v>
      </c>
      <c r="V123" s="2">
        <v>1</v>
      </c>
      <c r="W123" s="2">
        <v>8</v>
      </c>
      <c r="X123" s="2">
        <v>-7</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215</v>
      </c>
    </row>
    <row r="155" spans="1:23" x14ac:dyDescent="0.45">
      <c r="A155" s="23" t="s">
        <v>103</v>
      </c>
      <c r="B155" s="24">
        <f>SUM(H160:H231)</f>
        <v>188</v>
      </c>
    </row>
    <row r="156" spans="1:23" x14ac:dyDescent="0.45">
      <c r="A156" s="23" t="s">
        <v>104</v>
      </c>
      <c r="B156" s="24">
        <f>SUM(E234:E265)</f>
        <v>135</v>
      </c>
    </row>
    <row r="157" spans="1:23" x14ac:dyDescent="0.45">
      <c r="A157" s="25" t="s">
        <v>105</v>
      </c>
      <c r="B157" s="26">
        <f>B154+B155+B156</f>
        <v>538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0</v>
      </c>
      <c r="H160" s="28">
        <f>IF(OR(B5="",Realität!B5=""),0,MAX(0,5-ABS(B5-Realität!B5)-ABS(C5-Realität!C5)))</f>
        <v>1</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2</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4</v>
      </c>
    </row>
    <row r="164" spans="1:8" x14ac:dyDescent="0.45">
      <c r="A164" s="28">
        <v>5</v>
      </c>
      <c r="B164" s="29" t="s">
        <v>125</v>
      </c>
      <c r="C164" s="30" t="s">
        <v>126</v>
      </c>
      <c r="D164" s="30" t="s">
        <v>127</v>
      </c>
      <c r="E164" s="28">
        <f>Realität!B27</f>
        <v>1</v>
      </c>
      <c r="F164" s="28">
        <f>Realität!C27</f>
        <v>0</v>
      </c>
      <c r="G164" s="28">
        <f>IF(OR(B27="",Realität!B27=""),0,IF(SIGN(B27-C27)=SIGN(Realität!B27-Realität!C27),5,0))</f>
        <v>5</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3</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1</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4</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3</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2</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3</v>
      </c>
    </row>
    <row r="178" spans="1:8" x14ac:dyDescent="0.45">
      <c r="A178" s="28">
        <v>19</v>
      </c>
      <c r="B178" s="29" t="s">
        <v>167</v>
      </c>
      <c r="C178" s="30" t="s">
        <v>168</v>
      </c>
      <c r="D178" s="30" t="s">
        <v>169</v>
      </c>
      <c r="E178" s="28">
        <f>Realität!W5</f>
        <v>4</v>
      </c>
      <c r="F178" s="28">
        <f>Realität!X5</f>
        <v>1</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1</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4</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2</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2</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2</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2</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3</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3</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3</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1</v>
      </c>
    </row>
    <row r="199" spans="1:8" x14ac:dyDescent="0.45">
      <c r="A199" s="28">
        <v>40</v>
      </c>
      <c r="B199" s="29" t="s">
        <v>230</v>
      </c>
      <c r="C199" s="30" t="s">
        <v>231</v>
      </c>
      <c r="D199" s="30" t="s">
        <v>232</v>
      </c>
      <c r="E199" s="28">
        <f>Realität!B68</f>
        <v>1</v>
      </c>
      <c r="F199" s="28">
        <f>Realität!C68</f>
        <v>3</v>
      </c>
      <c r="G199" s="28">
        <f>IF(OR(B68="",Realität!B68=""),0,IF(SIGN(B68-C68)=SIGN(Realität!B68-Realität!C68),5,0))</f>
        <v>0</v>
      </c>
      <c r="H199" s="28">
        <f>IF(OR(B68="",Realität!B68=""),0,MAX(0,5-ABS(B68-Realität!B68)-ABS(C68-Realität!C68)))</f>
        <v>1</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2</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2</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3</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2</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3</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3</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4</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3</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5</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4</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1</v>
      </c>
    </row>
    <row r="217" spans="1:8" x14ac:dyDescent="0.45">
      <c r="A217" s="28">
        <v>58</v>
      </c>
      <c r="B217" s="29" t="s">
        <v>284</v>
      </c>
      <c r="C217" s="30" t="s">
        <v>285</v>
      </c>
      <c r="D217" s="30" t="s">
        <v>286</v>
      </c>
      <c r="E217" s="28">
        <f>Realität!W68</f>
        <v>1</v>
      </c>
      <c r="F217" s="28">
        <f>Realität!X68</f>
        <v>2</v>
      </c>
      <c r="G217" s="28">
        <f>IF(OR(W68="",Realität!W68=""),0,IF(SIGN(W68-X68)=SIGN(Realität!W68-Realität!X68),5,0))</f>
        <v>0</v>
      </c>
      <c r="H217" s="28">
        <f>IF(OR(W68="",Realität!W68=""),0,MAX(0,5-ABS(W68-Realität!W68)-ABS(X68-Realität!X68)))</f>
        <v>3</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2</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3</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4</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1</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4</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1</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215</v>
      </c>
      <c r="H232" s="24">
        <f>SUM(H160:H231)</f>
        <v>188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Südafrika</v>
      </c>
      <c r="E234" s="28">
        <f t="shared" ref="E234:E265" si="0">IF(OR(C234="",D234=""),0,IF(COUNTIF($C$234:$C$265,D234)&gt;0,5,0))</f>
        <v>5</v>
      </c>
    </row>
    <row r="235" spans="1:8" x14ac:dyDescent="0.45">
      <c r="A235" s="28">
        <v>2</v>
      </c>
      <c r="B235" s="29" t="s">
        <v>335</v>
      </c>
      <c r="C235" s="29" t="str">
        <f>Realität!B44</f>
        <v>Südafrika</v>
      </c>
      <c r="D235" s="29" t="str">
        <f>B44</f>
        <v>Mexiko</v>
      </c>
      <c r="E235" s="28">
        <f t="shared" si="0"/>
        <v>5</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Australien</v>
      </c>
      <c r="D241" s="29" t="str">
        <f>W44</f>
        <v>Paraguay</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Elfenbeinküste</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Neuseeland</v>
      </c>
      <c r="E247" s="28">
        <f t="shared" si="0"/>
        <v>0</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Norwegen</v>
      </c>
      <c r="E251" s="28">
        <f t="shared" si="0"/>
        <v>5</v>
      </c>
    </row>
    <row r="252" spans="1:5" x14ac:dyDescent="0.45">
      <c r="A252" s="28">
        <v>19</v>
      </c>
      <c r="B252" s="29" t="s">
        <v>352</v>
      </c>
      <c r="C252" s="29" t="str">
        <f>Realität!W90</f>
        <v>Argentinien</v>
      </c>
      <c r="D252" s="29" t="str">
        <f>W90</f>
        <v>Österreich</v>
      </c>
      <c r="E252" s="28">
        <f t="shared" si="0"/>
        <v>5</v>
      </c>
    </row>
    <row r="253" spans="1:5" x14ac:dyDescent="0.45">
      <c r="A253" s="28">
        <v>20</v>
      </c>
      <c r="B253" s="29" t="s">
        <v>353</v>
      </c>
      <c r="C253" s="29" t="str">
        <f>Realität!W91</f>
        <v>Österreich</v>
      </c>
      <c r="D253" s="29" t="str">
        <f>W91</f>
        <v>Argentinien</v>
      </c>
      <c r="E253" s="28">
        <f t="shared" si="0"/>
        <v>5</v>
      </c>
    </row>
    <row r="254" spans="1:5" x14ac:dyDescent="0.45">
      <c r="A254" s="28">
        <v>21</v>
      </c>
      <c r="B254" s="29" t="s">
        <v>354</v>
      </c>
      <c r="C254" s="29" t="str">
        <f>Realität!AD90</f>
        <v>Kolumbien</v>
      </c>
      <c r="D254" s="29" t="str">
        <f>AD90</f>
        <v>Portugal</v>
      </c>
      <c r="E254" s="28">
        <f t="shared" si="0"/>
        <v>5</v>
      </c>
    </row>
    <row r="255" spans="1:5" x14ac:dyDescent="0.45">
      <c r="A255" s="28">
        <v>22</v>
      </c>
      <c r="B255" s="29" t="s">
        <v>355</v>
      </c>
      <c r="C255" s="29" t="str">
        <f>Realität!AD91</f>
        <v>Portugal</v>
      </c>
      <c r="D255" s="29" t="str">
        <f>AD91</f>
        <v>Kolumbien</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DR Kongo</v>
      </c>
      <c r="E258" s="28">
        <f t="shared" si="0"/>
        <v>5</v>
      </c>
    </row>
    <row r="259" spans="1:5" x14ac:dyDescent="0.45">
      <c r="A259" s="28">
        <v>26</v>
      </c>
      <c r="B259" s="29" t="s">
        <v>359</v>
      </c>
      <c r="C259" s="29" t="str">
        <f>Realität!R113</f>
        <v>Schweden</v>
      </c>
      <c r="D259" s="29" t="str">
        <f t="shared" si="1"/>
        <v>Ägypten</v>
      </c>
      <c r="E259" s="28">
        <f t="shared" si="0"/>
        <v>5</v>
      </c>
    </row>
    <row r="260" spans="1:5" x14ac:dyDescent="0.45">
      <c r="A260" s="28">
        <v>27</v>
      </c>
      <c r="B260" s="29" t="s">
        <v>360</v>
      </c>
      <c r="C260" s="29" t="str">
        <f>Realität!R114</f>
        <v>Ghana</v>
      </c>
      <c r="D260" s="29" t="str">
        <f t="shared" si="1"/>
        <v>Tschechien</v>
      </c>
      <c r="E260" s="28">
        <f t="shared" si="0"/>
        <v>0</v>
      </c>
    </row>
    <row r="261" spans="1:5" x14ac:dyDescent="0.45">
      <c r="A261" s="28">
        <v>28</v>
      </c>
      <c r="B261" s="29" t="s">
        <v>361</v>
      </c>
      <c r="C261" s="29" t="str">
        <f>Realität!R115</f>
        <v>Ecuador</v>
      </c>
      <c r="D261" s="29" t="str">
        <f t="shared" si="1"/>
        <v>Schottland</v>
      </c>
      <c r="E261" s="28">
        <f t="shared" si="0"/>
        <v>0</v>
      </c>
    </row>
    <row r="262" spans="1:5" x14ac:dyDescent="0.45">
      <c r="A262" s="28">
        <v>29</v>
      </c>
      <c r="B262" s="29" t="s">
        <v>362</v>
      </c>
      <c r="C262" s="29" t="str">
        <f>Realität!R116</f>
        <v>Bosnien-Herz.</v>
      </c>
      <c r="D262" s="29" t="str">
        <f t="shared" si="1"/>
        <v>Senegal</v>
      </c>
      <c r="E262" s="28">
        <f t="shared" si="0"/>
        <v>5</v>
      </c>
    </row>
    <row r="263" spans="1:5" x14ac:dyDescent="0.45">
      <c r="A263" s="28">
        <v>30</v>
      </c>
      <c r="B263" s="29" t="s">
        <v>363</v>
      </c>
      <c r="C263" s="29" t="str">
        <f>Realität!R117</f>
        <v>Algerien</v>
      </c>
      <c r="D263" s="29" t="str">
        <f t="shared" si="1"/>
        <v>Ghana</v>
      </c>
      <c r="E263" s="28">
        <f t="shared" si="0"/>
        <v>5</v>
      </c>
    </row>
    <row r="264" spans="1:5" x14ac:dyDescent="0.45">
      <c r="A264" s="28">
        <v>31</v>
      </c>
      <c r="B264" s="29" t="s">
        <v>364</v>
      </c>
      <c r="C264" s="29" t="str">
        <f>Realität!R118</f>
        <v>Paraguay</v>
      </c>
      <c r="D264" s="29" t="str">
        <f t="shared" si="1"/>
        <v>Schweden</v>
      </c>
      <c r="E264" s="28">
        <f t="shared" si="0"/>
        <v>5</v>
      </c>
    </row>
    <row r="265" spans="1:5" x14ac:dyDescent="0.45">
      <c r="A265" s="28">
        <v>32</v>
      </c>
      <c r="B265" s="29" t="s">
        <v>365</v>
      </c>
      <c r="C265" s="29" t="str">
        <f>Realität!R119</f>
        <v>Senegal</v>
      </c>
      <c r="D265" s="29" t="str">
        <f t="shared" si="1"/>
        <v>Australien</v>
      </c>
      <c r="E265" s="28">
        <f t="shared" si="0"/>
        <v>5</v>
      </c>
    </row>
    <row r="266" spans="1:5" x14ac:dyDescent="0.45">
      <c r="D266" s="23" t="s">
        <v>330</v>
      </c>
      <c r="E266" s="24">
        <f>SUM(E234:E265)</f>
        <v>135</v>
      </c>
    </row>
  </sheetData>
  <mergeCells count="146">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 ref="B80:C80"/>
    <mergeCell ref="I80:J80"/>
    <mergeCell ref="P80:Q80"/>
    <mergeCell ref="W80:X80"/>
    <mergeCell ref="AD80:AE80"/>
    <mergeCell ref="AK80:AL80"/>
    <mergeCell ref="B89:C89"/>
    <mergeCell ref="I89:J89"/>
    <mergeCell ref="P89:Q89"/>
    <mergeCell ref="W89:X89"/>
    <mergeCell ref="AD89:AE89"/>
    <mergeCell ref="AK89:AL89"/>
    <mergeCell ref="B72:C72"/>
    <mergeCell ref="I72:J72"/>
    <mergeCell ref="P72:Q72"/>
    <mergeCell ref="W72:X72"/>
    <mergeCell ref="AD72:AE72"/>
    <mergeCell ref="AK72:AL72"/>
    <mergeCell ref="B75:C75"/>
    <mergeCell ref="I75:J75"/>
    <mergeCell ref="P75:Q75"/>
    <mergeCell ref="W75:X75"/>
    <mergeCell ref="AD75:AE75"/>
    <mergeCell ref="AK75:AL75"/>
    <mergeCell ref="B64:C64"/>
    <mergeCell ref="I64:J64"/>
    <mergeCell ref="P64:Q64"/>
    <mergeCell ref="W64:X64"/>
    <mergeCell ref="AD64:AE64"/>
    <mergeCell ref="AK64:AL64"/>
    <mergeCell ref="B69:C69"/>
    <mergeCell ref="I69:J69"/>
    <mergeCell ref="P69:Q69"/>
    <mergeCell ref="W69:X69"/>
    <mergeCell ref="AD69:AE69"/>
    <mergeCell ref="AK69:AL69"/>
    <mergeCell ref="B58:C58"/>
    <mergeCell ref="I58:J58"/>
    <mergeCell ref="P58:Q58"/>
    <mergeCell ref="W58:X58"/>
    <mergeCell ref="AD58:AE58"/>
    <mergeCell ref="AK58:AL58"/>
    <mergeCell ref="B61:C61"/>
    <mergeCell ref="I61:J61"/>
    <mergeCell ref="P61:Q61"/>
    <mergeCell ref="W61:X61"/>
    <mergeCell ref="AD61:AE61"/>
    <mergeCell ref="AK61:AL61"/>
    <mergeCell ref="B50:C50"/>
    <mergeCell ref="I50:J50"/>
    <mergeCell ref="P50:Q50"/>
    <mergeCell ref="W50:X50"/>
    <mergeCell ref="AD50:AE50"/>
    <mergeCell ref="AK50:AL50"/>
    <mergeCell ref="B53:C53"/>
    <mergeCell ref="I53:J53"/>
    <mergeCell ref="P53:Q53"/>
    <mergeCell ref="W53:X53"/>
    <mergeCell ref="AD53:AE53"/>
    <mergeCell ref="AK53:AL53"/>
    <mergeCell ref="B42:C42"/>
    <mergeCell ref="I42:J42"/>
    <mergeCell ref="P42:Q42"/>
    <mergeCell ref="W42:X42"/>
    <mergeCell ref="AD42:AE42"/>
    <mergeCell ref="AK42:AL42"/>
    <mergeCell ref="A48:D49"/>
    <mergeCell ref="H48:K49"/>
    <mergeCell ref="O48:R49"/>
    <mergeCell ref="V48:Y49"/>
    <mergeCell ref="AC48:AF49"/>
    <mergeCell ref="AJ48:AM49"/>
    <mergeCell ref="B28:C28"/>
    <mergeCell ref="I28:J28"/>
    <mergeCell ref="P28:Q28"/>
    <mergeCell ref="W28:X28"/>
    <mergeCell ref="AD28:AE28"/>
    <mergeCell ref="AK28:AL28"/>
    <mergeCell ref="B33:C33"/>
    <mergeCell ref="I33:J33"/>
    <mergeCell ref="P33:Q33"/>
    <mergeCell ref="W33:X33"/>
    <mergeCell ref="AD33:AE33"/>
    <mergeCell ref="AK33:AL33"/>
    <mergeCell ref="B22:C22"/>
    <mergeCell ref="I22:J22"/>
    <mergeCell ref="P22:Q22"/>
    <mergeCell ref="W22:X22"/>
    <mergeCell ref="AD22:AE22"/>
    <mergeCell ref="AK22:AL22"/>
    <mergeCell ref="B25:C25"/>
    <mergeCell ref="I25:J25"/>
    <mergeCell ref="P25:Q25"/>
    <mergeCell ref="W25:X25"/>
    <mergeCell ref="AD25:AE25"/>
    <mergeCell ref="AK25:AL25"/>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s>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43FC-5152-4346-8DD2-30F5CF7B80B2}">
  <dimension ref="A1:AP266"/>
  <sheetViews>
    <sheetView topLeftCell="A235" workbookViewId="0">
      <selection activeCell="A152" sqref="A152:H26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1</v>
      </c>
      <c r="D5" s="4"/>
      <c r="E5" s="4"/>
      <c r="F5" s="4"/>
      <c r="G5" s="4"/>
      <c r="H5" s="4"/>
      <c r="I5" s="38">
        <v>1</v>
      </c>
      <c r="J5" s="38">
        <v>2</v>
      </c>
      <c r="K5" s="4"/>
      <c r="L5" s="4"/>
      <c r="M5" s="4"/>
      <c r="N5" s="4"/>
      <c r="O5" s="4"/>
      <c r="P5" s="38">
        <v>2</v>
      </c>
      <c r="Q5" s="38">
        <v>1</v>
      </c>
      <c r="R5" s="4"/>
      <c r="S5" s="4"/>
      <c r="T5" s="4"/>
      <c r="U5" s="4"/>
      <c r="V5" s="4"/>
      <c r="W5" s="38">
        <v>1</v>
      </c>
      <c r="X5" s="38">
        <v>0</v>
      </c>
      <c r="Y5" s="4"/>
      <c r="Z5" s="4"/>
      <c r="AA5" s="4"/>
      <c r="AB5" s="4"/>
      <c r="AC5" s="4"/>
      <c r="AD5" s="38">
        <v>4</v>
      </c>
      <c r="AE5" s="38">
        <v>0</v>
      </c>
      <c r="AF5" s="4"/>
      <c r="AG5" s="4"/>
      <c r="AH5" s="4"/>
      <c r="AI5" s="4"/>
      <c r="AJ5" s="4"/>
      <c r="AK5" s="38">
        <v>2</v>
      </c>
      <c r="AL5" s="38">
        <v>2</v>
      </c>
      <c r="AM5" s="4"/>
      <c r="AN5" s="4"/>
      <c r="AO5" s="4"/>
      <c r="AP5" s="4"/>
    </row>
    <row r="6" spans="1:42" x14ac:dyDescent="0.45">
      <c r="A6" s="4"/>
      <c r="B6" s="80" t="str">
        <f>IF(B5=C5,"Unentschieden",IF(B5&gt;C5,B4,C4))</f>
        <v>Mexiko</v>
      </c>
      <c r="C6" s="80"/>
      <c r="D6" s="4"/>
      <c r="E6" s="4"/>
      <c r="F6" s="4"/>
      <c r="G6" s="4"/>
      <c r="H6" s="4"/>
      <c r="I6" s="80" t="str">
        <f>IF(I5=J5,"Unentschieden",IF(I5&gt;J5,I4,J4))</f>
        <v>Bosnien-Herz.</v>
      </c>
      <c r="J6" s="80"/>
      <c r="K6" s="4"/>
      <c r="L6" s="4"/>
      <c r="M6" s="4"/>
      <c r="N6" s="4"/>
      <c r="O6" s="4"/>
      <c r="P6" s="80" t="str">
        <f>IF(P5=Q5,"Unentschieden",IF(P5&gt;Q5,P4,Q4))</f>
        <v>Brasilien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0</v>
      </c>
      <c r="D10" s="4"/>
      <c r="E10" s="4"/>
      <c r="F10" s="4"/>
      <c r="G10" s="4"/>
      <c r="H10" s="4"/>
      <c r="I10" s="38">
        <v>0</v>
      </c>
      <c r="J10" s="38">
        <v>2</v>
      </c>
      <c r="K10" s="4"/>
      <c r="L10" s="4"/>
      <c r="M10" s="4"/>
      <c r="N10" s="4"/>
      <c r="O10" s="4"/>
      <c r="P10" s="38">
        <v>0</v>
      </c>
      <c r="Q10" s="38">
        <v>1</v>
      </c>
      <c r="R10" s="4"/>
      <c r="S10" s="4"/>
      <c r="T10" s="4"/>
      <c r="U10" s="4"/>
      <c r="V10" s="4"/>
      <c r="W10" s="38">
        <v>1</v>
      </c>
      <c r="X10" s="38">
        <v>3</v>
      </c>
      <c r="Y10" s="4"/>
      <c r="Z10" s="4"/>
      <c r="AA10" s="4"/>
      <c r="AB10" s="4"/>
      <c r="AC10" s="4"/>
      <c r="AD10" s="38">
        <v>2</v>
      </c>
      <c r="AE10" s="38">
        <v>1</v>
      </c>
      <c r="AF10" s="4"/>
      <c r="AG10" s="4"/>
      <c r="AH10" s="4"/>
      <c r="AI10" s="4"/>
      <c r="AJ10" s="4"/>
      <c r="AK10" s="38">
        <v>1</v>
      </c>
      <c r="AL10" s="38">
        <v>0</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2</v>
      </c>
      <c r="J16" s="38">
        <v>1</v>
      </c>
      <c r="K16" s="4"/>
      <c r="L16" s="4"/>
      <c r="M16" s="4"/>
      <c r="N16" s="4"/>
      <c r="O16" s="4"/>
      <c r="P16" s="38">
        <v>0</v>
      </c>
      <c r="Q16" s="38">
        <v>1</v>
      </c>
      <c r="R16" s="4"/>
      <c r="S16" s="4"/>
      <c r="T16" s="4"/>
      <c r="U16" s="4"/>
      <c r="V16" s="4"/>
      <c r="W16" s="38">
        <v>1</v>
      </c>
      <c r="X16" s="38">
        <v>0</v>
      </c>
      <c r="Y16" s="4"/>
      <c r="Z16" s="4"/>
      <c r="AA16" s="4"/>
      <c r="AB16" s="4"/>
      <c r="AC16" s="4"/>
      <c r="AD16" s="38">
        <v>1</v>
      </c>
      <c r="AE16" s="38">
        <v>0</v>
      </c>
      <c r="AF16" s="4"/>
      <c r="AG16" s="4"/>
      <c r="AH16" s="4"/>
      <c r="AI16" s="4"/>
      <c r="AJ16" s="4"/>
      <c r="AK16" s="38">
        <v>0</v>
      </c>
      <c r="AL16" s="38">
        <v>1</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0</v>
      </c>
      <c r="J21" s="38">
        <v>0</v>
      </c>
      <c r="K21" s="4"/>
      <c r="L21" s="4"/>
      <c r="M21" s="4"/>
      <c r="N21" s="4"/>
      <c r="O21" s="4"/>
      <c r="P21" s="38">
        <v>3</v>
      </c>
      <c r="Q21" s="38">
        <v>0</v>
      </c>
      <c r="R21" s="4"/>
      <c r="S21" s="4"/>
      <c r="T21" s="4"/>
      <c r="U21" s="4"/>
      <c r="V21" s="4"/>
      <c r="W21" s="38">
        <v>1</v>
      </c>
      <c r="X21" s="38">
        <v>1</v>
      </c>
      <c r="Y21" s="4"/>
      <c r="Z21" s="4"/>
      <c r="AA21" s="4"/>
      <c r="AB21" s="4"/>
      <c r="AC21" s="4"/>
      <c r="AD21" s="38">
        <v>3</v>
      </c>
      <c r="AE21" s="38">
        <v>1</v>
      </c>
      <c r="AF21" s="4"/>
      <c r="AG21" s="4"/>
      <c r="AH21" s="4"/>
      <c r="AI21" s="4"/>
      <c r="AJ21" s="4"/>
      <c r="AK21" s="38">
        <v>2</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Unentschieden</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1</v>
      </c>
      <c r="J23" s="1">
        <f>IF(J21=I21,1,IF(J21&gt;I21,3,0))</f>
        <v>1</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2</v>
      </c>
      <c r="Q27" s="38">
        <v>0</v>
      </c>
      <c r="R27" s="4"/>
      <c r="S27" s="4"/>
      <c r="T27" s="4"/>
      <c r="U27" s="4"/>
      <c r="V27" s="4"/>
      <c r="W27" s="38">
        <v>0</v>
      </c>
      <c r="X27" s="38">
        <v>1</v>
      </c>
      <c r="Y27" s="4"/>
      <c r="Z27" s="4"/>
      <c r="AA27" s="4"/>
      <c r="AB27" s="4"/>
      <c r="AC27" s="4"/>
      <c r="AD27" s="38">
        <v>0</v>
      </c>
      <c r="AE27" s="38">
        <v>1</v>
      </c>
      <c r="AF27" s="4"/>
      <c r="AG27" s="4"/>
      <c r="AH27" s="4"/>
      <c r="AI27" s="4"/>
      <c r="AJ27" s="4"/>
      <c r="AK27" s="38">
        <v>2</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Unentschieden</v>
      </c>
      <c r="J28" s="80"/>
      <c r="K28" s="4"/>
      <c r="L28" s="4"/>
      <c r="M28" s="4"/>
      <c r="N28" s="4"/>
      <c r="O28" s="4"/>
      <c r="P28" s="80" t="str">
        <f>IF(P27=Q27,"Unentschieden",IF(P27&gt;Q27,P26,Q26))</f>
        <v>Marokko</v>
      </c>
      <c r="Q28" s="80"/>
      <c r="R28" s="4"/>
      <c r="S28" s="4"/>
      <c r="T28" s="4"/>
      <c r="U28" s="4"/>
      <c r="V28" s="4"/>
      <c r="W28" s="80" t="str">
        <f>IF(W27=X27,"Unentschieden",IF(W27&gt;X27,W26,X26))</f>
        <v>Australien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2</v>
      </c>
      <c r="J32" s="38">
        <v>1</v>
      </c>
      <c r="K32" s="4"/>
      <c r="L32" s="4"/>
      <c r="M32" s="4"/>
      <c r="N32" s="4"/>
      <c r="O32" s="4"/>
      <c r="P32" s="38">
        <v>0</v>
      </c>
      <c r="Q32" s="38">
        <v>4</v>
      </c>
      <c r="R32" s="4"/>
      <c r="S32" s="4"/>
      <c r="T32" s="4"/>
      <c r="U32" s="4"/>
      <c r="V32" s="4"/>
      <c r="W32" s="38">
        <v>2</v>
      </c>
      <c r="X32" s="38">
        <v>2</v>
      </c>
      <c r="Y32" s="4"/>
      <c r="Z32" s="4"/>
      <c r="AA32" s="4"/>
      <c r="AB32" s="4"/>
      <c r="AC32" s="4"/>
      <c r="AD32" s="38">
        <v>0</v>
      </c>
      <c r="AE32" s="38">
        <v>2</v>
      </c>
      <c r="AF32" s="4"/>
      <c r="AG32" s="4"/>
      <c r="AH32" s="4"/>
      <c r="AI32" s="4"/>
      <c r="AJ32" s="4"/>
      <c r="AK32" s="38">
        <v>0</v>
      </c>
      <c r="AL32" s="38">
        <v>1</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Unentschieden</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4</v>
      </c>
      <c r="E37" s="1">
        <f>C5+C21+B32</f>
        <v>2</v>
      </c>
      <c r="F37" s="1">
        <f>D37-E37</f>
        <v>2</v>
      </c>
      <c r="G37" s="4"/>
      <c r="H37" s="37"/>
      <c r="I37" s="2" t="s">
        <v>27</v>
      </c>
      <c r="J37" s="1">
        <f>I7+I23+J34</f>
        <v>1</v>
      </c>
      <c r="K37" s="1">
        <f>I5+I21+J32</f>
        <v>2</v>
      </c>
      <c r="L37" s="1">
        <f>J5+J21+I32</f>
        <v>4</v>
      </c>
      <c r="M37" s="1">
        <f>K37-L37</f>
        <v>-2</v>
      </c>
      <c r="N37" s="4"/>
      <c r="O37" s="13"/>
      <c r="P37" s="2" t="s">
        <v>29</v>
      </c>
      <c r="Q37" s="1">
        <f>P7+P23+Q34</f>
        <v>9</v>
      </c>
      <c r="R37" s="1">
        <f>P5+P21+Q32</f>
        <v>9</v>
      </c>
      <c r="S37" s="1">
        <f>Q5+Q21+P32</f>
        <v>1</v>
      </c>
      <c r="T37" s="1">
        <f>R37-S37</f>
        <v>8</v>
      </c>
      <c r="U37" s="4"/>
      <c r="V37" s="13"/>
      <c r="W37" s="2" t="s">
        <v>31</v>
      </c>
      <c r="X37" s="1">
        <f>W7+W23+X34</f>
        <v>5</v>
      </c>
      <c r="Y37" s="1">
        <f>W5+W21+X32</f>
        <v>4</v>
      </c>
      <c r="Z37" s="1">
        <f>X5+X21+W32</f>
        <v>3</v>
      </c>
      <c r="AA37" s="1">
        <f>Y37-Z37</f>
        <v>1</v>
      </c>
      <c r="AB37" s="4"/>
      <c r="AC37" s="13"/>
      <c r="AD37" s="2" t="s">
        <v>33</v>
      </c>
      <c r="AE37" s="1">
        <f>AD7+AD23+AE34</f>
        <v>9</v>
      </c>
      <c r="AF37" s="1">
        <f>AD5+AD21+AE32</f>
        <v>9</v>
      </c>
      <c r="AG37" s="1">
        <f>AE5+AE21+AD32</f>
        <v>1</v>
      </c>
      <c r="AH37" s="1">
        <f>AF37-AG37</f>
        <v>8</v>
      </c>
      <c r="AI37" s="4"/>
      <c r="AJ37" s="4"/>
      <c r="AK37" s="2" t="s">
        <v>35</v>
      </c>
      <c r="AL37" s="1">
        <f>AK7+AK23+AL34</f>
        <v>7</v>
      </c>
      <c r="AM37" s="1">
        <f>AK5+AK21+AL32</f>
        <v>5</v>
      </c>
      <c r="AN37" s="1">
        <f>AL5+AL21+AK32</f>
        <v>3</v>
      </c>
      <c r="AO37" s="1">
        <f>AM37-AN37</f>
        <v>2</v>
      </c>
      <c r="AP37" s="4"/>
    </row>
    <row r="38" spans="1:42" x14ac:dyDescent="0.45">
      <c r="A38" s="37"/>
      <c r="B38" s="2" t="s">
        <v>26</v>
      </c>
      <c r="C38" s="1">
        <f>C7+C18+B29</f>
        <v>0</v>
      </c>
      <c r="D38" s="1">
        <f>C5+C16+B27</f>
        <v>1</v>
      </c>
      <c r="E38" s="1">
        <f>B5+B16+C27</f>
        <v>4</v>
      </c>
      <c r="F38" s="1">
        <f>D38-E38</f>
        <v>-3</v>
      </c>
      <c r="G38" s="4"/>
      <c r="H38" s="37"/>
      <c r="I38" s="2" t="s">
        <v>28</v>
      </c>
      <c r="J38" s="1">
        <f>J7+J18+I29</f>
        <v>4</v>
      </c>
      <c r="K38" s="1">
        <f>J5+J16+I27</f>
        <v>4</v>
      </c>
      <c r="L38" s="1">
        <f>I5+I16+J27</f>
        <v>4</v>
      </c>
      <c r="M38" s="1">
        <f>K38-L38</f>
        <v>0</v>
      </c>
      <c r="N38" s="4"/>
      <c r="O38" s="13"/>
      <c r="P38" s="2" t="s">
        <v>30</v>
      </c>
      <c r="Q38" s="1">
        <f>Q7+Q18+P29</f>
        <v>6</v>
      </c>
      <c r="R38" s="1">
        <f>Q5+Q16+P27</f>
        <v>4</v>
      </c>
      <c r="S38" s="1">
        <f>P5+P16+Q27</f>
        <v>2</v>
      </c>
      <c r="T38" s="1">
        <f>R38-S38</f>
        <v>2</v>
      </c>
      <c r="U38" s="4"/>
      <c r="V38" s="13"/>
      <c r="W38" s="2" t="s">
        <v>32</v>
      </c>
      <c r="X38" s="1">
        <f>X7+X18+W29</f>
        <v>0</v>
      </c>
      <c r="Y38" s="1">
        <f>X5+X16+W27</f>
        <v>0</v>
      </c>
      <c r="Z38" s="1">
        <f>W5+W16+X27</f>
        <v>3</v>
      </c>
      <c r="AA38" s="1">
        <f>Y38-Z38</f>
        <v>-3</v>
      </c>
      <c r="AB38" s="4"/>
      <c r="AC38" s="13"/>
      <c r="AD38" s="2" t="s">
        <v>34</v>
      </c>
      <c r="AE38" s="1">
        <f>AE7+AE18+AD29</f>
        <v>0</v>
      </c>
      <c r="AF38" s="1">
        <f>AE5+AE16+AD27</f>
        <v>0</v>
      </c>
      <c r="AG38" s="1">
        <f>AD5+AD16+AE27</f>
        <v>6</v>
      </c>
      <c r="AH38" s="1">
        <f>AF38-AG38</f>
        <v>-6</v>
      </c>
      <c r="AI38" s="4"/>
      <c r="AJ38" s="4"/>
      <c r="AK38" s="2" t="s">
        <v>36</v>
      </c>
      <c r="AL38" s="1">
        <f>AL7+AL18+AK29</f>
        <v>7</v>
      </c>
      <c r="AM38" s="1">
        <f>AL5+AL16+AK27</f>
        <v>5</v>
      </c>
      <c r="AN38" s="1">
        <f>AK5+AK16+AL27</f>
        <v>3</v>
      </c>
      <c r="AO38" s="1">
        <f>AM38-AN38</f>
        <v>2</v>
      </c>
      <c r="AP38" s="4"/>
    </row>
    <row r="39" spans="1:42" x14ac:dyDescent="0.45">
      <c r="A39" s="36"/>
      <c r="B39" s="2" t="s">
        <v>37</v>
      </c>
      <c r="C39" s="1">
        <f>B12+C23+C29</f>
        <v>6</v>
      </c>
      <c r="D39" s="1">
        <f>B10+C21+C27</f>
        <v>2</v>
      </c>
      <c r="E39" s="1">
        <f>C10+B21+B27</f>
        <v>1</v>
      </c>
      <c r="F39" s="1">
        <f>D39-E39</f>
        <v>1</v>
      </c>
      <c r="G39" s="4"/>
      <c r="H39" s="36"/>
      <c r="I39" s="2" t="s">
        <v>39</v>
      </c>
      <c r="J39" s="1">
        <f>I12+J23+J29</f>
        <v>2</v>
      </c>
      <c r="K39" s="1">
        <f>I10+J21+J27</f>
        <v>1</v>
      </c>
      <c r="L39" s="1">
        <f>J10+I21+I27</f>
        <v>3</v>
      </c>
      <c r="M39" s="1">
        <f>K39-L39</f>
        <v>-2</v>
      </c>
      <c r="N39" s="4"/>
      <c r="O39" s="13"/>
      <c r="P39" s="2" t="s">
        <v>41</v>
      </c>
      <c r="Q39" s="1">
        <f>P12+Q23+Q29</f>
        <v>0</v>
      </c>
      <c r="R39" s="1">
        <f>P10+Q21+Q27</f>
        <v>0</v>
      </c>
      <c r="S39" s="1">
        <f>Q10+P21+P27</f>
        <v>6</v>
      </c>
      <c r="T39" s="1">
        <f>R39-S39</f>
        <v>-6</v>
      </c>
      <c r="U39" s="4"/>
      <c r="V39" s="13"/>
      <c r="W39" s="2" t="s">
        <v>43</v>
      </c>
      <c r="X39" s="1">
        <f>W12+X23+X29</f>
        <v>4</v>
      </c>
      <c r="Y39" s="1">
        <f>W10+X21+X27</f>
        <v>3</v>
      </c>
      <c r="Z39" s="1">
        <f>X10+W21+W27</f>
        <v>4</v>
      </c>
      <c r="AA39" s="1">
        <f>Y39-Z39</f>
        <v>-1</v>
      </c>
      <c r="AB39" s="4"/>
      <c r="AC39" s="13"/>
      <c r="AD39" s="2" t="s">
        <v>45</v>
      </c>
      <c r="AE39" s="1">
        <f>AD12+AE23+AE29</f>
        <v>6</v>
      </c>
      <c r="AF39" s="1">
        <f>AD10+AE21+AE27</f>
        <v>4</v>
      </c>
      <c r="AG39" s="1">
        <f>AE10+AD21+AD27</f>
        <v>4</v>
      </c>
      <c r="AH39" s="1">
        <f>AF39-AG39</f>
        <v>0</v>
      </c>
      <c r="AI39" s="4"/>
      <c r="AJ39" s="4"/>
      <c r="AK39" s="2" t="s">
        <v>47</v>
      </c>
      <c r="AL39" s="1">
        <f>AK12+AL23+AL29</f>
        <v>3</v>
      </c>
      <c r="AM39" s="1">
        <f>AK10+AL21+AL27</f>
        <v>3</v>
      </c>
      <c r="AN39" s="1">
        <f>AL10+AK21+AK27</f>
        <v>4</v>
      </c>
      <c r="AO39" s="1">
        <f>AM39-AN39</f>
        <v>-1</v>
      </c>
      <c r="AP39" s="4"/>
    </row>
    <row r="40" spans="1:42" x14ac:dyDescent="0.45">
      <c r="A40" s="35"/>
      <c r="B40" s="2" t="s">
        <v>38</v>
      </c>
      <c r="C40" s="1">
        <f>C12+B18+B34</f>
        <v>4</v>
      </c>
      <c r="D40" s="1">
        <f>C10+B16+B32</f>
        <v>2</v>
      </c>
      <c r="E40" s="1">
        <f>B10+C16+C32</f>
        <v>2</v>
      </c>
      <c r="F40" s="1">
        <f>D40-E40</f>
        <v>0</v>
      </c>
      <c r="G40" s="4"/>
      <c r="H40" s="35"/>
      <c r="I40" s="2" t="s">
        <v>40</v>
      </c>
      <c r="J40" s="1">
        <f>J12+I18+I34</f>
        <v>9</v>
      </c>
      <c r="K40" s="1">
        <f>J10+I16+I32</f>
        <v>6</v>
      </c>
      <c r="L40" s="1">
        <f>I10+J16+J32</f>
        <v>2</v>
      </c>
      <c r="M40" s="1">
        <f>K40-L40</f>
        <v>4</v>
      </c>
      <c r="N40" s="4"/>
      <c r="O40" s="13"/>
      <c r="P40" s="2" t="s">
        <v>42</v>
      </c>
      <c r="Q40" s="1">
        <f>Q12+P18+P34</f>
        <v>3</v>
      </c>
      <c r="R40" s="1">
        <f>Q10+P16+P32</f>
        <v>1</v>
      </c>
      <c r="S40" s="1">
        <f>P10+Q16+Q32</f>
        <v>5</v>
      </c>
      <c r="T40" s="1">
        <f>R40-S40</f>
        <v>-4</v>
      </c>
      <c r="U40" s="4"/>
      <c r="V40" s="13"/>
      <c r="W40" s="2" t="s">
        <v>44</v>
      </c>
      <c r="X40" s="1">
        <f>X12+W18+W34</f>
        <v>7</v>
      </c>
      <c r="Y40" s="1">
        <f>X10+W16+W32</f>
        <v>6</v>
      </c>
      <c r="Z40" s="1">
        <f>W10+X16+X32</f>
        <v>3</v>
      </c>
      <c r="AA40" s="1">
        <f>Y40-Z40</f>
        <v>3</v>
      </c>
      <c r="AB40" s="4"/>
      <c r="AC40" s="13"/>
      <c r="AD40" s="2" t="s">
        <v>46</v>
      </c>
      <c r="AE40" s="1">
        <f>AE12+AD18+AD34</f>
        <v>3</v>
      </c>
      <c r="AF40" s="1">
        <f>AE10+AD16+AD32</f>
        <v>2</v>
      </c>
      <c r="AG40" s="1">
        <f>AD10+AE16+AE32</f>
        <v>4</v>
      </c>
      <c r="AH40" s="1">
        <f>AF40-AG40</f>
        <v>-2</v>
      </c>
      <c r="AI40" s="4"/>
      <c r="AJ40" s="4"/>
      <c r="AK40" s="2" t="s">
        <v>48</v>
      </c>
      <c r="AL40" s="1">
        <f>AL12+AK18+AK34</f>
        <v>0</v>
      </c>
      <c r="AM40" s="1">
        <f>AL10+AK16+AK32</f>
        <v>0</v>
      </c>
      <c r="AN40" s="1">
        <f>AK10+AL16+AL32</f>
        <v>3</v>
      </c>
      <c r="AO40" s="1">
        <f>AM40-AN40</f>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4</v>
      </c>
      <c r="E43" s="1" cm="1">
        <f t="array" ref="E43:E46">_xlfn.SORTBY(E37:E40,C37:C40,-1,F37:F40,-1,D37:D40,-1)</f>
        <v>2</v>
      </c>
      <c r="F43" s="1" cm="1">
        <f t="array" ref="F43:F46">_xlfn.SORTBY(F37:F40,C37:C40,-1,F37:F40,-1,D37:D40,-1)</f>
        <v>2</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2</v>
      </c>
      <c r="M43" s="1" cm="1">
        <f t="array" ref="M43:M46">_xlfn.SORTBY(M37:M40,J37:J40,-1,M37:M40,-1,K37:K40,-1)</f>
        <v>4</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1</v>
      </c>
      <c r="T43" s="1" cm="1">
        <f t="array" ref="T43:T46">_xlfn.SORTBY(T37:T40,Q37:Q40,-1,T37:T40,-1,R37:R40,-1)</f>
        <v>8</v>
      </c>
      <c r="U43" s="4"/>
      <c r="V43" s="33">
        <v>1</v>
      </c>
      <c r="W43" s="2" t="str" cm="1">
        <f t="array" ref="W43:W46">_xlfn.SORTBY(W37:W40,X37:X40,-1,AA37:AA40,-1,Y37:Y40,-1)</f>
        <v>Türkei</v>
      </c>
      <c r="X43" s="1" cm="1">
        <f t="array" ref="X43:X46">_xlfn.SORTBY(X37:X40,X37:X40,-1,AA37:AA40,-1,Y37:Y40,-1)</f>
        <v>7</v>
      </c>
      <c r="Y43" s="1" cm="1">
        <f t="array" ref="Y43:Y46">_xlfn.SORTBY(Y37:Y40,X37:X40,-1,AA37:AA40,-1,Y37:Y40,-1)</f>
        <v>6</v>
      </c>
      <c r="Z43" s="1" cm="1">
        <f t="array" ref="Z43:Z46">_xlfn.SORTBY(Z37:Z40,X37:X40,-1,AA37:AA40,-1,Y37:Y40,-1)</f>
        <v>3</v>
      </c>
      <c r="AA43" s="1" cm="1">
        <f t="array" ref="AA43:AA46">_xlfn.SORTBY(AA37:AA40,X37:X40,-1,AA37:AA40,-1,Y37:Y40,-1)</f>
        <v>3</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9</v>
      </c>
      <c r="AG43" s="1" cm="1">
        <f t="array" ref="AG43:AG46">_xlfn.SORTBY(AG37:AG40,AE37:AE40,-1,AH37:AH40,-1,AF37:AF40,-1)</f>
        <v>1</v>
      </c>
      <c r="AH43" s="1" cm="1">
        <f t="array" ref="AH43:AH46">_xlfn.SORTBY(AH37:AH40,AE37:AE40,-1,AH37:AH40,-1,AF37:AF40,-1)</f>
        <v>8</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5</v>
      </c>
      <c r="AN43" s="1" cm="1">
        <f t="array" ref="AN43:AN46">_xlfn.SORTBY(AN37:AN40,AL37:AL40,-1,AO37:AO40,-1,AM37:AM40,-1)</f>
        <v>3</v>
      </c>
      <c r="AO43" s="1" cm="1">
        <f t="array" ref="AO43:AO46">_xlfn.SORTBY(AO37:AO40,AL37:AL40,-1,AO37:AO40,-1,AM37:AM40,-1)</f>
        <v>2</v>
      </c>
      <c r="AP43" s="4"/>
    </row>
    <row r="44" spans="1:42" x14ac:dyDescent="0.45">
      <c r="A44" s="33">
        <v>2</v>
      </c>
      <c r="B44" s="2" t="str">
        <v>Südkorea</v>
      </c>
      <c r="C44" s="1">
        <v>6</v>
      </c>
      <c r="D44" s="1">
        <v>2</v>
      </c>
      <c r="E44" s="1">
        <v>1</v>
      </c>
      <c r="F44" s="1">
        <v>1</v>
      </c>
      <c r="G44" s="4"/>
      <c r="H44" s="33">
        <v>2</v>
      </c>
      <c r="I44" s="2" t="str">
        <v>Bosnien-Herz.</v>
      </c>
      <c r="J44" s="1">
        <v>4</v>
      </c>
      <c r="K44" s="1">
        <v>4</v>
      </c>
      <c r="L44" s="1">
        <v>4</v>
      </c>
      <c r="M44" s="1">
        <v>0</v>
      </c>
      <c r="N44" s="4"/>
      <c r="O44" s="33">
        <v>2</v>
      </c>
      <c r="P44" s="2" t="str">
        <v>Marokko</v>
      </c>
      <c r="Q44" s="1">
        <v>6</v>
      </c>
      <c r="R44" s="1">
        <v>4</v>
      </c>
      <c r="S44" s="1">
        <v>2</v>
      </c>
      <c r="T44" s="1">
        <v>2</v>
      </c>
      <c r="U44" s="4"/>
      <c r="V44" s="33">
        <v>2</v>
      </c>
      <c r="W44" s="2" t="str">
        <v>USA</v>
      </c>
      <c r="X44" s="1">
        <v>5</v>
      </c>
      <c r="Y44" s="1">
        <v>4</v>
      </c>
      <c r="Z44" s="1">
        <v>3</v>
      </c>
      <c r="AA44" s="1">
        <v>1</v>
      </c>
      <c r="AB44" s="4"/>
      <c r="AC44" s="33">
        <v>2</v>
      </c>
      <c r="AD44" s="2" t="str">
        <v>Elfenbeinküste</v>
      </c>
      <c r="AE44" s="1">
        <v>6</v>
      </c>
      <c r="AF44" s="1">
        <v>4</v>
      </c>
      <c r="AG44" s="1">
        <v>4</v>
      </c>
      <c r="AH44" s="1">
        <v>0</v>
      </c>
      <c r="AI44" s="4"/>
      <c r="AJ44" s="33">
        <v>2</v>
      </c>
      <c r="AK44" s="2" t="str">
        <v>Japan</v>
      </c>
      <c r="AL44" s="1">
        <v>7</v>
      </c>
      <c r="AM44" s="1">
        <v>5</v>
      </c>
      <c r="AN44" s="1">
        <v>3</v>
      </c>
      <c r="AO44" s="1">
        <v>2</v>
      </c>
      <c r="AP44" s="4"/>
    </row>
    <row r="45" spans="1:42" x14ac:dyDescent="0.45">
      <c r="A45" s="34">
        <v>3</v>
      </c>
      <c r="B45" s="2" t="str">
        <v>Tschechien</v>
      </c>
      <c r="C45" s="1">
        <v>4</v>
      </c>
      <c r="D45" s="1">
        <v>2</v>
      </c>
      <c r="E45" s="1">
        <v>2</v>
      </c>
      <c r="F45" s="1">
        <v>0</v>
      </c>
      <c r="G45" s="4"/>
      <c r="H45" s="34">
        <v>3</v>
      </c>
      <c r="I45" s="2" t="str">
        <v>Katar</v>
      </c>
      <c r="J45" s="1">
        <v>2</v>
      </c>
      <c r="K45" s="1">
        <v>1</v>
      </c>
      <c r="L45" s="1">
        <v>3</v>
      </c>
      <c r="M45" s="1">
        <v>-2</v>
      </c>
      <c r="N45" s="4"/>
      <c r="O45" s="34">
        <v>3</v>
      </c>
      <c r="P45" s="2" t="str">
        <v>Schottland</v>
      </c>
      <c r="Q45" s="1">
        <v>3</v>
      </c>
      <c r="R45" s="1">
        <v>1</v>
      </c>
      <c r="S45" s="1">
        <v>5</v>
      </c>
      <c r="T45" s="1">
        <v>-4</v>
      </c>
      <c r="U45" s="4"/>
      <c r="V45" s="34">
        <v>3</v>
      </c>
      <c r="W45" s="2" t="str">
        <v>Australien</v>
      </c>
      <c r="X45" s="1">
        <v>4</v>
      </c>
      <c r="Y45" s="1">
        <v>3</v>
      </c>
      <c r="Z45" s="1">
        <v>4</v>
      </c>
      <c r="AA45" s="1">
        <v>-1</v>
      </c>
      <c r="AB45" s="4"/>
      <c r="AC45" s="34">
        <v>3</v>
      </c>
      <c r="AD45" s="2" t="str">
        <v>Ecuador</v>
      </c>
      <c r="AE45" s="1">
        <v>3</v>
      </c>
      <c r="AF45" s="1">
        <v>2</v>
      </c>
      <c r="AG45" s="1">
        <v>4</v>
      </c>
      <c r="AH45" s="1">
        <v>-2</v>
      </c>
      <c r="AI45" s="4"/>
      <c r="AJ45" s="34">
        <v>3</v>
      </c>
      <c r="AK45" s="2" t="str">
        <v>Schweden</v>
      </c>
      <c r="AL45" s="1">
        <v>3</v>
      </c>
      <c r="AM45" s="1">
        <v>3</v>
      </c>
      <c r="AN45" s="1">
        <v>4</v>
      </c>
      <c r="AO45" s="1">
        <v>-1</v>
      </c>
      <c r="AP45" s="4"/>
    </row>
    <row r="46" spans="1:42" x14ac:dyDescent="0.45">
      <c r="A46" s="32">
        <v>4</v>
      </c>
      <c r="B46" s="2" t="str">
        <v>Südafrika</v>
      </c>
      <c r="C46" s="1">
        <v>0</v>
      </c>
      <c r="D46" s="1">
        <v>1</v>
      </c>
      <c r="E46" s="1">
        <v>4</v>
      </c>
      <c r="F46" s="1">
        <v>-3</v>
      </c>
      <c r="G46" s="4"/>
      <c r="H46" s="32">
        <v>4</v>
      </c>
      <c r="I46" s="2" t="str">
        <v>Kanada</v>
      </c>
      <c r="J46" s="1">
        <v>1</v>
      </c>
      <c r="K46" s="1">
        <v>2</v>
      </c>
      <c r="L46" s="1">
        <v>4</v>
      </c>
      <c r="M46" s="1">
        <v>-2</v>
      </c>
      <c r="N46" s="4"/>
      <c r="O46" s="32">
        <v>4</v>
      </c>
      <c r="P46" s="2" t="str">
        <v>Haiti</v>
      </c>
      <c r="Q46" s="1">
        <v>0</v>
      </c>
      <c r="R46" s="1">
        <v>0</v>
      </c>
      <c r="S46" s="1">
        <v>6</v>
      </c>
      <c r="T46" s="1">
        <v>-6</v>
      </c>
      <c r="U46" s="4"/>
      <c r="V46" s="32">
        <v>4</v>
      </c>
      <c r="W46" s="2" t="str">
        <v>Paraguay</v>
      </c>
      <c r="X46" s="1">
        <v>0</v>
      </c>
      <c r="Y46" s="1">
        <v>0</v>
      </c>
      <c r="Z46" s="1">
        <v>3</v>
      </c>
      <c r="AA46" s="1">
        <v>-3</v>
      </c>
      <c r="AB46" s="4"/>
      <c r="AC46" s="32">
        <v>4</v>
      </c>
      <c r="AD46" s="2" t="str">
        <v>Curacao</v>
      </c>
      <c r="AE46" s="1">
        <v>0</v>
      </c>
      <c r="AF46" s="1">
        <v>0</v>
      </c>
      <c r="AG46" s="1">
        <v>6</v>
      </c>
      <c r="AH46" s="1">
        <v>-6</v>
      </c>
      <c r="AI46" s="4"/>
      <c r="AJ46" s="32">
        <v>4</v>
      </c>
      <c r="AK46" s="2" t="str">
        <v>Tunesien</v>
      </c>
      <c r="AL46" s="1">
        <v>0</v>
      </c>
      <c r="AM46" s="1">
        <v>0</v>
      </c>
      <c r="AN46" s="1">
        <v>3</v>
      </c>
      <c r="AO46" s="1">
        <v>-3</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4</v>
      </c>
      <c r="J52" s="38">
        <v>0</v>
      </c>
      <c r="K52" s="4"/>
      <c r="L52" s="4"/>
      <c r="M52" s="4"/>
      <c r="N52" s="4"/>
      <c r="O52" s="4"/>
      <c r="P52" s="38">
        <v>2</v>
      </c>
      <c r="Q52" s="38">
        <v>1</v>
      </c>
      <c r="R52" s="4"/>
      <c r="S52" s="4"/>
      <c r="T52" s="4"/>
      <c r="U52" s="4"/>
      <c r="V52" s="4"/>
      <c r="W52" s="38">
        <v>3</v>
      </c>
      <c r="X52" s="38">
        <v>1</v>
      </c>
      <c r="Y52" s="4"/>
      <c r="Z52" s="4"/>
      <c r="AA52" s="4"/>
      <c r="AB52" s="4"/>
      <c r="AC52" s="4"/>
      <c r="AD52" s="38">
        <v>3</v>
      </c>
      <c r="AE52" s="38">
        <v>1</v>
      </c>
      <c r="AF52" s="4"/>
      <c r="AG52" s="4"/>
      <c r="AH52" s="4"/>
      <c r="AI52" s="4"/>
      <c r="AJ52" s="4"/>
      <c r="AK52" s="38">
        <v>2</v>
      </c>
      <c r="AL52" s="38">
        <v>2</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Unentschieden</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0</v>
      </c>
      <c r="C57" s="38">
        <v>0</v>
      </c>
      <c r="D57" s="4"/>
      <c r="E57" s="4"/>
      <c r="F57" s="4"/>
      <c r="G57" s="4"/>
      <c r="H57" s="4"/>
      <c r="I57" s="38">
        <v>1</v>
      </c>
      <c r="J57" s="38">
        <v>2</v>
      </c>
      <c r="K57" s="4"/>
      <c r="L57" s="4"/>
      <c r="M57" s="4"/>
      <c r="N57" s="4"/>
      <c r="O57" s="4"/>
      <c r="P57" s="38">
        <v>0</v>
      </c>
      <c r="Q57" s="38">
        <v>2</v>
      </c>
      <c r="R57" s="4"/>
      <c r="S57" s="4"/>
      <c r="T57" s="4"/>
      <c r="U57" s="4"/>
      <c r="V57" s="4"/>
      <c r="W57" s="38">
        <v>2</v>
      </c>
      <c r="X57" s="38">
        <v>0</v>
      </c>
      <c r="Y57" s="4"/>
      <c r="Z57" s="4"/>
      <c r="AA57" s="4"/>
      <c r="AB57" s="4"/>
      <c r="AC57" s="4"/>
      <c r="AD57" s="38">
        <v>0</v>
      </c>
      <c r="AE57" s="38">
        <v>2</v>
      </c>
      <c r="AF57" s="4"/>
      <c r="AG57" s="4"/>
      <c r="AH57" s="4"/>
      <c r="AI57" s="4"/>
      <c r="AJ57" s="4"/>
      <c r="AK57" s="38">
        <v>2</v>
      </c>
      <c r="AL57" s="38">
        <v>1</v>
      </c>
      <c r="AM57" s="4"/>
      <c r="AN57" s="4"/>
      <c r="AO57" s="4"/>
      <c r="AP57" s="4"/>
    </row>
    <row r="58" spans="1:42" x14ac:dyDescent="0.45">
      <c r="A58" s="4"/>
      <c r="B58" s="80" t="str">
        <f>IF(B57=C57,"Unentschieden",IF(B57&gt;C57,B56,C56))</f>
        <v>Unentschieden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1</v>
      </c>
      <c r="C59" s="1">
        <f>IF(C57=B57,1,IF(C57&gt;B57,3,0))</f>
        <v>1</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3</v>
      </c>
      <c r="J63" s="38">
        <v>1</v>
      </c>
      <c r="K63" s="4"/>
      <c r="L63" s="4"/>
      <c r="M63" s="4"/>
      <c r="N63" s="4"/>
      <c r="O63" s="4"/>
      <c r="P63" s="38">
        <v>2</v>
      </c>
      <c r="Q63" s="38">
        <v>0</v>
      </c>
      <c r="R63" s="4"/>
      <c r="S63" s="4"/>
      <c r="T63" s="4"/>
      <c r="U63" s="4"/>
      <c r="V63" s="4"/>
      <c r="W63" s="38">
        <v>2</v>
      </c>
      <c r="X63" s="38">
        <v>1</v>
      </c>
      <c r="Y63" s="4"/>
      <c r="Z63" s="4"/>
      <c r="AA63" s="4"/>
      <c r="AB63" s="4"/>
      <c r="AC63" s="4"/>
      <c r="AD63" s="38">
        <v>3</v>
      </c>
      <c r="AE63" s="38">
        <v>0</v>
      </c>
      <c r="AF63" s="4"/>
      <c r="AG63" s="4"/>
      <c r="AH63" s="4"/>
      <c r="AI63" s="4"/>
      <c r="AJ63" s="4"/>
      <c r="AK63" s="38">
        <v>1</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1</v>
      </c>
      <c r="J68" s="38">
        <v>0</v>
      </c>
      <c r="K68" s="4"/>
      <c r="L68" s="4"/>
      <c r="M68" s="4"/>
      <c r="N68" s="4"/>
      <c r="O68" s="4"/>
      <c r="P68" s="38">
        <v>2</v>
      </c>
      <c r="Q68" s="38">
        <v>1</v>
      </c>
      <c r="R68" s="4"/>
      <c r="S68" s="4"/>
      <c r="T68" s="4"/>
      <c r="U68" s="4"/>
      <c r="V68" s="4"/>
      <c r="W68" s="38">
        <v>1</v>
      </c>
      <c r="X68" s="38">
        <v>2</v>
      </c>
      <c r="Y68" s="4"/>
      <c r="Z68" s="4"/>
      <c r="AA68" s="4"/>
      <c r="AB68" s="4"/>
      <c r="AC68" s="4"/>
      <c r="AD68" s="38">
        <v>2</v>
      </c>
      <c r="AE68" s="38">
        <v>1</v>
      </c>
      <c r="AF68" s="4"/>
      <c r="AG68" s="4"/>
      <c r="AH68" s="4"/>
      <c r="AI68" s="4"/>
      <c r="AJ68" s="4"/>
      <c r="AK68" s="38">
        <v>1</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Norwegen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1</v>
      </c>
      <c r="D74" s="4"/>
      <c r="E74" s="4"/>
      <c r="F74" s="4"/>
      <c r="G74" s="4"/>
      <c r="H74" s="4"/>
      <c r="I74" s="38">
        <v>1</v>
      </c>
      <c r="J74" s="38">
        <v>2</v>
      </c>
      <c r="K74" s="4"/>
      <c r="L74" s="4"/>
      <c r="M74" s="4"/>
      <c r="N74" s="4"/>
      <c r="O74" s="4"/>
      <c r="P74" s="38">
        <v>1</v>
      </c>
      <c r="Q74" s="38">
        <v>2</v>
      </c>
      <c r="R74" s="4"/>
      <c r="S74" s="4"/>
      <c r="T74" s="4"/>
      <c r="U74" s="4"/>
      <c r="V74" s="4"/>
      <c r="W74" s="38">
        <v>0</v>
      </c>
      <c r="X74" s="38">
        <v>4</v>
      </c>
      <c r="Y74" s="4"/>
      <c r="Z74" s="4"/>
      <c r="AA74" s="4"/>
      <c r="AB74" s="4"/>
      <c r="AC74" s="4"/>
      <c r="AD74" s="38">
        <v>1</v>
      </c>
      <c r="AE74" s="38">
        <v>2</v>
      </c>
      <c r="AF74" s="4"/>
      <c r="AG74" s="4"/>
      <c r="AH74" s="4"/>
      <c r="AI74" s="4"/>
      <c r="AJ74" s="4"/>
      <c r="AK74" s="38">
        <v>0</v>
      </c>
      <c r="AL74" s="38">
        <v>2</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2</v>
      </c>
      <c r="C79" s="38">
        <v>1</v>
      </c>
      <c r="D79" s="4"/>
      <c r="E79" s="4"/>
      <c r="F79" s="4"/>
      <c r="G79" s="4"/>
      <c r="H79" s="4"/>
      <c r="I79" s="38">
        <v>1</v>
      </c>
      <c r="J79" s="38">
        <v>1</v>
      </c>
      <c r="K79" s="4"/>
      <c r="L79" s="4"/>
      <c r="M79" s="4"/>
      <c r="N79" s="4"/>
      <c r="O79" s="4"/>
      <c r="P79" s="38">
        <v>2</v>
      </c>
      <c r="Q79" s="38">
        <v>1</v>
      </c>
      <c r="R79" s="4"/>
      <c r="S79" s="4"/>
      <c r="T79" s="4"/>
      <c r="U79" s="4"/>
      <c r="V79" s="4"/>
      <c r="W79" s="38">
        <v>1</v>
      </c>
      <c r="X79" s="38">
        <v>1</v>
      </c>
      <c r="Y79" s="4"/>
      <c r="Z79" s="4"/>
      <c r="AA79" s="4"/>
      <c r="AB79" s="4"/>
      <c r="AC79" s="4"/>
      <c r="AD79" s="38">
        <v>1</v>
      </c>
      <c r="AE79" s="38">
        <v>1</v>
      </c>
      <c r="AF79" s="4"/>
      <c r="AG79" s="4"/>
      <c r="AH79" s="4"/>
      <c r="AI79" s="4"/>
      <c r="AJ79" s="4"/>
      <c r="AK79" s="38">
        <v>2</v>
      </c>
      <c r="AL79" s="38">
        <v>1</v>
      </c>
      <c r="AM79" s="4"/>
      <c r="AN79" s="4"/>
      <c r="AO79" s="4"/>
      <c r="AP79" s="4"/>
    </row>
    <row r="80" spans="1:42" ht="17.399999999999999" customHeight="1" x14ac:dyDescent="0.45">
      <c r="A80" s="4"/>
      <c r="B80" s="80" t="str">
        <f>IF(B79=C79,"Unentschieden",IF(B79&gt;C79,B78,C78))</f>
        <v>Ägypten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Unentschieden</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5</v>
      </c>
      <c r="E84" s="1">
        <f>C52+C63+B74</f>
        <v>1</v>
      </c>
      <c r="F84" s="1">
        <f>D84-E84</f>
        <v>4</v>
      </c>
      <c r="G84" s="4"/>
      <c r="H84" s="37"/>
      <c r="I84" s="2" t="s">
        <v>65</v>
      </c>
      <c r="J84" s="1">
        <f>I54+I65+J76</f>
        <v>9</v>
      </c>
      <c r="K84" s="1">
        <f>I52+I63+J74</f>
        <v>9</v>
      </c>
      <c r="L84" s="1">
        <f>J52+J63+I74</f>
        <v>2</v>
      </c>
      <c r="M84" s="1">
        <f>K84-L84</f>
        <v>7</v>
      </c>
      <c r="N84" s="4"/>
      <c r="O84" s="13"/>
      <c r="P84" s="2" t="s">
        <v>67</v>
      </c>
      <c r="Q84" s="1">
        <f>P54+P65+Q76</f>
        <v>9</v>
      </c>
      <c r="R84" s="1">
        <f>P52+P63+Q74</f>
        <v>6</v>
      </c>
      <c r="S84" s="1">
        <f>Q52+Q63+P74</f>
        <v>2</v>
      </c>
      <c r="T84" s="1">
        <f>R84-S84</f>
        <v>4</v>
      </c>
      <c r="U84" s="4"/>
      <c r="V84" s="13"/>
      <c r="W84" s="2" t="s">
        <v>69</v>
      </c>
      <c r="X84" s="1">
        <f>W54+W65+X76</f>
        <v>9</v>
      </c>
      <c r="Y84" s="1">
        <f>W52+W63+X74</f>
        <v>9</v>
      </c>
      <c r="Z84" s="1">
        <f>X52+X63+W74</f>
        <v>2</v>
      </c>
      <c r="AA84" s="1">
        <f>Y84-Z84</f>
        <v>7</v>
      </c>
      <c r="AB84" s="4"/>
      <c r="AC84" s="13"/>
      <c r="AD84" s="2" t="s">
        <v>71</v>
      </c>
      <c r="AE84" s="1">
        <f>AD54+AD65+AE76</f>
        <v>9</v>
      </c>
      <c r="AF84" s="1">
        <f>AD52+AD63+AE74</f>
        <v>8</v>
      </c>
      <c r="AG84" s="1">
        <f>AE52+AE63+AD74</f>
        <v>2</v>
      </c>
      <c r="AH84" s="1">
        <f>AF84-AG84</f>
        <v>6</v>
      </c>
      <c r="AI84" s="4"/>
      <c r="AJ84" s="4"/>
      <c r="AK84" s="2" t="s">
        <v>73</v>
      </c>
      <c r="AL84" s="1">
        <f>AK54+AK65+AL76</f>
        <v>7</v>
      </c>
      <c r="AM84" s="1">
        <f>AK52+AK63+AL74</f>
        <v>5</v>
      </c>
      <c r="AN84" s="1">
        <f>AL52+AL63+AK74</f>
        <v>2</v>
      </c>
      <c r="AO84" s="1">
        <f>AM84-AN84</f>
        <v>3</v>
      </c>
      <c r="AP84" s="4"/>
    </row>
    <row r="85" spans="1:42" ht="17.399999999999999" customHeight="1" x14ac:dyDescent="0.45">
      <c r="A85" s="37"/>
      <c r="B85" s="2" t="s">
        <v>64</v>
      </c>
      <c r="C85" s="1">
        <f>C54+C70+B81</f>
        <v>6</v>
      </c>
      <c r="D85" s="1">
        <f>C52+C68+B79</f>
        <v>5</v>
      </c>
      <c r="E85" s="1">
        <f>B52+B68+C79</f>
        <v>4</v>
      </c>
      <c r="F85" s="1">
        <f>D85-E85</f>
        <v>1</v>
      </c>
      <c r="G85" s="4"/>
      <c r="H85" s="37"/>
      <c r="I85" s="2" t="s">
        <v>66</v>
      </c>
      <c r="J85" s="1">
        <f>J54+J70+I81</f>
        <v>1</v>
      </c>
      <c r="K85" s="1">
        <f>J52+J68+I79</f>
        <v>1</v>
      </c>
      <c r="L85" s="1">
        <f>I52+I68+J79</f>
        <v>6</v>
      </c>
      <c r="M85" s="1">
        <f>K85-L85</f>
        <v>-5</v>
      </c>
      <c r="N85" s="4"/>
      <c r="O85" s="13"/>
      <c r="P85" s="2" t="s">
        <v>68</v>
      </c>
      <c r="Q85" s="1">
        <f>Q54+Q70+P81</f>
        <v>3</v>
      </c>
      <c r="R85" s="1">
        <f>Q52+Q68+P79</f>
        <v>4</v>
      </c>
      <c r="S85" s="1">
        <f>P52+P68+Q79</f>
        <v>5</v>
      </c>
      <c r="T85" s="1">
        <f>R85-S85</f>
        <v>-1</v>
      </c>
      <c r="U85" s="4"/>
      <c r="V85" s="13"/>
      <c r="W85" s="2" t="s">
        <v>70</v>
      </c>
      <c r="X85" s="1">
        <f>X54+X70+W81</f>
        <v>4</v>
      </c>
      <c r="Y85" s="1">
        <f>X52+X68+W79</f>
        <v>4</v>
      </c>
      <c r="Z85" s="1">
        <f>W52+W68+X79</f>
        <v>5</v>
      </c>
      <c r="AA85" s="1">
        <f>Y85-Z85</f>
        <v>-1</v>
      </c>
      <c r="AB85" s="4"/>
      <c r="AC85" s="13"/>
      <c r="AD85" s="2" t="s">
        <v>72</v>
      </c>
      <c r="AE85" s="1">
        <f>AE54+AE70+AD81</f>
        <v>1</v>
      </c>
      <c r="AF85" s="1">
        <f>AE52+AE68+AD79</f>
        <v>3</v>
      </c>
      <c r="AG85" s="1">
        <f>AD52+AD68+AE79</f>
        <v>6</v>
      </c>
      <c r="AH85" s="1">
        <f>AF85-AG85</f>
        <v>-3</v>
      </c>
      <c r="AI85" s="4"/>
      <c r="AJ85" s="4"/>
      <c r="AK85" s="2" t="s">
        <v>74</v>
      </c>
      <c r="AL85" s="1">
        <f>AL54+AL70+AK81</f>
        <v>7</v>
      </c>
      <c r="AM85" s="1">
        <f>AL52+AL68+AK79</f>
        <v>6</v>
      </c>
      <c r="AN85" s="1">
        <f>AK52+AK68+AL79</f>
        <v>4</v>
      </c>
      <c r="AO85" s="1">
        <f>AM85-AN85</f>
        <v>2</v>
      </c>
      <c r="AP85" s="4"/>
    </row>
    <row r="86" spans="1:42" ht="17.399999999999999" customHeight="1" x14ac:dyDescent="0.45">
      <c r="A86" s="36"/>
      <c r="B86" s="2" t="s">
        <v>75</v>
      </c>
      <c r="C86" s="1">
        <f>B59+C65+C81</f>
        <v>1</v>
      </c>
      <c r="D86" s="1">
        <f>B57+C63+C79</f>
        <v>1</v>
      </c>
      <c r="E86" s="1">
        <f>C57+B63+B79</f>
        <v>4</v>
      </c>
      <c r="F86" s="1">
        <f>D86-E86</f>
        <v>-3</v>
      </c>
      <c r="G86" s="4"/>
      <c r="H86" s="36"/>
      <c r="I86" s="2" t="s">
        <v>77</v>
      </c>
      <c r="J86" s="1">
        <f>I59+J65+J81</f>
        <v>1</v>
      </c>
      <c r="K86" s="1">
        <f>I57+J63+J79</f>
        <v>3</v>
      </c>
      <c r="L86" s="1">
        <f>J57+I63+I79</f>
        <v>6</v>
      </c>
      <c r="M86" s="1">
        <f>K86-L86</f>
        <v>-3</v>
      </c>
      <c r="N86" s="4"/>
      <c r="O86" s="13"/>
      <c r="P86" s="2" t="s">
        <v>79</v>
      </c>
      <c r="Q86" s="1">
        <f>P59+Q65+Q81</f>
        <v>0</v>
      </c>
      <c r="R86" s="1">
        <f>P57+Q63+Q79</f>
        <v>1</v>
      </c>
      <c r="S86" s="1">
        <f>Q57+P63+P79</f>
        <v>6</v>
      </c>
      <c r="T86" s="1">
        <f>R86-S86</f>
        <v>-5</v>
      </c>
      <c r="U86" s="4"/>
      <c r="V86" s="13"/>
      <c r="W86" s="2" t="s">
        <v>81</v>
      </c>
      <c r="X86" s="1">
        <f>W59+X65+X81</f>
        <v>4</v>
      </c>
      <c r="Y86" s="1">
        <f>W57+X63+X79</f>
        <v>4</v>
      </c>
      <c r="Z86" s="1">
        <f>X57+W63+W79</f>
        <v>3</v>
      </c>
      <c r="AA86" s="1">
        <f>Y86-Z86</f>
        <v>1</v>
      </c>
      <c r="AB86" s="4"/>
      <c r="AC86" s="13"/>
      <c r="AD86" s="2" t="s">
        <v>83</v>
      </c>
      <c r="AE86" s="1">
        <f>AD59+AE65+AE81</f>
        <v>1</v>
      </c>
      <c r="AF86" s="1">
        <f>AD57+AE63+AE79</f>
        <v>1</v>
      </c>
      <c r="AG86" s="1">
        <f>AE57+AD63+AD79</f>
        <v>6</v>
      </c>
      <c r="AH86" s="1">
        <f>AF86-AG86</f>
        <v>-5</v>
      </c>
      <c r="AI86" s="4"/>
      <c r="AJ86" s="4"/>
      <c r="AK86" s="2" t="s">
        <v>85</v>
      </c>
      <c r="AL86" s="1">
        <f>AK59+AL65+AL81</f>
        <v>3</v>
      </c>
      <c r="AM86" s="1">
        <f>AK57+AL63+AL79</f>
        <v>3</v>
      </c>
      <c r="AN86" s="1">
        <f>AL57+AK63+AK79</f>
        <v>4</v>
      </c>
      <c r="AO86" s="1">
        <f>AM86-AN86</f>
        <v>-1</v>
      </c>
      <c r="AP86" s="4"/>
    </row>
    <row r="87" spans="1:42" x14ac:dyDescent="0.45">
      <c r="A87" s="35"/>
      <c r="B87" s="2" t="s">
        <v>76</v>
      </c>
      <c r="C87" s="1">
        <f>C59+B70+B76</f>
        <v>1</v>
      </c>
      <c r="D87" s="1">
        <f>C57+B68+B74</f>
        <v>1</v>
      </c>
      <c r="E87" s="1">
        <f>B57+C68+C74</f>
        <v>3</v>
      </c>
      <c r="F87" s="1">
        <f>D87-E87</f>
        <v>-2</v>
      </c>
      <c r="G87" s="4"/>
      <c r="H87" s="35"/>
      <c r="I87" s="2" t="s">
        <v>78</v>
      </c>
      <c r="J87" s="1">
        <f>J59+I70+I76</f>
        <v>6</v>
      </c>
      <c r="K87" s="1">
        <f>J57+I68+I74</f>
        <v>4</v>
      </c>
      <c r="L87" s="1">
        <f>I57+J68+J74</f>
        <v>3</v>
      </c>
      <c r="M87" s="1">
        <f>K87-L87</f>
        <v>1</v>
      </c>
      <c r="N87" s="4"/>
      <c r="O87" s="13"/>
      <c r="P87" s="2" t="s">
        <v>80</v>
      </c>
      <c r="Q87" s="1">
        <f>Q59+P70+P76</f>
        <v>6</v>
      </c>
      <c r="R87" s="1">
        <f>Q57+P68+P74</f>
        <v>5</v>
      </c>
      <c r="S87" s="1">
        <f>P57+Q68+Q74</f>
        <v>3</v>
      </c>
      <c r="T87" s="1">
        <f>R87-S87</f>
        <v>2</v>
      </c>
      <c r="U87" s="4"/>
      <c r="V87" s="13"/>
      <c r="W87" s="2" t="s">
        <v>82</v>
      </c>
      <c r="X87" s="1">
        <f>X59+W70+W76</f>
        <v>0</v>
      </c>
      <c r="Y87" s="1">
        <f>X57+W68+W74</f>
        <v>1</v>
      </c>
      <c r="Z87" s="1">
        <f>W57+X68+X74</f>
        <v>8</v>
      </c>
      <c r="AA87" s="1">
        <f>Y87-Z87</f>
        <v>-7</v>
      </c>
      <c r="AB87" s="4"/>
      <c r="AC87" s="13"/>
      <c r="AD87" s="2" t="s">
        <v>84</v>
      </c>
      <c r="AE87" s="1">
        <f>AE59+AD70+AD76</f>
        <v>6</v>
      </c>
      <c r="AF87" s="1">
        <f>AE57+AD68+AD74</f>
        <v>5</v>
      </c>
      <c r="AG87" s="1">
        <f>AD57+AE68+AE74</f>
        <v>3</v>
      </c>
      <c r="AH87" s="1">
        <f>AF87-AG87</f>
        <v>2</v>
      </c>
      <c r="AI87" s="4"/>
      <c r="AJ87" s="4"/>
      <c r="AK87" s="2" t="s">
        <v>86</v>
      </c>
      <c r="AL87" s="1">
        <f>AL59+AK70+AK76</f>
        <v>0</v>
      </c>
      <c r="AM87" s="1">
        <f>AL57+AK68+AK74</f>
        <v>2</v>
      </c>
      <c r="AN87" s="1">
        <f>AK57+AL68+AL74</f>
        <v>6</v>
      </c>
      <c r="AO87" s="1">
        <f>AM87-AN87</f>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5</v>
      </c>
      <c r="E90" s="1" cm="1">
        <f t="array" ref="E90:E93">_xlfn.SORTBY(E84:E87,C84:C87,-1,F84:F87,-1,D84:D87,-1)</f>
        <v>1</v>
      </c>
      <c r="F90" s="1" cm="1">
        <f t="array" ref="F90:F93">_xlfn.SORTBY(F84:F87,C84:C87,-1,F84:F87,-1,D84:D87,-1)</f>
        <v>4</v>
      </c>
      <c r="G90" s="4"/>
      <c r="H90" s="33">
        <v>1</v>
      </c>
      <c r="I90" s="2" t="str" cm="1">
        <f t="array" ref="I90:I93">_xlfn.SORTBY(I84:I87,J84:J87,-1,M84:M87,-1,K84:K87,-1)</f>
        <v>Spanien</v>
      </c>
      <c r="J90" s="1" cm="1">
        <f t="array" ref="J90:J93">_xlfn.SORTBY(J84:J87,J84:J87,-1,M84:M87,-1,K84:K87,-1)</f>
        <v>9</v>
      </c>
      <c r="K90" s="1" cm="1">
        <f t="array" ref="K90:K93">_xlfn.SORTBY(K84:K87,J84:J87,-1,M84:M87,-1,K84:K87,-1)</f>
        <v>9</v>
      </c>
      <c r="L90" s="1" cm="1">
        <f t="array" ref="L90:L93">_xlfn.SORTBY(L84:L87,J84:J87,-1,M84:M87,-1,K84:K87,-1)</f>
        <v>2</v>
      </c>
      <c r="M90" s="1" cm="1">
        <f t="array" ref="M90:M93">_xlfn.SORTBY(M84:M87,J84:J87,-1,M84:M87,-1,K84:K87,-1)</f>
        <v>7</v>
      </c>
      <c r="N90" s="4"/>
      <c r="O90" s="33">
        <v>1</v>
      </c>
      <c r="P90" s="2" t="str" cm="1">
        <f t="array" ref="P90:P93">_xlfn.SORTBY(P84:P87,Q84:Q87,-1,T84:T87,-1,R84:R87,-1)</f>
        <v>Frankreich</v>
      </c>
      <c r="Q90" s="1" cm="1">
        <f t="array" ref="Q90:Q93">_xlfn.SORTBY(Q84:Q87,Q84:Q87,-1,T84:T87,-1,R84:R87,-1)</f>
        <v>9</v>
      </c>
      <c r="R90" s="1" cm="1">
        <f t="array" ref="R90:R93">_xlfn.SORTBY(R84:R87,Q84:Q87,-1,T84:T87,-1,R84:R87,-1)</f>
        <v>6</v>
      </c>
      <c r="S90" s="1" cm="1">
        <f t="array" ref="S90:S93">_xlfn.SORTBY(S84:S87,Q84:Q87,-1,T84:T87,-1,R84:R87,-1)</f>
        <v>2</v>
      </c>
      <c r="T90" s="1" cm="1">
        <f t="array" ref="T90:T93">_xlfn.SORTBY(T84:T87,Q84:Q87,-1,T84:T87,-1,R84:R87,-1)</f>
        <v>4</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9</v>
      </c>
      <c r="Z90" s="1" cm="1">
        <f t="array" ref="Z90:Z93">_xlfn.SORTBY(Z84:Z87,X84:X87,-1,AA84:AA87,-1,Y84:Y87,-1)</f>
        <v>2</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8</v>
      </c>
      <c r="AG90" s="1" cm="1">
        <f t="array" ref="AG90:AG93">_xlfn.SORTBY(AG84:AG87,AE84:AE87,-1,AH84:AH87,-1,AF84:AF87,-1)</f>
        <v>2</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5</v>
      </c>
      <c r="AN90" s="1" cm="1">
        <f t="array" ref="AN90:AN93">_xlfn.SORTBY(AN84:AN87,AL84:AL87,-1,AO84:AO87,-1,AM84:AM87,-1)</f>
        <v>2</v>
      </c>
      <c r="AO90" s="1" cm="1">
        <f t="array" ref="AO90:AO93">_xlfn.SORTBY(AO84:AO87,AL84:AL87,-1,AO84:AO87,-1,AM84:AM87,-1)</f>
        <v>3</v>
      </c>
      <c r="AP90" s="4"/>
    </row>
    <row r="91" spans="1:42" x14ac:dyDescent="0.45">
      <c r="A91" s="33">
        <v>2</v>
      </c>
      <c r="B91" s="2" t="str">
        <v>Ägypten</v>
      </c>
      <c r="C91" s="1">
        <v>6</v>
      </c>
      <c r="D91" s="1">
        <v>5</v>
      </c>
      <c r="E91" s="1">
        <v>4</v>
      </c>
      <c r="F91" s="1">
        <v>1</v>
      </c>
      <c r="G91" s="4"/>
      <c r="H91" s="33">
        <v>2</v>
      </c>
      <c r="I91" s="2" t="str">
        <v>Uruguay</v>
      </c>
      <c r="J91" s="1">
        <v>6</v>
      </c>
      <c r="K91" s="1">
        <v>4</v>
      </c>
      <c r="L91" s="1">
        <v>3</v>
      </c>
      <c r="M91" s="1">
        <v>1</v>
      </c>
      <c r="N91" s="4"/>
      <c r="O91" s="33">
        <v>2</v>
      </c>
      <c r="P91" s="2" t="str">
        <v>Norwegen</v>
      </c>
      <c r="Q91" s="1">
        <v>6</v>
      </c>
      <c r="R91" s="1">
        <v>5</v>
      </c>
      <c r="S91" s="1">
        <v>3</v>
      </c>
      <c r="T91" s="1">
        <v>2</v>
      </c>
      <c r="U91" s="4"/>
      <c r="V91" s="33">
        <v>2</v>
      </c>
      <c r="W91" s="2" t="str">
        <v>Österreich</v>
      </c>
      <c r="X91" s="1">
        <v>4</v>
      </c>
      <c r="Y91" s="1">
        <v>4</v>
      </c>
      <c r="Z91" s="1">
        <v>3</v>
      </c>
      <c r="AA91" s="1">
        <v>1</v>
      </c>
      <c r="AB91" s="4"/>
      <c r="AC91" s="33">
        <v>2</v>
      </c>
      <c r="AD91" s="2" t="str">
        <v>Kolumbien</v>
      </c>
      <c r="AE91" s="1">
        <v>6</v>
      </c>
      <c r="AF91" s="1">
        <v>5</v>
      </c>
      <c r="AG91" s="1">
        <v>3</v>
      </c>
      <c r="AH91" s="1">
        <v>2</v>
      </c>
      <c r="AI91" s="4"/>
      <c r="AJ91" s="33">
        <v>2</v>
      </c>
      <c r="AK91" s="2" t="str">
        <v>Kroatien</v>
      </c>
      <c r="AL91" s="1">
        <v>7</v>
      </c>
      <c r="AM91" s="1">
        <v>6</v>
      </c>
      <c r="AN91" s="1">
        <v>4</v>
      </c>
      <c r="AO91" s="1">
        <v>2</v>
      </c>
      <c r="AP91" s="4"/>
    </row>
    <row r="92" spans="1:42" x14ac:dyDescent="0.45">
      <c r="A92" s="34">
        <v>3</v>
      </c>
      <c r="B92" s="2" t="str">
        <v>Neuseeland</v>
      </c>
      <c r="C92" s="1">
        <v>1</v>
      </c>
      <c r="D92" s="1">
        <v>1</v>
      </c>
      <c r="E92" s="1">
        <v>3</v>
      </c>
      <c r="F92" s="1">
        <v>-2</v>
      </c>
      <c r="G92" s="4"/>
      <c r="H92" s="34">
        <v>3</v>
      </c>
      <c r="I92" s="2" t="str">
        <v>Saudi-Arabien</v>
      </c>
      <c r="J92" s="1">
        <v>1</v>
      </c>
      <c r="K92" s="1">
        <v>3</v>
      </c>
      <c r="L92" s="1">
        <v>6</v>
      </c>
      <c r="M92" s="1">
        <v>-3</v>
      </c>
      <c r="N92" s="4"/>
      <c r="O92" s="34">
        <v>3</v>
      </c>
      <c r="P92" s="2" t="str">
        <v>Senegal</v>
      </c>
      <c r="Q92" s="1">
        <v>3</v>
      </c>
      <c r="R92" s="1">
        <v>4</v>
      </c>
      <c r="S92" s="1">
        <v>5</v>
      </c>
      <c r="T92" s="1">
        <v>-1</v>
      </c>
      <c r="U92" s="4"/>
      <c r="V92" s="34">
        <v>3</v>
      </c>
      <c r="W92" s="2" t="str">
        <v>Algerien</v>
      </c>
      <c r="X92" s="1">
        <v>4</v>
      </c>
      <c r="Y92" s="1">
        <v>4</v>
      </c>
      <c r="Z92" s="1">
        <v>5</v>
      </c>
      <c r="AA92" s="1">
        <v>-1</v>
      </c>
      <c r="AB92" s="4"/>
      <c r="AC92" s="34">
        <v>3</v>
      </c>
      <c r="AD92" s="2" t="str">
        <v>DR Kongo</v>
      </c>
      <c r="AE92" s="1">
        <v>1</v>
      </c>
      <c r="AF92" s="1">
        <v>3</v>
      </c>
      <c r="AG92" s="1">
        <v>6</v>
      </c>
      <c r="AH92" s="1">
        <v>-3</v>
      </c>
      <c r="AI92" s="4"/>
      <c r="AJ92" s="34">
        <v>3</v>
      </c>
      <c r="AK92" s="2" t="str">
        <v>Ghana</v>
      </c>
      <c r="AL92" s="1">
        <v>3</v>
      </c>
      <c r="AM92" s="1">
        <v>3</v>
      </c>
      <c r="AN92" s="1">
        <v>4</v>
      </c>
      <c r="AO92" s="1">
        <v>-1</v>
      </c>
      <c r="AP92" s="4"/>
    </row>
    <row r="93" spans="1:42" x14ac:dyDescent="0.45">
      <c r="A93" s="32">
        <v>4</v>
      </c>
      <c r="B93" s="2" t="str">
        <v>Iran</v>
      </c>
      <c r="C93" s="1">
        <v>1</v>
      </c>
      <c r="D93" s="1">
        <v>1</v>
      </c>
      <c r="E93" s="1">
        <v>4</v>
      </c>
      <c r="F93" s="1">
        <v>-3</v>
      </c>
      <c r="G93" s="4"/>
      <c r="H93" s="32">
        <v>4</v>
      </c>
      <c r="I93" s="2" t="str">
        <v>Kap Verde</v>
      </c>
      <c r="J93" s="1">
        <v>1</v>
      </c>
      <c r="K93" s="1">
        <v>1</v>
      </c>
      <c r="L93" s="1">
        <v>6</v>
      </c>
      <c r="M93" s="1">
        <v>-5</v>
      </c>
      <c r="N93" s="4"/>
      <c r="O93" s="32">
        <v>4</v>
      </c>
      <c r="P93" s="2" t="str">
        <v>Irak</v>
      </c>
      <c r="Q93" s="1">
        <v>0</v>
      </c>
      <c r="R93" s="1">
        <v>1</v>
      </c>
      <c r="S93" s="1">
        <v>6</v>
      </c>
      <c r="T93" s="1">
        <v>-5</v>
      </c>
      <c r="U93" s="4"/>
      <c r="V93" s="32">
        <v>4</v>
      </c>
      <c r="W93" s="2" t="str">
        <v>Jordanien</v>
      </c>
      <c r="X93" s="1">
        <v>0</v>
      </c>
      <c r="Y93" s="1">
        <v>1</v>
      </c>
      <c r="Z93" s="1">
        <v>8</v>
      </c>
      <c r="AA93" s="1">
        <v>-7</v>
      </c>
      <c r="AB93" s="4"/>
      <c r="AC93" s="32">
        <v>4</v>
      </c>
      <c r="AD93" s="2" t="str">
        <v>Usbekistan</v>
      </c>
      <c r="AE93" s="1">
        <v>1</v>
      </c>
      <c r="AF93" s="1">
        <v>1</v>
      </c>
      <c r="AG93" s="1">
        <v>6</v>
      </c>
      <c r="AH93" s="1">
        <v>-5</v>
      </c>
      <c r="AI93" s="4"/>
      <c r="AJ93" s="32">
        <v>4</v>
      </c>
      <c r="AK93" s="2" t="str">
        <v>Panama</v>
      </c>
      <c r="AL93" s="1">
        <v>0</v>
      </c>
      <c r="AM93" s="1">
        <v>2</v>
      </c>
      <c r="AN93" s="1">
        <v>6</v>
      </c>
      <c r="AO93" s="1">
        <v>-4</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Neuseeland</v>
      </c>
      <c r="S98" s="82"/>
      <c r="T98" s="82"/>
      <c r="U98" s="2">
        <f>C92</f>
        <v>1</v>
      </c>
      <c r="V98" s="2">
        <f>D92</f>
        <v>1</v>
      </c>
      <c r="W98" s="2">
        <f>E92</f>
        <v>3</v>
      </c>
      <c r="X98" s="2">
        <f>F92</f>
        <v>-2</v>
      </c>
    </row>
    <row r="99" spans="17:24" x14ac:dyDescent="0.45">
      <c r="Q99"/>
      <c r="R99" s="82" t="str">
        <f>I92</f>
        <v>Saudi-Arabien</v>
      </c>
      <c r="S99" s="82"/>
      <c r="T99" s="82"/>
      <c r="U99" s="2">
        <f>J92</f>
        <v>1</v>
      </c>
      <c r="V99" s="2">
        <f>K92</f>
        <v>3</v>
      </c>
      <c r="W99" s="2">
        <f>L92</f>
        <v>6</v>
      </c>
      <c r="X99" s="2">
        <f>M92</f>
        <v>-3</v>
      </c>
    </row>
    <row r="100" spans="17:24" x14ac:dyDescent="0.45">
      <c r="Q100"/>
      <c r="R100" s="82" t="str">
        <f>P92</f>
        <v>Senegal</v>
      </c>
      <c r="S100" s="82"/>
      <c r="T100" s="82"/>
      <c r="U100" s="2">
        <f>Q92</f>
        <v>3</v>
      </c>
      <c r="V100" s="2">
        <f>R92</f>
        <v>4</v>
      </c>
      <c r="W100" s="2">
        <f>S92</f>
        <v>5</v>
      </c>
      <c r="X100" s="2">
        <f>T92</f>
        <v>-1</v>
      </c>
    </row>
    <row r="101" spans="17:24" x14ac:dyDescent="0.45">
      <c r="Q101"/>
      <c r="R101" s="82" t="str">
        <f>W92</f>
        <v>Algerien</v>
      </c>
      <c r="S101" s="82"/>
      <c r="T101" s="82"/>
      <c r="U101" s="2">
        <f>X92</f>
        <v>4</v>
      </c>
      <c r="V101" s="2">
        <f>Y92</f>
        <v>4</v>
      </c>
      <c r="W101" s="2">
        <f>Z92</f>
        <v>5</v>
      </c>
      <c r="X101" s="2">
        <f>AA92</f>
        <v>-1</v>
      </c>
    </row>
    <row r="102" spans="17:24" x14ac:dyDescent="0.45">
      <c r="Q102"/>
      <c r="R102" s="82" t="str">
        <f>AD92</f>
        <v>DR Kongo</v>
      </c>
      <c r="S102" s="82"/>
      <c r="T102" s="82"/>
      <c r="U102" s="2">
        <f>AE92</f>
        <v>1</v>
      </c>
      <c r="V102" s="2">
        <f>AF92</f>
        <v>3</v>
      </c>
      <c r="W102" s="2">
        <f>AG92</f>
        <v>6</v>
      </c>
      <c r="X102" s="2">
        <f>AH92</f>
        <v>-3</v>
      </c>
    </row>
    <row r="103" spans="17:24" x14ac:dyDescent="0.45">
      <c r="Q103"/>
      <c r="R103" s="82" t="str">
        <f>AK92</f>
        <v>Ghana</v>
      </c>
      <c r="S103" s="82"/>
      <c r="T103" s="82"/>
      <c r="U103" s="2">
        <f>AL92</f>
        <v>3</v>
      </c>
      <c r="V103" s="2">
        <f>AM92</f>
        <v>3</v>
      </c>
      <c r="W103" s="2">
        <f>AN92</f>
        <v>4</v>
      </c>
      <c r="X103" s="2">
        <f>AO92</f>
        <v>-1</v>
      </c>
    </row>
    <row r="104" spans="17:24" x14ac:dyDescent="0.45">
      <c r="R104" s="82" t="str">
        <f>B45</f>
        <v>Tschechien</v>
      </c>
      <c r="S104" s="82"/>
      <c r="T104" s="82"/>
      <c r="U104" s="2">
        <f>C45</f>
        <v>4</v>
      </c>
      <c r="V104" s="2">
        <f>D45</f>
        <v>2</v>
      </c>
      <c r="W104" s="2">
        <f>E45</f>
        <v>2</v>
      </c>
      <c r="X104" s="2">
        <f>F45</f>
        <v>0</v>
      </c>
    </row>
    <row r="105" spans="17:24" x14ac:dyDescent="0.45">
      <c r="R105" s="82" t="str">
        <f>I45</f>
        <v>Katar</v>
      </c>
      <c r="S105" s="82"/>
      <c r="T105" s="82"/>
      <c r="U105" s="2">
        <f>J45</f>
        <v>2</v>
      </c>
      <c r="V105" s="2">
        <f>K45</f>
        <v>1</v>
      </c>
      <c r="W105" s="2">
        <f>L45</f>
        <v>3</v>
      </c>
      <c r="X105" s="2">
        <f>M45</f>
        <v>-2</v>
      </c>
    </row>
    <row r="106" spans="17:24" x14ac:dyDescent="0.45">
      <c r="R106" s="82" t="str">
        <f>P45</f>
        <v>Schottland</v>
      </c>
      <c r="S106" s="82"/>
      <c r="T106" s="82"/>
      <c r="U106" s="2">
        <f>Q45</f>
        <v>3</v>
      </c>
      <c r="V106" s="2">
        <f>R45</f>
        <v>1</v>
      </c>
      <c r="W106" s="2">
        <f>S45</f>
        <v>5</v>
      </c>
      <c r="X106" s="2">
        <f>T45</f>
        <v>-4</v>
      </c>
    </row>
    <row r="107" spans="17:24" x14ac:dyDescent="0.45">
      <c r="R107" s="82" t="str">
        <f>W45</f>
        <v>Australien</v>
      </c>
      <c r="S107" s="82"/>
      <c r="T107" s="82"/>
      <c r="U107" s="2">
        <f>X45</f>
        <v>4</v>
      </c>
      <c r="V107" s="2">
        <f>Y45</f>
        <v>3</v>
      </c>
      <c r="W107" s="2">
        <f>Z45</f>
        <v>4</v>
      </c>
      <c r="X107" s="2">
        <f>AA45</f>
        <v>-1</v>
      </c>
    </row>
    <row r="108" spans="17:24" x14ac:dyDescent="0.45">
      <c r="R108" s="82" t="str">
        <f>AD45</f>
        <v>Ecuador</v>
      </c>
      <c r="S108" s="82"/>
      <c r="T108" s="82"/>
      <c r="U108" s="2">
        <f>AE45</f>
        <v>3</v>
      </c>
      <c r="V108" s="2">
        <f>AF45</f>
        <v>2</v>
      </c>
      <c r="W108" s="2">
        <f>AG45</f>
        <v>4</v>
      </c>
      <c r="X108" s="2">
        <f>AH45</f>
        <v>-2</v>
      </c>
    </row>
    <row r="109" spans="17:24" x14ac:dyDescent="0.45">
      <c r="R109" s="82" t="str">
        <f>AK45</f>
        <v>Schweden</v>
      </c>
      <c r="S109" s="82"/>
      <c r="T109" s="82"/>
      <c r="U109" s="2">
        <f>AL45</f>
        <v>3</v>
      </c>
      <c r="V109" s="2">
        <f>AM45</f>
        <v>3</v>
      </c>
      <c r="W109" s="2">
        <f>AN45</f>
        <v>4</v>
      </c>
      <c r="X109" s="2">
        <f>AO45</f>
        <v>-1</v>
      </c>
    </row>
    <row r="112" spans="17:24" x14ac:dyDescent="0.45">
      <c r="Q112" s="33">
        <v>1</v>
      </c>
      <c r="R112" s="2" t="str" cm="1">
        <f t="array" ref="R112:R123">_xlfn.SORTBY(R98:R109,U98:U109,-1,X98:X109,-1,V98:V109,-1)</f>
        <v>Tschechien</v>
      </c>
      <c r="U112" s="2" cm="1">
        <f t="array" ref="U112:U123">_xlfn.SORTBY(U98:U109,U98:U109,-1,X98:X109,-1,V98:V109,-1)</f>
        <v>4</v>
      </c>
      <c r="V112" s="2" cm="1">
        <f t="array" ref="V112:V123">_xlfn.SORTBY(V98:V109,U98:U109,-1,X98:X109,-1,V98:V109,-1)</f>
        <v>2</v>
      </c>
      <c r="W112" s="2" cm="1">
        <f t="array" ref="W112:W123">_xlfn.SORTBY(W98:W109,U98:U109,-1,X98:X109,-1,V98:V109,-1)</f>
        <v>2</v>
      </c>
      <c r="X112" s="2" cm="1">
        <f t="array" ref="X112:X123">_xlfn.SORTBY(X98:X109,U98:U109,-1,X98:X109,-1,V98:V109,-1)</f>
        <v>0</v>
      </c>
    </row>
    <row r="113" spans="17:24" x14ac:dyDescent="0.45">
      <c r="Q113" s="33">
        <v>2</v>
      </c>
      <c r="R113" s="2" t="str">
        <v>Algerien</v>
      </c>
      <c r="U113" s="2">
        <v>4</v>
      </c>
      <c r="V113" s="2">
        <v>4</v>
      </c>
      <c r="W113" s="2">
        <v>5</v>
      </c>
      <c r="X113" s="2">
        <v>-1</v>
      </c>
    </row>
    <row r="114" spans="17:24" x14ac:dyDescent="0.45">
      <c r="Q114" s="33">
        <v>3</v>
      </c>
      <c r="R114" s="2" t="str">
        <v>Australien</v>
      </c>
      <c r="U114" s="2">
        <v>4</v>
      </c>
      <c r="V114" s="2">
        <v>3</v>
      </c>
      <c r="W114" s="2">
        <v>4</v>
      </c>
      <c r="X114" s="2">
        <v>-1</v>
      </c>
    </row>
    <row r="115" spans="17:24" x14ac:dyDescent="0.45">
      <c r="Q115" s="33">
        <v>4</v>
      </c>
      <c r="R115" s="2" t="str">
        <v>Senegal</v>
      </c>
      <c r="U115" s="2">
        <v>3</v>
      </c>
      <c r="V115" s="2">
        <v>4</v>
      </c>
      <c r="W115" s="2">
        <v>5</v>
      </c>
      <c r="X115" s="2">
        <v>-1</v>
      </c>
    </row>
    <row r="116" spans="17:24" x14ac:dyDescent="0.45">
      <c r="Q116" s="33">
        <v>5</v>
      </c>
      <c r="R116" s="2" t="str">
        <v>Ghana</v>
      </c>
      <c r="U116" s="2">
        <v>3</v>
      </c>
      <c r="V116" s="2">
        <v>3</v>
      </c>
      <c r="W116" s="2">
        <v>4</v>
      </c>
      <c r="X116" s="2">
        <v>-1</v>
      </c>
    </row>
    <row r="117" spans="17:24" x14ac:dyDescent="0.45">
      <c r="Q117" s="33">
        <v>6</v>
      </c>
      <c r="R117" s="2" t="str">
        <v>Schweden</v>
      </c>
      <c r="U117" s="2">
        <v>3</v>
      </c>
      <c r="V117" s="2">
        <v>3</v>
      </c>
      <c r="W117" s="2">
        <v>4</v>
      </c>
      <c r="X117" s="2">
        <v>-1</v>
      </c>
    </row>
    <row r="118" spans="17:24" x14ac:dyDescent="0.45">
      <c r="Q118" s="33">
        <v>7</v>
      </c>
      <c r="R118" s="2" t="str">
        <v>Ecuador</v>
      </c>
      <c r="U118" s="2">
        <v>3</v>
      </c>
      <c r="V118" s="2">
        <v>2</v>
      </c>
      <c r="W118" s="2">
        <v>4</v>
      </c>
      <c r="X118" s="2">
        <v>-2</v>
      </c>
    </row>
    <row r="119" spans="17:24" x14ac:dyDescent="0.45">
      <c r="Q119" s="33">
        <v>8</v>
      </c>
      <c r="R119" s="2" t="str">
        <v>Schottland</v>
      </c>
      <c r="U119" s="2">
        <v>3</v>
      </c>
      <c r="V119" s="2">
        <v>1</v>
      </c>
      <c r="W119" s="2">
        <v>5</v>
      </c>
      <c r="X119" s="2">
        <v>-4</v>
      </c>
    </row>
    <row r="120" spans="17:24" x14ac:dyDescent="0.45">
      <c r="Q120" s="32">
        <v>9</v>
      </c>
      <c r="R120" s="2" t="str">
        <v>Katar</v>
      </c>
      <c r="U120" s="2">
        <v>2</v>
      </c>
      <c r="V120" s="2">
        <v>1</v>
      </c>
      <c r="W120" s="2">
        <v>3</v>
      </c>
      <c r="X120" s="2">
        <v>-2</v>
      </c>
    </row>
    <row r="121" spans="17:24" x14ac:dyDescent="0.45">
      <c r="Q121" s="32">
        <v>10</v>
      </c>
      <c r="R121" s="2" t="str">
        <v>Neuseeland</v>
      </c>
      <c r="U121" s="2">
        <v>1</v>
      </c>
      <c r="V121" s="2">
        <v>1</v>
      </c>
      <c r="W121" s="2">
        <v>3</v>
      </c>
      <c r="X121" s="2">
        <v>-2</v>
      </c>
    </row>
    <row r="122" spans="17:24" x14ac:dyDescent="0.45">
      <c r="Q122" s="32">
        <v>11</v>
      </c>
      <c r="R122" s="2" t="str">
        <v>Saudi-Arabien</v>
      </c>
      <c r="U122" s="2">
        <v>1</v>
      </c>
      <c r="V122" s="2">
        <v>3</v>
      </c>
      <c r="W122" s="2">
        <v>6</v>
      </c>
      <c r="X122" s="2">
        <v>-3</v>
      </c>
    </row>
    <row r="123" spans="17:24" x14ac:dyDescent="0.45">
      <c r="Q123" s="32">
        <v>12</v>
      </c>
      <c r="R123" s="2" t="str">
        <v>DR Kongo</v>
      </c>
      <c r="U123" s="2">
        <v>1</v>
      </c>
      <c r="V123" s="2">
        <v>3</v>
      </c>
      <c r="W123" s="2">
        <v>6</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225</v>
      </c>
    </row>
    <row r="155" spans="1:23" x14ac:dyDescent="0.45">
      <c r="A155" s="23" t="s">
        <v>103</v>
      </c>
      <c r="B155" s="24">
        <f>SUM(H160:H231)</f>
        <v>221</v>
      </c>
    </row>
    <row r="156" spans="1:23" x14ac:dyDescent="0.45">
      <c r="A156" s="23" t="s">
        <v>104</v>
      </c>
      <c r="B156" s="24">
        <f>SUM(E234:E265)</f>
        <v>135</v>
      </c>
    </row>
    <row r="157" spans="1:23" x14ac:dyDescent="0.45">
      <c r="A157" s="25" t="s">
        <v>105</v>
      </c>
      <c r="B157" s="26">
        <f>B154+B155+B156</f>
        <v>581</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3</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5</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0</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5</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1</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4</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4</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4</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5</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2</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5</v>
      </c>
      <c r="H197" s="28">
        <f>IF(OR(B57="",Realität!B57=""),0,MAX(0,5-ABS(B57-Realität!B57)-ABS(C57-Realität!C57)))</f>
        <v>1</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4</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0</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1</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4</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3</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2</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3</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1</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3</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0</v>
      </c>
      <c r="H226" s="28">
        <f>IF(OR(AK52="",Realität!AK52=""),0,MAX(0,5-ABS(AK52-Realität!AK52)-ABS(AL52-Realität!AL52)))</f>
        <v>3</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4</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5</v>
      </c>
    </row>
    <row r="232" spans="1:8" x14ac:dyDescent="0.45">
      <c r="A232" s="31" t="s">
        <v>329</v>
      </c>
      <c r="F232" s="23" t="s">
        <v>330</v>
      </c>
      <c r="G232" s="24">
        <f>SUM(G160:G231)</f>
        <v>225</v>
      </c>
      <c r="H232" s="24">
        <f>SUM(H160:H231)</f>
        <v>221</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Südkorea</v>
      </c>
      <c r="E235" s="28">
        <f t="shared" si="0"/>
        <v>0</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Australien</v>
      </c>
      <c r="D241" s="29" t="str">
        <f>W44</f>
        <v>USA</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Elfenbeinküste</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Norwegen</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Österreich</v>
      </c>
      <c r="E253" s="28">
        <f t="shared" si="0"/>
        <v>5</v>
      </c>
    </row>
    <row r="254" spans="1:5" x14ac:dyDescent="0.45">
      <c r="A254" s="28">
        <v>21</v>
      </c>
      <c r="B254" s="29" t="s">
        <v>354</v>
      </c>
      <c r="C254" s="29" t="str">
        <f>Realität!AD90</f>
        <v>Kolumbien</v>
      </c>
      <c r="D254" s="29" t="str">
        <f>AD90</f>
        <v>Portugal</v>
      </c>
      <c r="E254" s="28">
        <f t="shared" si="0"/>
        <v>5</v>
      </c>
    </row>
    <row r="255" spans="1:5" x14ac:dyDescent="0.45">
      <c r="A255" s="28">
        <v>22</v>
      </c>
      <c r="B255" s="29" t="s">
        <v>355</v>
      </c>
      <c r="C255" s="29" t="str">
        <f>Realität!AD91</f>
        <v>Portugal</v>
      </c>
      <c r="D255" s="29" t="str">
        <f>AD91</f>
        <v>Kolumbien</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Tschechien</v>
      </c>
      <c r="E258" s="28">
        <f t="shared" si="0"/>
        <v>0</v>
      </c>
    </row>
    <row r="259" spans="1:5" x14ac:dyDescent="0.45">
      <c r="A259" s="28">
        <v>26</v>
      </c>
      <c r="B259" s="29" t="s">
        <v>359</v>
      </c>
      <c r="C259" s="29" t="str">
        <f>Realität!R113</f>
        <v>Schweden</v>
      </c>
      <c r="D259" s="29" t="str">
        <f t="shared" si="1"/>
        <v>Algerien</v>
      </c>
      <c r="E259" s="28">
        <f t="shared" si="0"/>
        <v>5</v>
      </c>
    </row>
    <row r="260" spans="1:5" x14ac:dyDescent="0.45">
      <c r="A260" s="28">
        <v>27</v>
      </c>
      <c r="B260" s="29" t="s">
        <v>360</v>
      </c>
      <c r="C260" s="29" t="str">
        <f>Realität!R114</f>
        <v>Ghana</v>
      </c>
      <c r="D260" s="29" t="str">
        <f t="shared" si="1"/>
        <v>Australien</v>
      </c>
      <c r="E260" s="28">
        <f t="shared" si="0"/>
        <v>5</v>
      </c>
    </row>
    <row r="261" spans="1:5" x14ac:dyDescent="0.45">
      <c r="A261" s="28">
        <v>28</v>
      </c>
      <c r="B261" s="29" t="s">
        <v>361</v>
      </c>
      <c r="C261" s="29" t="str">
        <f>Realität!R115</f>
        <v>Ecuador</v>
      </c>
      <c r="D261" s="29" t="str">
        <f t="shared" si="1"/>
        <v>Senegal</v>
      </c>
      <c r="E261" s="28">
        <f t="shared" si="0"/>
        <v>5</v>
      </c>
    </row>
    <row r="262" spans="1:5" x14ac:dyDescent="0.45">
      <c r="A262" s="28">
        <v>29</v>
      </c>
      <c r="B262" s="29" t="s">
        <v>362</v>
      </c>
      <c r="C262" s="29" t="str">
        <f>Realität!R116</f>
        <v>Bosnien-Herz.</v>
      </c>
      <c r="D262" s="29" t="str">
        <f t="shared" si="1"/>
        <v>Ghana</v>
      </c>
      <c r="E262" s="28">
        <f t="shared" si="0"/>
        <v>5</v>
      </c>
    </row>
    <row r="263" spans="1:5" x14ac:dyDescent="0.45">
      <c r="A263" s="28">
        <v>30</v>
      </c>
      <c r="B263" s="29" t="s">
        <v>363</v>
      </c>
      <c r="C263" s="29" t="str">
        <f>Realität!R117</f>
        <v>Algerien</v>
      </c>
      <c r="D263" s="29" t="str">
        <f t="shared" si="1"/>
        <v>Schweden</v>
      </c>
      <c r="E263" s="28">
        <f t="shared" si="0"/>
        <v>5</v>
      </c>
    </row>
    <row r="264" spans="1:5" x14ac:dyDescent="0.45">
      <c r="A264" s="28">
        <v>31</v>
      </c>
      <c r="B264" s="29" t="s">
        <v>364</v>
      </c>
      <c r="C264" s="29" t="str">
        <f>Realität!R118</f>
        <v>Paraguay</v>
      </c>
      <c r="D264" s="29" t="str">
        <f t="shared" si="1"/>
        <v>Ecuador</v>
      </c>
      <c r="E264" s="28">
        <f t="shared" si="0"/>
        <v>5</v>
      </c>
    </row>
    <row r="265" spans="1:5" x14ac:dyDescent="0.45">
      <c r="A265" s="28">
        <v>32</v>
      </c>
      <c r="B265" s="29" t="s">
        <v>365</v>
      </c>
      <c r="C265" s="29" t="str">
        <f>Realität!R119</f>
        <v>Senegal</v>
      </c>
      <c r="D265" s="29" t="str">
        <f t="shared" si="1"/>
        <v>Schottland</v>
      </c>
      <c r="E265" s="28">
        <f t="shared" si="0"/>
        <v>0</v>
      </c>
    </row>
    <row r="266" spans="1:5" x14ac:dyDescent="0.45">
      <c r="D266" s="23" t="s">
        <v>330</v>
      </c>
      <c r="E266" s="24">
        <f>SUM(E234:E265)</f>
        <v>135</v>
      </c>
    </row>
  </sheetData>
  <mergeCells count="146">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 ref="B80:C80"/>
    <mergeCell ref="I80:J80"/>
    <mergeCell ref="P80:Q80"/>
    <mergeCell ref="W80:X80"/>
    <mergeCell ref="AD80:AE80"/>
    <mergeCell ref="AK80:AL80"/>
    <mergeCell ref="B89:C89"/>
    <mergeCell ref="I89:J89"/>
    <mergeCell ref="P89:Q89"/>
    <mergeCell ref="W89:X89"/>
    <mergeCell ref="AD89:AE89"/>
    <mergeCell ref="AK89:AL89"/>
    <mergeCell ref="B72:C72"/>
    <mergeCell ref="I72:J72"/>
    <mergeCell ref="P72:Q72"/>
    <mergeCell ref="W72:X72"/>
    <mergeCell ref="AD72:AE72"/>
    <mergeCell ref="AK72:AL72"/>
    <mergeCell ref="B75:C75"/>
    <mergeCell ref="I75:J75"/>
    <mergeCell ref="P75:Q75"/>
    <mergeCell ref="W75:X75"/>
    <mergeCell ref="AD75:AE75"/>
    <mergeCell ref="AK75:AL75"/>
    <mergeCell ref="B64:C64"/>
    <mergeCell ref="I64:J64"/>
    <mergeCell ref="P64:Q64"/>
    <mergeCell ref="W64:X64"/>
    <mergeCell ref="AD64:AE64"/>
    <mergeCell ref="AK64:AL64"/>
    <mergeCell ref="B69:C69"/>
    <mergeCell ref="I69:J69"/>
    <mergeCell ref="P69:Q69"/>
    <mergeCell ref="W69:X69"/>
    <mergeCell ref="AD69:AE69"/>
    <mergeCell ref="AK69:AL69"/>
    <mergeCell ref="B58:C58"/>
    <mergeCell ref="I58:J58"/>
    <mergeCell ref="P58:Q58"/>
    <mergeCell ref="W58:X58"/>
    <mergeCell ref="AD58:AE58"/>
    <mergeCell ref="AK58:AL58"/>
    <mergeCell ref="B61:C61"/>
    <mergeCell ref="I61:J61"/>
    <mergeCell ref="P61:Q61"/>
    <mergeCell ref="W61:X61"/>
    <mergeCell ref="AD61:AE61"/>
    <mergeCell ref="AK61:AL61"/>
    <mergeCell ref="B50:C50"/>
    <mergeCell ref="I50:J50"/>
    <mergeCell ref="P50:Q50"/>
    <mergeCell ref="W50:X50"/>
    <mergeCell ref="AD50:AE50"/>
    <mergeCell ref="AK50:AL50"/>
    <mergeCell ref="B53:C53"/>
    <mergeCell ref="I53:J53"/>
    <mergeCell ref="P53:Q53"/>
    <mergeCell ref="W53:X53"/>
    <mergeCell ref="AD53:AE53"/>
    <mergeCell ref="AK53:AL53"/>
    <mergeCell ref="B42:C42"/>
    <mergeCell ref="I42:J42"/>
    <mergeCell ref="P42:Q42"/>
    <mergeCell ref="W42:X42"/>
    <mergeCell ref="AD42:AE42"/>
    <mergeCell ref="AK42:AL42"/>
    <mergeCell ref="A48:D49"/>
    <mergeCell ref="H48:K49"/>
    <mergeCell ref="O48:R49"/>
    <mergeCell ref="V48:Y49"/>
    <mergeCell ref="AC48:AF49"/>
    <mergeCell ref="AJ48:AM49"/>
    <mergeCell ref="B28:C28"/>
    <mergeCell ref="I28:J28"/>
    <mergeCell ref="P28:Q28"/>
    <mergeCell ref="W28:X28"/>
    <mergeCell ref="AD28:AE28"/>
    <mergeCell ref="AK28:AL28"/>
    <mergeCell ref="B33:C33"/>
    <mergeCell ref="I33:J33"/>
    <mergeCell ref="P33:Q33"/>
    <mergeCell ref="W33:X33"/>
    <mergeCell ref="AD33:AE33"/>
    <mergeCell ref="AK33:AL33"/>
    <mergeCell ref="B22:C22"/>
    <mergeCell ref="I22:J22"/>
    <mergeCell ref="P22:Q22"/>
    <mergeCell ref="W22:X22"/>
    <mergeCell ref="AD22:AE22"/>
    <mergeCell ref="AK22:AL22"/>
    <mergeCell ref="B25:C25"/>
    <mergeCell ref="I25:J25"/>
    <mergeCell ref="P25:Q25"/>
    <mergeCell ref="W25:X25"/>
    <mergeCell ref="AD25:AE25"/>
    <mergeCell ref="AK25:AL25"/>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s>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E4B1-87BE-4F7C-84C5-A0533B7C857C}">
  <dimension ref="A1:AP266"/>
  <sheetViews>
    <sheetView topLeftCell="A132" workbookViewId="0">
      <selection activeCell="A152" sqref="A152:H266"/>
    </sheetView>
  </sheetViews>
  <sheetFormatPr defaultColWidth="8.88671875" defaultRowHeight="15" customHeight="1" x14ac:dyDescent="0.3"/>
  <cols>
    <col min="1" max="1" width="11.5546875" style="40" customWidth="1"/>
    <col min="2" max="3" width="16.6640625" style="40" customWidth="1"/>
    <col min="4" max="6" width="4.33203125" style="40" customWidth="1"/>
    <col min="7" max="8" width="11.5546875" style="40" customWidth="1"/>
    <col min="9" max="10" width="16.6640625" style="40" customWidth="1"/>
    <col min="11" max="13" width="4.33203125" style="40" customWidth="1"/>
    <col min="14" max="15" width="11.5546875" style="40" customWidth="1"/>
    <col min="16" max="17" width="16.6640625" style="40" customWidth="1"/>
    <col min="18" max="18" width="5.33203125" style="40" customWidth="1"/>
    <col min="19" max="20" width="4.33203125" style="40" customWidth="1"/>
    <col min="21" max="21" width="16.6640625" style="40" customWidth="1"/>
    <col min="22" max="22" width="11.5546875" style="40" customWidth="1"/>
    <col min="23" max="24" width="16.6640625" style="40" customWidth="1"/>
    <col min="25" max="27" width="4.33203125" style="40" customWidth="1"/>
    <col min="28" max="29" width="11.5546875" style="40" customWidth="1"/>
    <col min="30" max="31" width="16.6640625" style="40" customWidth="1"/>
    <col min="32" max="32" width="4.33203125" style="40" customWidth="1"/>
    <col min="33" max="33" width="4.44140625" style="40" customWidth="1"/>
    <col min="34" max="35" width="4.33203125" style="40" customWidth="1"/>
    <col min="36" max="36" width="11.5546875" style="40" customWidth="1"/>
    <col min="37" max="38" width="16.6640625" style="40" customWidth="1"/>
    <col min="39" max="41" width="4.33203125" style="40" customWidth="1"/>
    <col min="42" max="42" width="11.5546875" style="40" customWidth="1"/>
    <col min="43" max="16384" width="8.88671875" style="40"/>
  </cols>
  <sheetData>
    <row r="1" spans="1:42" ht="30" x14ac:dyDescent="0.7">
      <c r="A1" s="41"/>
      <c r="B1" s="87" t="s">
        <v>18</v>
      </c>
      <c r="C1" s="86"/>
      <c r="D1" s="43"/>
      <c r="E1" s="44"/>
      <c r="F1" s="44"/>
      <c r="G1" s="43"/>
      <c r="H1" s="87" t="s">
        <v>19</v>
      </c>
      <c r="I1" s="86"/>
      <c r="J1" s="86"/>
      <c r="K1" s="86"/>
      <c r="L1" s="44"/>
      <c r="M1" s="44"/>
      <c r="N1" s="43"/>
      <c r="O1" s="87" t="s">
        <v>20</v>
      </c>
      <c r="P1" s="86"/>
      <c r="Q1" s="86"/>
      <c r="R1" s="86"/>
      <c r="S1" s="44"/>
      <c r="T1" s="44"/>
      <c r="U1" s="43"/>
      <c r="V1" s="87" t="s">
        <v>21</v>
      </c>
      <c r="W1" s="86"/>
      <c r="X1" s="86"/>
      <c r="Y1" s="86"/>
      <c r="Z1" s="44"/>
      <c r="AA1" s="44"/>
      <c r="AB1" s="43"/>
      <c r="AC1" s="87" t="s">
        <v>22</v>
      </c>
      <c r="AD1" s="86"/>
      <c r="AE1" s="86"/>
      <c r="AF1" s="86"/>
      <c r="AG1" s="44"/>
      <c r="AH1" s="44"/>
      <c r="AI1" s="43"/>
      <c r="AJ1" s="87" t="s">
        <v>23</v>
      </c>
      <c r="AK1" s="86"/>
      <c r="AL1" s="86"/>
      <c r="AM1" s="86"/>
      <c r="AN1" s="44"/>
      <c r="AO1" s="44"/>
      <c r="AP1" s="43"/>
    </row>
    <row r="2" spans="1:42" ht="17.399999999999999" x14ac:dyDescent="0.45">
      <c r="A2" s="43"/>
      <c r="B2" s="86"/>
      <c r="C2" s="86"/>
      <c r="D2" s="43"/>
      <c r="E2" s="44"/>
      <c r="F2" s="44"/>
      <c r="G2" s="43"/>
      <c r="H2" s="86"/>
      <c r="I2" s="86"/>
      <c r="J2" s="86"/>
      <c r="K2" s="86"/>
      <c r="L2" s="44"/>
      <c r="M2" s="44"/>
      <c r="N2" s="43"/>
      <c r="O2" s="86"/>
      <c r="P2" s="86"/>
      <c r="Q2" s="86"/>
      <c r="R2" s="86"/>
      <c r="S2" s="44"/>
      <c r="T2" s="44"/>
      <c r="U2" s="43"/>
      <c r="V2" s="86"/>
      <c r="W2" s="86"/>
      <c r="X2" s="86"/>
      <c r="Y2" s="86"/>
      <c r="Z2" s="44"/>
      <c r="AA2" s="44"/>
      <c r="AB2" s="43"/>
      <c r="AC2" s="86"/>
      <c r="AD2" s="86"/>
      <c r="AE2" s="86"/>
      <c r="AF2" s="86"/>
      <c r="AG2" s="44"/>
      <c r="AH2" s="44"/>
      <c r="AI2" s="43"/>
      <c r="AJ2" s="86"/>
      <c r="AK2" s="86"/>
      <c r="AL2" s="86"/>
      <c r="AM2" s="86"/>
      <c r="AN2" s="44"/>
      <c r="AO2" s="44"/>
      <c r="AP2" s="43"/>
    </row>
    <row r="3" spans="1:42" ht="17.399999999999999" x14ac:dyDescent="0.45">
      <c r="A3" s="43"/>
      <c r="B3" s="85" t="s">
        <v>24</v>
      </c>
      <c r="C3" s="86"/>
      <c r="D3" s="43"/>
      <c r="E3" s="43"/>
      <c r="F3" s="43"/>
      <c r="G3" s="43"/>
      <c r="H3" s="43"/>
      <c r="I3" s="85" t="s">
        <v>24</v>
      </c>
      <c r="J3" s="86"/>
      <c r="K3" s="43"/>
      <c r="L3" s="43"/>
      <c r="M3" s="43"/>
      <c r="N3" s="43"/>
      <c r="O3" s="43"/>
      <c r="P3" s="85" t="s">
        <v>24</v>
      </c>
      <c r="Q3" s="86"/>
      <c r="R3" s="43"/>
      <c r="S3" s="43"/>
      <c r="T3" s="43"/>
      <c r="U3" s="43"/>
      <c r="V3" s="43"/>
      <c r="W3" s="85" t="s">
        <v>24</v>
      </c>
      <c r="X3" s="86"/>
      <c r="Y3" s="43"/>
      <c r="Z3" s="43"/>
      <c r="AA3" s="43"/>
      <c r="AB3" s="43"/>
      <c r="AC3" s="43"/>
      <c r="AD3" s="85" t="s">
        <v>24</v>
      </c>
      <c r="AE3" s="86"/>
      <c r="AF3" s="43"/>
      <c r="AG3" s="43"/>
      <c r="AH3" s="43"/>
      <c r="AI3" s="43"/>
      <c r="AJ3" s="43"/>
      <c r="AK3" s="85" t="s">
        <v>24</v>
      </c>
      <c r="AL3" s="86"/>
      <c r="AM3" s="43"/>
      <c r="AN3" s="43"/>
      <c r="AO3" s="43"/>
      <c r="AP3" s="43"/>
    </row>
    <row r="4" spans="1:42" ht="17.399999999999999" x14ac:dyDescent="0.45">
      <c r="A4" s="43"/>
      <c r="B4" s="44" t="s">
        <v>25</v>
      </c>
      <c r="C4" s="44" t="s">
        <v>26</v>
      </c>
      <c r="D4" s="43"/>
      <c r="E4" s="43"/>
      <c r="F4" s="43"/>
      <c r="G4" s="43"/>
      <c r="H4" s="43"/>
      <c r="I4" s="44" t="s">
        <v>27</v>
      </c>
      <c r="J4" s="44" t="s">
        <v>28</v>
      </c>
      <c r="K4" s="43"/>
      <c r="L4" s="43"/>
      <c r="M4" s="43"/>
      <c r="N4" s="43"/>
      <c r="O4" s="43"/>
      <c r="P4" s="44" t="s">
        <v>29</v>
      </c>
      <c r="Q4" s="44" t="s">
        <v>30</v>
      </c>
      <c r="R4" s="43"/>
      <c r="S4" s="43"/>
      <c r="T4" s="43"/>
      <c r="U4" s="43"/>
      <c r="V4" s="43"/>
      <c r="W4" s="44" t="s">
        <v>31</v>
      </c>
      <c r="X4" s="44" t="s">
        <v>32</v>
      </c>
      <c r="Y4" s="43"/>
      <c r="Z4" s="43"/>
      <c r="AA4" s="43"/>
      <c r="AB4" s="43"/>
      <c r="AC4" s="43"/>
      <c r="AD4" s="44" t="s">
        <v>33</v>
      </c>
      <c r="AE4" s="44" t="s">
        <v>34</v>
      </c>
      <c r="AF4" s="43"/>
      <c r="AG4" s="43"/>
      <c r="AH4" s="43"/>
      <c r="AI4" s="43"/>
      <c r="AJ4" s="43"/>
      <c r="AK4" s="44" t="s">
        <v>35</v>
      </c>
      <c r="AL4" s="44" t="s">
        <v>36</v>
      </c>
      <c r="AM4" s="43"/>
      <c r="AN4" s="43"/>
      <c r="AO4" s="43"/>
      <c r="AP4" s="43"/>
    </row>
    <row r="5" spans="1:42" ht="17.399999999999999" x14ac:dyDescent="0.45">
      <c r="A5" s="43"/>
      <c r="B5" s="45">
        <v>2</v>
      </c>
      <c r="C5" s="45">
        <v>0</v>
      </c>
      <c r="D5" s="43"/>
      <c r="E5" s="43"/>
      <c r="F5" s="43"/>
      <c r="G5" s="43"/>
      <c r="H5" s="43"/>
      <c r="I5" s="45">
        <v>1</v>
      </c>
      <c r="J5" s="45">
        <v>1</v>
      </c>
      <c r="K5" s="43"/>
      <c r="L5" s="43"/>
      <c r="M5" s="43"/>
      <c r="N5" s="43"/>
      <c r="O5" s="43"/>
      <c r="P5" s="45">
        <v>2</v>
      </c>
      <c r="Q5" s="45">
        <v>1</v>
      </c>
      <c r="R5" s="43"/>
      <c r="S5" s="43"/>
      <c r="T5" s="43"/>
      <c r="U5" s="43"/>
      <c r="V5" s="43"/>
      <c r="W5" s="45">
        <v>2</v>
      </c>
      <c r="X5" s="45">
        <v>1</v>
      </c>
      <c r="Y5" s="43"/>
      <c r="Z5" s="43"/>
      <c r="AA5" s="43"/>
      <c r="AB5" s="43"/>
      <c r="AC5" s="43"/>
      <c r="AD5" s="45">
        <v>6</v>
      </c>
      <c r="AE5" s="45">
        <v>0</v>
      </c>
      <c r="AF5" s="43"/>
      <c r="AG5" s="43"/>
      <c r="AH5" s="43"/>
      <c r="AI5" s="43"/>
      <c r="AJ5" s="43"/>
      <c r="AK5" s="45">
        <v>2</v>
      </c>
      <c r="AL5" s="45">
        <v>1</v>
      </c>
      <c r="AM5" s="43"/>
      <c r="AN5" s="43"/>
      <c r="AO5" s="43"/>
      <c r="AP5" s="43"/>
    </row>
    <row r="6" spans="1:42" ht="17.399999999999999" x14ac:dyDescent="0.45">
      <c r="A6" s="43"/>
      <c r="B6" s="88" t="str">
        <f>IF(B5=C5,"Unentschieden",IF(B5&gt;C5,B4,C4))</f>
        <v>Mexiko</v>
      </c>
      <c r="C6" s="89"/>
      <c r="D6" s="43"/>
      <c r="E6" s="43"/>
      <c r="F6" s="43"/>
      <c r="G6" s="43"/>
      <c r="H6" s="43"/>
      <c r="I6" s="88" t="str">
        <f>IF(I5=J5,"Unentschieden",IF(I5&gt;J5,I4,J4))</f>
        <v>Unentschieden</v>
      </c>
      <c r="J6" s="89"/>
      <c r="K6" s="43"/>
      <c r="L6" s="43"/>
      <c r="M6" s="43"/>
      <c r="N6" s="43"/>
      <c r="O6" s="43"/>
      <c r="P6" s="88" t="str">
        <f>IF(P5=Q5,"Unentschieden",IF(P5&gt;Q5,P4,Q4))</f>
        <v>Brasilien</v>
      </c>
      <c r="Q6" s="89"/>
      <c r="R6" s="43"/>
      <c r="S6" s="43"/>
      <c r="T6" s="43"/>
      <c r="U6" s="43"/>
      <c r="V6" s="43"/>
      <c r="W6" s="88" t="str">
        <f>IF(W5=X5,"Unentschieden",IF(W5&gt;X5,W4,X4))</f>
        <v>USA</v>
      </c>
      <c r="X6" s="89"/>
      <c r="Y6" s="43"/>
      <c r="Z6" s="43"/>
      <c r="AA6" s="43"/>
      <c r="AB6" s="43"/>
      <c r="AC6" s="43"/>
      <c r="AD6" s="88" t="str">
        <f>IF(AD5=AE5,"Unentschieden",IF(AD5&gt;AE5,AD4,AE4))</f>
        <v>Deutschland</v>
      </c>
      <c r="AE6" s="89"/>
      <c r="AF6" s="43"/>
      <c r="AG6" s="43"/>
      <c r="AH6" s="43"/>
      <c r="AI6" s="43"/>
      <c r="AJ6" s="43"/>
      <c r="AK6" s="88" t="str">
        <f>IF(AK5=AL5,"Unentschieden",IF(AK5&gt;AL5,AK4,AL4))</f>
        <v>Niederlande</v>
      </c>
      <c r="AL6" s="89"/>
      <c r="AM6" s="43"/>
      <c r="AN6" s="43"/>
      <c r="AO6" s="43"/>
      <c r="AP6" s="43"/>
    </row>
    <row r="7" spans="1:42" ht="17.399999999999999" x14ac:dyDescent="0.45">
      <c r="A7" s="43"/>
      <c r="B7" s="44">
        <f>IF(B5=C5,1,IF(B5&gt;C5,3,0))</f>
        <v>3</v>
      </c>
      <c r="C7" s="44">
        <f>IF(C5=B5,1,IF(C5&gt;B5,3,0))</f>
        <v>0</v>
      </c>
      <c r="D7" s="43"/>
      <c r="E7" s="43"/>
      <c r="F7" s="43"/>
      <c r="G7" s="43"/>
      <c r="H7" s="43"/>
      <c r="I7" s="44">
        <f>IF(I5=J5,1,IF(I5&gt;J5,3,0))</f>
        <v>1</v>
      </c>
      <c r="J7" s="44">
        <f>IF(J5=I5,1,IF(J5&gt;I5,3,0))</f>
        <v>1</v>
      </c>
      <c r="K7" s="43"/>
      <c r="L7" s="43"/>
      <c r="M7" s="43"/>
      <c r="N7" s="43"/>
      <c r="O7" s="43"/>
      <c r="P7" s="44">
        <f>IF(P5=Q5,1,IF(P5&gt;Q5,3,0))</f>
        <v>3</v>
      </c>
      <c r="Q7" s="44">
        <f>IF(Q5=P5,1,IF(Q5&gt;P5,3,0))</f>
        <v>0</v>
      </c>
      <c r="R7" s="43"/>
      <c r="S7" s="43"/>
      <c r="T7" s="43"/>
      <c r="U7" s="43"/>
      <c r="V7" s="43"/>
      <c r="W7" s="44">
        <f>IF(W5=X5,1,IF(W5&gt;X5,3,0))</f>
        <v>3</v>
      </c>
      <c r="X7" s="44">
        <f>IF(X5=W5,1,IF(X5&gt;W5,3,0))</f>
        <v>0</v>
      </c>
      <c r="Y7" s="43"/>
      <c r="Z7" s="43"/>
      <c r="AA7" s="43"/>
      <c r="AB7" s="43"/>
      <c r="AC7" s="43"/>
      <c r="AD7" s="44">
        <f>IF(AD5=AE5,1,IF(AD5&gt;AE5,3,0))</f>
        <v>3</v>
      </c>
      <c r="AE7" s="44">
        <f>IF(AE5=AD5,1,IF(AE5&gt;AD5,3,0))</f>
        <v>0</v>
      </c>
      <c r="AF7" s="43"/>
      <c r="AG7" s="43"/>
      <c r="AH7" s="43"/>
      <c r="AI7" s="43"/>
      <c r="AJ7" s="43"/>
      <c r="AK7" s="44">
        <f>IF(AK5=AL5,1,IF(AK5&gt;AL5,3,0))</f>
        <v>3</v>
      </c>
      <c r="AL7" s="44">
        <f>IF(AL5=AK5,1,IF(AL5&gt;AK5,3,0))</f>
        <v>0</v>
      </c>
      <c r="AM7" s="43"/>
      <c r="AN7" s="43"/>
      <c r="AO7" s="43"/>
      <c r="AP7" s="43"/>
    </row>
    <row r="8" spans="1:42" ht="17.399999999999999" x14ac:dyDescent="0.4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row>
    <row r="9" spans="1:42" ht="17.399999999999999" x14ac:dyDescent="0.45">
      <c r="A9" s="43"/>
      <c r="B9" s="44" t="s">
        <v>37</v>
      </c>
      <c r="C9" s="44" t="s">
        <v>38</v>
      </c>
      <c r="D9" s="43"/>
      <c r="E9" s="43"/>
      <c r="F9" s="43"/>
      <c r="G9" s="43"/>
      <c r="H9" s="43"/>
      <c r="I9" s="44" t="s">
        <v>39</v>
      </c>
      <c r="J9" s="44" t="s">
        <v>40</v>
      </c>
      <c r="K9" s="43"/>
      <c r="L9" s="43"/>
      <c r="M9" s="43"/>
      <c r="N9" s="43"/>
      <c r="O9" s="43"/>
      <c r="P9" s="44" t="s">
        <v>41</v>
      </c>
      <c r="Q9" s="44" t="s">
        <v>42</v>
      </c>
      <c r="R9" s="43"/>
      <c r="S9" s="43"/>
      <c r="T9" s="43"/>
      <c r="U9" s="43"/>
      <c r="V9" s="43"/>
      <c r="W9" s="44" t="s">
        <v>43</v>
      </c>
      <c r="X9" s="44" t="s">
        <v>44</v>
      </c>
      <c r="Y9" s="43"/>
      <c r="Z9" s="43"/>
      <c r="AA9" s="43"/>
      <c r="AB9" s="43"/>
      <c r="AC9" s="43"/>
      <c r="AD9" s="44" t="s">
        <v>45</v>
      </c>
      <c r="AE9" s="44" t="s">
        <v>46</v>
      </c>
      <c r="AF9" s="43"/>
      <c r="AG9" s="43"/>
      <c r="AH9" s="43"/>
      <c r="AI9" s="43"/>
      <c r="AJ9" s="43"/>
      <c r="AK9" s="44" t="s">
        <v>47</v>
      </c>
      <c r="AL9" s="44" t="s">
        <v>48</v>
      </c>
      <c r="AM9" s="43"/>
      <c r="AN9" s="43"/>
      <c r="AO9" s="43"/>
      <c r="AP9" s="43"/>
    </row>
    <row r="10" spans="1:42" ht="17.399999999999999" x14ac:dyDescent="0.45">
      <c r="A10" s="43"/>
      <c r="B10" s="45">
        <v>1</v>
      </c>
      <c r="C10" s="45">
        <v>1</v>
      </c>
      <c r="D10" s="43"/>
      <c r="E10" s="43"/>
      <c r="F10" s="43"/>
      <c r="G10" s="43"/>
      <c r="H10" s="43"/>
      <c r="I10" s="45">
        <v>0</v>
      </c>
      <c r="J10" s="45">
        <v>2</v>
      </c>
      <c r="K10" s="43"/>
      <c r="L10" s="43"/>
      <c r="M10" s="43"/>
      <c r="N10" s="43"/>
      <c r="O10" s="43"/>
      <c r="P10" s="45">
        <v>0</v>
      </c>
      <c r="Q10" s="45">
        <v>2</v>
      </c>
      <c r="R10" s="43"/>
      <c r="S10" s="43"/>
      <c r="T10" s="43"/>
      <c r="U10" s="43"/>
      <c r="V10" s="43"/>
      <c r="W10" s="45">
        <v>1</v>
      </c>
      <c r="X10" s="45">
        <v>2</v>
      </c>
      <c r="Y10" s="43"/>
      <c r="Z10" s="43"/>
      <c r="AA10" s="43"/>
      <c r="AB10" s="43"/>
      <c r="AC10" s="43"/>
      <c r="AD10" s="45">
        <v>1</v>
      </c>
      <c r="AE10" s="45">
        <v>1</v>
      </c>
      <c r="AF10" s="43"/>
      <c r="AG10" s="43"/>
      <c r="AH10" s="43"/>
      <c r="AI10" s="43"/>
      <c r="AJ10" s="43"/>
      <c r="AK10" s="45">
        <v>1</v>
      </c>
      <c r="AL10" s="45">
        <v>0</v>
      </c>
      <c r="AM10" s="43"/>
      <c r="AN10" s="43"/>
      <c r="AO10" s="43"/>
      <c r="AP10" s="43"/>
    </row>
    <row r="11" spans="1:42" ht="17.399999999999999" x14ac:dyDescent="0.45">
      <c r="A11" s="43"/>
      <c r="B11" s="88" t="str">
        <f>IF(B10=C10,"Unentschieden",IF(B10&gt;C10,B9,C9))</f>
        <v>Unentschieden</v>
      </c>
      <c r="C11" s="89"/>
      <c r="D11" s="43"/>
      <c r="E11" s="43"/>
      <c r="F11" s="43"/>
      <c r="G11" s="43"/>
      <c r="H11" s="43"/>
      <c r="I11" s="88" t="str">
        <f>IF(I10=J10,"Unentschieden",IF(I10&gt;J10,I9,J9))</f>
        <v>Schweiz</v>
      </c>
      <c r="J11" s="89"/>
      <c r="K11" s="43"/>
      <c r="L11" s="43"/>
      <c r="M11" s="43"/>
      <c r="N11" s="43"/>
      <c r="O11" s="43"/>
      <c r="P11" s="88" t="str">
        <f>IF(P10=Q10,"Unentschieden",IF(P10&gt;Q10,P9,Q9))</f>
        <v>Schottland</v>
      </c>
      <c r="Q11" s="89"/>
      <c r="R11" s="43"/>
      <c r="S11" s="43"/>
      <c r="T11" s="43"/>
      <c r="U11" s="43"/>
      <c r="V11" s="43"/>
      <c r="W11" s="88" t="str">
        <f>IF(W10=X10,"Unentschieden",IF(W10&gt;X10,W9,X9))</f>
        <v>Türkei</v>
      </c>
      <c r="X11" s="89"/>
      <c r="Y11" s="43"/>
      <c r="Z11" s="43"/>
      <c r="AA11" s="43"/>
      <c r="AB11" s="43"/>
      <c r="AC11" s="43"/>
      <c r="AD11" s="88" t="str">
        <f>IF(AD10=AE10,"Unentschieden",IF(AD10&gt;AE10,AD9,AE9))</f>
        <v>Unentschieden</v>
      </c>
      <c r="AE11" s="89"/>
      <c r="AF11" s="43"/>
      <c r="AG11" s="43"/>
      <c r="AH11" s="43"/>
      <c r="AI11" s="43"/>
      <c r="AJ11" s="43"/>
      <c r="AK11" s="88" t="str">
        <f>IF(AK10=AL10,"Unentschieden",IF(AK10&gt;AL10,AK9,AL9))</f>
        <v>Schweden</v>
      </c>
      <c r="AL11" s="89"/>
      <c r="AM11" s="43"/>
      <c r="AN11" s="43"/>
      <c r="AO11" s="43"/>
      <c r="AP11" s="43"/>
    </row>
    <row r="12" spans="1:42" ht="17.399999999999999" x14ac:dyDescent="0.45">
      <c r="A12" s="43"/>
      <c r="B12" s="44">
        <f>IF(B10=C10,1,IF(B10&gt;C10,3,0))</f>
        <v>1</v>
      </c>
      <c r="C12" s="44">
        <f>IF(C10=B10,1,IF(C10&gt;B10,3,0))</f>
        <v>1</v>
      </c>
      <c r="D12" s="43"/>
      <c r="E12" s="43"/>
      <c r="F12" s="43"/>
      <c r="G12" s="43"/>
      <c r="H12" s="43"/>
      <c r="I12" s="44">
        <f>IF(I10=J10,1,IF(I10&gt;J10,3,0))</f>
        <v>0</v>
      </c>
      <c r="J12" s="44">
        <f>IF(J10=I10,1,IF(J10&gt;I10,3,0))</f>
        <v>3</v>
      </c>
      <c r="K12" s="43"/>
      <c r="L12" s="43"/>
      <c r="M12" s="43"/>
      <c r="N12" s="43"/>
      <c r="O12" s="43"/>
      <c r="P12" s="44">
        <f>IF(P10=Q10,1,IF(P10&gt;Q10,3,0))</f>
        <v>0</v>
      </c>
      <c r="Q12" s="44">
        <f>IF(Q10=P10,1,IF(Q10&gt;P10,3,0))</f>
        <v>3</v>
      </c>
      <c r="R12" s="43"/>
      <c r="S12" s="43"/>
      <c r="T12" s="43"/>
      <c r="U12" s="43"/>
      <c r="V12" s="43"/>
      <c r="W12" s="44">
        <f>IF(W10=X10,1,IF(W10&gt;X10,3,0))</f>
        <v>0</v>
      </c>
      <c r="X12" s="44">
        <f>IF(X10=W10,1,IF(X10&gt;W10,3,0))</f>
        <v>3</v>
      </c>
      <c r="Y12" s="43"/>
      <c r="Z12" s="43"/>
      <c r="AA12" s="43"/>
      <c r="AB12" s="43"/>
      <c r="AC12" s="43"/>
      <c r="AD12" s="44">
        <f>IF(AD10=AE10,1,IF(AD10&gt;AE10,3,0))</f>
        <v>1</v>
      </c>
      <c r="AE12" s="44">
        <f>IF(AE10=AD10,1,IF(AE10&gt;AD10,3,0))</f>
        <v>1</v>
      </c>
      <c r="AF12" s="43"/>
      <c r="AG12" s="43"/>
      <c r="AH12" s="43"/>
      <c r="AI12" s="43"/>
      <c r="AJ12" s="43"/>
      <c r="AK12" s="44">
        <f>IF(AK10=AL10,1,IF(AK10&gt;AL10,3,0))</f>
        <v>3</v>
      </c>
      <c r="AL12" s="44">
        <f>IF(AL10=AK10,1,IF(AL10&gt;AK10,3,0))</f>
        <v>0</v>
      </c>
      <c r="AM12" s="43"/>
      <c r="AN12" s="43"/>
      <c r="AO12" s="43"/>
      <c r="AP12" s="43"/>
    </row>
    <row r="13" spans="1:42" ht="17.399999999999999" x14ac:dyDescent="0.4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row>
    <row r="14" spans="1:42" ht="17.399999999999999" x14ac:dyDescent="0.45">
      <c r="A14" s="43"/>
      <c r="B14" s="85" t="s">
        <v>49</v>
      </c>
      <c r="C14" s="86"/>
      <c r="D14" s="43"/>
      <c r="E14" s="43"/>
      <c r="F14" s="43"/>
      <c r="G14" s="43"/>
      <c r="H14" s="43"/>
      <c r="I14" s="85" t="s">
        <v>49</v>
      </c>
      <c r="J14" s="86"/>
      <c r="K14" s="43"/>
      <c r="L14" s="43"/>
      <c r="M14" s="43"/>
      <c r="N14" s="43"/>
      <c r="O14" s="43"/>
      <c r="P14" s="85" t="s">
        <v>49</v>
      </c>
      <c r="Q14" s="86"/>
      <c r="R14" s="43"/>
      <c r="S14" s="43"/>
      <c r="T14" s="43"/>
      <c r="U14" s="43"/>
      <c r="V14" s="43"/>
      <c r="W14" s="85" t="s">
        <v>49</v>
      </c>
      <c r="X14" s="86"/>
      <c r="Y14" s="43"/>
      <c r="Z14" s="43"/>
      <c r="AA14" s="43"/>
      <c r="AB14" s="43"/>
      <c r="AC14" s="43"/>
      <c r="AD14" s="85" t="s">
        <v>49</v>
      </c>
      <c r="AE14" s="86"/>
      <c r="AF14" s="43"/>
      <c r="AG14" s="43"/>
      <c r="AH14" s="43"/>
      <c r="AI14" s="43"/>
      <c r="AJ14" s="43"/>
      <c r="AK14" s="85" t="s">
        <v>49</v>
      </c>
      <c r="AL14" s="86"/>
      <c r="AM14" s="43"/>
      <c r="AN14" s="43"/>
      <c r="AO14" s="43"/>
      <c r="AP14" s="43"/>
    </row>
    <row r="15" spans="1:42" ht="17.399999999999999" x14ac:dyDescent="0.45">
      <c r="A15" s="43"/>
      <c r="B15" s="44" t="s">
        <v>38</v>
      </c>
      <c r="C15" s="44" t="s">
        <v>26</v>
      </c>
      <c r="D15" s="43"/>
      <c r="E15" s="43"/>
      <c r="F15" s="43"/>
      <c r="G15" s="43"/>
      <c r="H15" s="43"/>
      <c r="I15" s="44" t="s">
        <v>40</v>
      </c>
      <c r="J15" s="44" t="s">
        <v>28</v>
      </c>
      <c r="K15" s="43"/>
      <c r="L15" s="43"/>
      <c r="M15" s="43"/>
      <c r="N15" s="43"/>
      <c r="O15" s="43"/>
      <c r="P15" s="44" t="s">
        <v>42</v>
      </c>
      <c r="Q15" s="44" t="s">
        <v>30</v>
      </c>
      <c r="R15" s="43"/>
      <c r="S15" s="43"/>
      <c r="T15" s="43"/>
      <c r="U15" s="43"/>
      <c r="V15" s="43"/>
      <c r="W15" s="44" t="s">
        <v>44</v>
      </c>
      <c r="X15" s="44" t="s">
        <v>32</v>
      </c>
      <c r="Y15" s="43"/>
      <c r="Z15" s="43"/>
      <c r="AA15" s="43"/>
      <c r="AB15" s="43"/>
      <c r="AC15" s="43"/>
      <c r="AD15" s="44" t="s">
        <v>46</v>
      </c>
      <c r="AE15" s="44" t="s">
        <v>34</v>
      </c>
      <c r="AF15" s="43"/>
      <c r="AG15" s="43"/>
      <c r="AH15" s="43"/>
      <c r="AI15" s="43"/>
      <c r="AJ15" s="43"/>
      <c r="AK15" s="44" t="s">
        <v>48</v>
      </c>
      <c r="AL15" s="44" t="s">
        <v>36</v>
      </c>
      <c r="AM15" s="43"/>
      <c r="AN15" s="43"/>
      <c r="AO15" s="43"/>
      <c r="AP15" s="43"/>
    </row>
    <row r="16" spans="1:42" ht="17.399999999999999" x14ac:dyDescent="0.45">
      <c r="A16" s="43"/>
      <c r="B16" s="45">
        <v>2</v>
      </c>
      <c r="C16" s="45">
        <v>0</v>
      </c>
      <c r="D16" s="43"/>
      <c r="E16" s="43"/>
      <c r="F16" s="43"/>
      <c r="G16" s="43"/>
      <c r="H16" s="43"/>
      <c r="I16" s="45">
        <v>1</v>
      </c>
      <c r="J16" s="45">
        <v>1</v>
      </c>
      <c r="K16" s="43"/>
      <c r="L16" s="43"/>
      <c r="M16" s="43"/>
      <c r="N16" s="43"/>
      <c r="O16" s="43"/>
      <c r="P16" s="45">
        <v>0</v>
      </c>
      <c r="Q16" s="45">
        <v>1</v>
      </c>
      <c r="R16" s="43"/>
      <c r="S16" s="43"/>
      <c r="T16" s="43"/>
      <c r="U16" s="43"/>
      <c r="V16" s="43"/>
      <c r="W16" s="45">
        <v>1</v>
      </c>
      <c r="X16" s="45">
        <v>1</v>
      </c>
      <c r="Y16" s="43"/>
      <c r="Z16" s="43"/>
      <c r="AA16" s="43"/>
      <c r="AB16" s="43"/>
      <c r="AC16" s="43"/>
      <c r="AD16" s="45">
        <v>2</v>
      </c>
      <c r="AE16" s="45">
        <v>0</v>
      </c>
      <c r="AF16" s="43"/>
      <c r="AG16" s="43"/>
      <c r="AH16" s="43"/>
      <c r="AI16" s="43"/>
      <c r="AJ16" s="43"/>
      <c r="AK16" s="45">
        <v>0</v>
      </c>
      <c r="AL16" s="45">
        <v>1</v>
      </c>
      <c r="AM16" s="43"/>
      <c r="AN16" s="43"/>
      <c r="AO16" s="43"/>
      <c r="AP16" s="43"/>
    </row>
    <row r="17" spans="1:42" ht="17.399999999999999" x14ac:dyDescent="0.45">
      <c r="A17" s="43"/>
      <c r="B17" s="88" t="str">
        <f>IF(B16=C16,"Unentschieden",IF(B16&gt;C16,B15,C15))</f>
        <v>Tschechien</v>
      </c>
      <c r="C17" s="89"/>
      <c r="D17" s="43"/>
      <c r="E17" s="43"/>
      <c r="F17" s="43"/>
      <c r="G17" s="43"/>
      <c r="H17" s="43"/>
      <c r="I17" s="88" t="str">
        <f>IF(I16=J16,"Unentschieden",IF(I16&gt;J16,I15,J15))</f>
        <v>Unentschieden</v>
      </c>
      <c r="J17" s="89"/>
      <c r="K17" s="43"/>
      <c r="L17" s="43"/>
      <c r="M17" s="43"/>
      <c r="N17" s="43"/>
      <c r="O17" s="43"/>
      <c r="P17" s="88" t="str">
        <f>IF(P16=Q16,"Unentschieden",IF(P16&gt;Q16,P15,Q15))</f>
        <v>Marokko</v>
      </c>
      <c r="Q17" s="89"/>
      <c r="R17" s="43"/>
      <c r="S17" s="43"/>
      <c r="T17" s="43"/>
      <c r="U17" s="43"/>
      <c r="V17" s="43"/>
      <c r="W17" s="88" t="str">
        <f>IF(W16=X16,"Unentschieden",IF(W16&gt;X16,W15,X15))</f>
        <v>Unentschieden</v>
      </c>
      <c r="X17" s="89"/>
      <c r="Y17" s="43"/>
      <c r="Z17" s="43"/>
      <c r="AA17" s="43"/>
      <c r="AB17" s="43"/>
      <c r="AC17" s="43"/>
      <c r="AD17" s="88" t="str">
        <f>IF(AD16=AE16,"Unentschieden",IF(AD16&gt;AE16,AD15,AE15))</f>
        <v>Ecuador</v>
      </c>
      <c r="AE17" s="89"/>
      <c r="AF17" s="43"/>
      <c r="AG17" s="43"/>
      <c r="AH17" s="43"/>
      <c r="AI17" s="43"/>
      <c r="AJ17" s="43"/>
      <c r="AK17" s="88" t="str">
        <f>IF(AK16=AL16,"Unentschieden",IF(AK16&gt;AL16,AK15,AL15))</f>
        <v>Japan</v>
      </c>
      <c r="AL17" s="89"/>
      <c r="AM17" s="43"/>
      <c r="AN17" s="43"/>
      <c r="AO17" s="43"/>
      <c r="AP17" s="43"/>
    </row>
    <row r="18" spans="1:42" ht="17.399999999999999" x14ac:dyDescent="0.45">
      <c r="A18" s="43"/>
      <c r="B18" s="44">
        <f>IF(B16=C16,1,IF(B16&gt;C16,3,0))</f>
        <v>3</v>
      </c>
      <c r="C18" s="44">
        <f>IF(C16=B16,1,IF(C16&gt;B16,3,0))</f>
        <v>0</v>
      </c>
      <c r="D18" s="43"/>
      <c r="E18" s="43"/>
      <c r="F18" s="43"/>
      <c r="G18" s="43"/>
      <c r="H18" s="43"/>
      <c r="I18" s="44">
        <f>IF(I16=J16,1,IF(I16&gt;J16,3,0))</f>
        <v>1</v>
      </c>
      <c r="J18" s="44">
        <f>IF(J16=I16,1,IF(J16&gt;I16,3,0))</f>
        <v>1</v>
      </c>
      <c r="K18" s="43"/>
      <c r="L18" s="43"/>
      <c r="M18" s="43"/>
      <c r="N18" s="43"/>
      <c r="O18" s="43"/>
      <c r="P18" s="44">
        <f>IF(P16=Q16,1,IF(P16&gt;Q16,3,0))</f>
        <v>0</v>
      </c>
      <c r="Q18" s="44">
        <f>IF(Q16=P16,1,IF(Q16&gt;P16,3,0))</f>
        <v>3</v>
      </c>
      <c r="R18" s="43"/>
      <c r="S18" s="43"/>
      <c r="T18" s="43"/>
      <c r="U18" s="43"/>
      <c r="V18" s="43"/>
      <c r="W18" s="44">
        <f>IF(W16=X16,1,IF(W16&gt;X16,3,0))</f>
        <v>1</v>
      </c>
      <c r="X18" s="44">
        <f>IF(X16=W16,1,IF(X16&gt;W16,3,0))</f>
        <v>1</v>
      </c>
      <c r="Y18" s="43"/>
      <c r="Z18" s="43"/>
      <c r="AA18" s="43"/>
      <c r="AB18" s="43"/>
      <c r="AC18" s="43"/>
      <c r="AD18" s="44">
        <f>IF(AD16=AE16,1,IF(AD16&gt;AE16,3,0))</f>
        <v>3</v>
      </c>
      <c r="AE18" s="44">
        <f>IF(AE16=AD16,1,IF(AE16&gt;AD16,3,0))</f>
        <v>0</v>
      </c>
      <c r="AF18" s="43"/>
      <c r="AG18" s="43"/>
      <c r="AH18" s="43"/>
      <c r="AI18" s="43"/>
      <c r="AJ18" s="43"/>
      <c r="AK18" s="44">
        <f>IF(AK16=AL16,1,IF(AK16&gt;AL16,3,0))</f>
        <v>0</v>
      </c>
      <c r="AL18" s="44">
        <f>IF(AL16=AK16,1,IF(AL16&gt;AK16,3,0))</f>
        <v>3</v>
      </c>
      <c r="AM18" s="43"/>
      <c r="AN18" s="43"/>
      <c r="AO18" s="43"/>
      <c r="AP18" s="43"/>
    </row>
    <row r="19" spans="1:42" ht="17.399999999999999" x14ac:dyDescent="0.45">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row>
    <row r="20" spans="1:42" ht="17.399999999999999" x14ac:dyDescent="0.45">
      <c r="A20" s="43"/>
      <c r="B20" s="44" t="s">
        <v>25</v>
      </c>
      <c r="C20" s="44" t="s">
        <v>37</v>
      </c>
      <c r="D20" s="43"/>
      <c r="E20" s="43"/>
      <c r="F20" s="43"/>
      <c r="G20" s="43"/>
      <c r="H20" s="43"/>
      <c r="I20" s="44" t="s">
        <v>27</v>
      </c>
      <c r="J20" s="44" t="s">
        <v>39</v>
      </c>
      <c r="K20" s="43"/>
      <c r="L20" s="43"/>
      <c r="M20" s="43"/>
      <c r="N20" s="43"/>
      <c r="O20" s="43"/>
      <c r="P20" s="44" t="s">
        <v>29</v>
      </c>
      <c r="Q20" s="44" t="s">
        <v>41</v>
      </c>
      <c r="R20" s="43"/>
      <c r="S20" s="43"/>
      <c r="T20" s="43"/>
      <c r="U20" s="43"/>
      <c r="V20" s="43"/>
      <c r="W20" s="44" t="s">
        <v>31</v>
      </c>
      <c r="X20" s="44" t="s">
        <v>43</v>
      </c>
      <c r="Y20" s="43"/>
      <c r="Z20" s="43"/>
      <c r="AA20" s="43"/>
      <c r="AB20" s="43"/>
      <c r="AC20" s="43"/>
      <c r="AD20" s="44" t="s">
        <v>33</v>
      </c>
      <c r="AE20" s="44" t="s">
        <v>45</v>
      </c>
      <c r="AF20" s="43"/>
      <c r="AG20" s="43"/>
      <c r="AH20" s="43"/>
      <c r="AI20" s="43"/>
      <c r="AJ20" s="43"/>
      <c r="AK20" s="44" t="s">
        <v>35</v>
      </c>
      <c r="AL20" s="44" t="s">
        <v>47</v>
      </c>
      <c r="AM20" s="43"/>
      <c r="AN20" s="43"/>
      <c r="AO20" s="43"/>
      <c r="AP20" s="43"/>
    </row>
    <row r="21" spans="1:42" ht="17.399999999999999" x14ac:dyDescent="0.45">
      <c r="A21" s="43"/>
      <c r="B21" s="45">
        <v>2</v>
      </c>
      <c r="C21" s="45">
        <v>1</v>
      </c>
      <c r="D21" s="43"/>
      <c r="E21" s="43"/>
      <c r="F21" s="43"/>
      <c r="G21" s="43"/>
      <c r="H21" s="43"/>
      <c r="I21" s="45">
        <v>2</v>
      </c>
      <c r="J21" s="45">
        <v>0</v>
      </c>
      <c r="K21" s="43"/>
      <c r="L21" s="43"/>
      <c r="M21" s="43"/>
      <c r="N21" s="43"/>
      <c r="O21" s="43"/>
      <c r="P21" s="45">
        <v>3</v>
      </c>
      <c r="Q21" s="45">
        <v>0</v>
      </c>
      <c r="R21" s="43"/>
      <c r="S21" s="43"/>
      <c r="T21" s="43"/>
      <c r="U21" s="43"/>
      <c r="V21" s="43"/>
      <c r="W21" s="45">
        <v>2</v>
      </c>
      <c r="X21" s="45">
        <v>0</v>
      </c>
      <c r="Y21" s="43"/>
      <c r="Z21" s="43"/>
      <c r="AA21" s="43"/>
      <c r="AB21" s="43"/>
      <c r="AC21" s="43"/>
      <c r="AD21" s="45">
        <v>2</v>
      </c>
      <c r="AE21" s="45">
        <v>1</v>
      </c>
      <c r="AF21" s="43"/>
      <c r="AG21" s="43"/>
      <c r="AH21" s="43"/>
      <c r="AI21" s="43"/>
      <c r="AJ21" s="43"/>
      <c r="AK21" s="45">
        <v>2</v>
      </c>
      <c r="AL21" s="45">
        <v>1</v>
      </c>
      <c r="AM21" s="43"/>
      <c r="AN21" s="43"/>
      <c r="AO21" s="43"/>
      <c r="AP21" s="43"/>
    </row>
    <row r="22" spans="1:42" ht="17.399999999999999" x14ac:dyDescent="0.45">
      <c r="A22" s="43"/>
      <c r="B22" s="88" t="str">
        <f>IF(B21=C21,"Unentschieden",IF(B21&gt;C21,B20,C20))</f>
        <v>Mexiko</v>
      </c>
      <c r="C22" s="89"/>
      <c r="D22" s="43"/>
      <c r="E22" s="43"/>
      <c r="F22" s="43"/>
      <c r="G22" s="43"/>
      <c r="H22" s="43"/>
      <c r="I22" s="88" t="str">
        <f>IF(I21=J21,"Unentschieden",IF(I21&gt;J21,I20,J20))</f>
        <v>Kanada</v>
      </c>
      <c r="J22" s="89"/>
      <c r="K22" s="43"/>
      <c r="L22" s="43"/>
      <c r="M22" s="43"/>
      <c r="N22" s="43"/>
      <c r="O22" s="43"/>
      <c r="P22" s="88" t="str">
        <f>IF(P21=Q21,"Unentschieden",IF(P21&gt;Q21,P20,Q20))</f>
        <v>Brasilien</v>
      </c>
      <c r="Q22" s="89"/>
      <c r="R22" s="43"/>
      <c r="S22" s="43"/>
      <c r="T22" s="43"/>
      <c r="U22" s="43"/>
      <c r="V22" s="43"/>
      <c r="W22" s="88" t="str">
        <f>IF(W21=X21,"Unentschieden",IF(W21&gt;X21,W20,X20))</f>
        <v>USA</v>
      </c>
      <c r="X22" s="89"/>
      <c r="Y22" s="43"/>
      <c r="Z22" s="43"/>
      <c r="AA22" s="43"/>
      <c r="AB22" s="43"/>
      <c r="AC22" s="43"/>
      <c r="AD22" s="88" t="str">
        <f>IF(AD21=AE21,"Unentschieden",IF(AD21&gt;AE21,AD20,AE20))</f>
        <v>Deutschland</v>
      </c>
      <c r="AE22" s="89"/>
      <c r="AF22" s="43"/>
      <c r="AG22" s="43"/>
      <c r="AH22" s="43"/>
      <c r="AI22" s="43"/>
      <c r="AJ22" s="43"/>
      <c r="AK22" s="88" t="str">
        <f>IF(AK21=AL21,"Unentschieden",IF(AK21&gt;AL21,AK20,AL20))</f>
        <v>Niederlande</v>
      </c>
      <c r="AL22" s="89"/>
      <c r="AM22" s="43"/>
      <c r="AN22" s="43"/>
      <c r="AO22" s="43"/>
      <c r="AP22" s="43"/>
    </row>
    <row r="23" spans="1:42" ht="17.399999999999999" x14ac:dyDescent="0.45">
      <c r="A23" s="43"/>
      <c r="B23" s="44">
        <f>IF(B21=C21,1,IF(B21&gt;C21,3,0))</f>
        <v>3</v>
      </c>
      <c r="C23" s="44">
        <f>IF(C21=B21,1,IF(C21&gt;B21,3,0))</f>
        <v>0</v>
      </c>
      <c r="D23" s="43"/>
      <c r="E23" s="43"/>
      <c r="F23" s="43"/>
      <c r="G23" s="43"/>
      <c r="H23" s="43"/>
      <c r="I23" s="44">
        <f>IF(I21=J21,1,IF(I21&gt;J21,3,0))</f>
        <v>3</v>
      </c>
      <c r="J23" s="44">
        <f>IF(J21=I21,1,IF(J21&gt;I21,3,0))</f>
        <v>0</v>
      </c>
      <c r="K23" s="43"/>
      <c r="L23" s="43"/>
      <c r="M23" s="43"/>
      <c r="N23" s="43"/>
      <c r="O23" s="43"/>
      <c r="P23" s="44">
        <f>IF(P21=Q21,1,IF(P21&gt;Q21,3,0))</f>
        <v>3</v>
      </c>
      <c r="Q23" s="44">
        <f>IF(Q21=P21,1,IF(Q21&gt;P21,3,0))</f>
        <v>0</v>
      </c>
      <c r="R23" s="43"/>
      <c r="S23" s="43"/>
      <c r="T23" s="43"/>
      <c r="U23" s="43"/>
      <c r="V23" s="43"/>
      <c r="W23" s="44">
        <f>IF(W21=X21,1,IF(W21&gt;X21,3,0))</f>
        <v>3</v>
      </c>
      <c r="X23" s="44">
        <f>IF(X21=W21,1,IF(X21&gt;W21,3,0))</f>
        <v>0</v>
      </c>
      <c r="Y23" s="43"/>
      <c r="Z23" s="43"/>
      <c r="AA23" s="43"/>
      <c r="AB23" s="43"/>
      <c r="AC23" s="43"/>
      <c r="AD23" s="44">
        <f>IF(AD21=AE21,1,IF(AD21&gt;AE21,3,0))</f>
        <v>3</v>
      </c>
      <c r="AE23" s="44">
        <f>IF(AE21=AD21,1,IF(AE21&gt;AD21,3,0))</f>
        <v>0</v>
      </c>
      <c r="AF23" s="43"/>
      <c r="AG23" s="43"/>
      <c r="AH23" s="43"/>
      <c r="AI23" s="43"/>
      <c r="AJ23" s="43"/>
      <c r="AK23" s="44">
        <f>IF(AK21=AL21,1,IF(AK21&gt;AL21,3,0))</f>
        <v>3</v>
      </c>
      <c r="AL23" s="44">
        <f>IF(AL21=AK21,1,IF(AL21&gt;AK21,3,0))</f>
        <v>0</v>
      </c>
      <c r="AM23" s="43"/>
      <c r="AN23" s="43"/>
      <c r="AO23" s="43"/>
      <c r="AP23" s="43"/>
    </row>
    <row r="24" spans="1:42" ht="17.399999999999999" x14ac:dyDescent="0.45">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row>
    <row r="25" spans="1:42" ht="17.399999999999999" x14ac:dyDescent="0.45">
      <c r="A25" s="43"/>
      <c r="B25" s="85" t="s">
        <v>50</v>
      </c>
      <c r="C25" s="86"/>
      <c r="D25" s="43"/>
      <c r="E25" s="43"/>
      <c r="F25" s="43"/>
      <c r="G25" s="43"/>
      <c r="H25" s="43"/>
      <c r="I25" s="85" t="s">
        <v>50</v>
      </c>
      <c r="J25" s="86"/>
      <c r="K25" s="43"/>
      <c r="L25" s="43"/>
      <c r="M25" s="43"/>
      <c r="N25" s="43"/>
      <c r="O25" s="43"/>
      <c r="P25" s="85" t="s">
        <v>50</v>
      </c>
      <c r="Q25" s="86"/>
      <c r="R25" s="43"/>
      <c r="S25" s="43"/>
      <c r="T25" s="43"/>
      <c r="U25" s="43"/>
      <c r="V25" s="43"/>
      <c r="W25" s="85" t="s">
        <v>50</v>
      </c>
      <c r="X25" s="86"/>
      <c r="Y25" s="43"/>
      <c r="Z25" s="43"/>
      <c r="AA25" s="43"/>
      <c r="AB25" s="43"/>
      <c r="AC25" s="43"/>
      <c r="AD25" s="85" t="s">
        <v>50</v>
      </c>
      <c r="AE25" s="86"/>
      <c r="AF25" s="43"/>
      <c r="AG25" s="43"/>
      <c r="AH25" s="43"/>
      <c r="AI25" s="43"/>
      <c r="AJ25" s="43"/>
      <c r="AK25" s="85" t="s">
        <v>50</v>
      </c>
      <c r="AL25" s="86"/>
      <c r="AM25" s="43"/>
      <c r="AN25" s="43"/>
      <c r="AO25" s="43"/>
      <c r="AP25" s="43"/>
    </row>
    <row r="26" spans="1:42" ht="17.399999999999999" x14ac:dyDescent="0.45">
      <c r="A26" s="43"/>
      <c r="B26" s="44" t="s">
        <v>26</v>
      </c>
      <c r="C26" s="44" t="s">
        <v>37</v>
      </c>
      <c r="D26" s="43"/>
      <c r="E26" s="43"/>
      <c r="F26" s="43"/>
      <c r="G26" s="43"/>
      <c r="H26" s="43"/>
      <c r="I26" s="44" t="s">
        <v>28</v>
      </c>
      <c r="J26" s="44" t="s">
        <v>39</v>
      </c>
      <c r="K26" s="43"/>
      <c r="L26" s="43"/>
      <c r="M26" s="43"/>
      <c r="N26" s="43"/>
      <c r="O26" s="43"/>
      <c r="P26" s="44" t="s">
        <v>30</v>
      </c>
      <c r="Q26" s="44" t="s">
        <v>41</v>
      </c>
      <c r="R26" s="43"/>
      <c r="S26" s="43"/>
      <c r="T26" s="43"/>
      <c r="U26" s="43"/>
      <c r="V26" s="43"/>
      <c r="W26" s="44" t="s">
        <v>32</v>
      </c>
      <c r="X26" s="44" t="s">
        <v>43</v>
      </c>
      <c r="Y26" s="43"/>
      <c r="Z26" s="43"/>
      <c r="AA26" s="43"/>
      <c r="AB26" s="43"/>
      <c r="AC26" s="43"/>
      <c r="AD26" s="44" t="s">
        <v>34</v>
      </c>
      <c r="AE26" s="44" t="s">
        <v>45</v>
      </c>
      <c r="AF26" s="43"/>
      <c r="AG26" s="43"/>
      <c r="AH26" s="43"/>
      <c r="AI26" s="43"/>
      <c r="AJ26" s="43"/>
      <c r="AK26" s="44" t="s">
        <v>36</v>
      </c>
      <c r="AL26" s="44" t="s">
        <v>47</v>
      </c>
      <c r="AM26" s="43"/>
      <c r="AN26" s="43"/>
      <c r="AO26" s="43"/>
      <c r="AP26" s="43"/>
    </row>
    <row r="27" spans="1:42" ht="17.399999999999999" x14ac:dyDescent="0.45">
      <c r="A27" s="43"/>
      <c r="B27" s="45">
        <v>0</v>
      </c>
      <c r="C27" s="45">
        <v>1</v>
      </c>
      <c r="D27" s="43"/>
      <c r="E27" s="43"/>
      <c r="F27" s="43"/>
      <c r="G27" s="43"/>
      <c r="H27" s="43"/>
      <c r="I27" s="45">
        <v>0</v>
      </c>
      <c r="J27" s="45">
        <v>1</v>
      </c>
      <c r="K27" s="43"/>
      <c r="L27" s="43"/>
      <c r="M27" s="43"/>
      <c r="N27" s="43"/>
      <c r="O27" s="43"/>
      <c r="P27" s="45">
        <v>0</v>
      </c>
      <c r="Q27" s="45">
        <v>2</v>
      </c>
      <c r="R27" s="43"/>
      <c r="S27" s="43"/>
      <c r="T27" s="43"/>
      <c r="U27" s="43"/>
      <c r="V27" s="43"/>
      <c r="W27" s="45">
        <v>1</v>
      </c>
      <c r="X27" s="45">
        <v>1</v>
      </c>
      <c r="Y27" s="43"/>
      <c r="Z27" s="43"/>
      <c r="AA27" s="43"/>
      <c r="AB27" s="43"/>
      <c r="AC27" s="43"/>
      <c r="AD27" s="45">
        <v>0</v>
      </c>
      <c r="AE27" s="45">
        <v>4</v>
      </c>
      <c r="AF27" s="43"/>
      <c r="AG27" s="43"/>
      <c r="AH27" s="43"/>
      <c r="AI27" s="43"/>
      <c r="AJ27" s="43"/>
      <c r="AK27" s="45">
        <v>1</v>
      </c>
      <c r="AL27" s="45">
        <v>1</v>
      </c>
      <c r="AM27" s="43"/>
      <c r="AN27" s="43"/>
      <c r="AO27" s="43"/>
      <c r="AP27" s="43"/>
    </row>
    <row r="28" spans="1:42" ht="17.399999999999999" x14ac:dyDescent="0.45">
      <c r="A28" s="43"/>
      <c r="B28" s="88" t="str">
        <f>IF(B27=C27,"Unentschieden",IF(B27&gt;C27,B26,C26))</f>
        <v>Südkorea</v>
      </c>
      <c r="C28" s="89"/>
      <c r="D28" s="43"/>
      <c r="E28" s="43"/>
      <c r="F28" s="43"/>
      <c r="G28" s="43"/>
      <c r="H28" s="43"/>
      <c r="I28" s="88" t="str">
        <f>IF(I27=J27,"Unentschieden",IF(I27&gt;J27,I26,J26))</f>
        <v>Katar</v>
      </c>
      <c r="J28" s="89"/>
      <c r="K28" s="43"/>
      <c r="L28" s="43"/>
      <c r="M28" s="43"/>
      <c r="N28" s="43"/>
      <c r="O28" s="43"/>
      <c r="P28" s="88" t="str">
        <f>IF(P27=Q27,"Unentschieden",IF(P27&gt;Q27,P26,Q26))</f>
        <v>Haiti</v>
      </c>
      <c r="Q28" s="89"/>
      <c r="R28" s="43"/>
      <c r="S28" s="43"/>
      <c r="T28" s="43"/>
      <c r="U28" s="43"/>
      <c r="V28" s="43"/>
      <c r="W28" s="88" t="str">
        <f>IF(W27=X27,"Unentschieden",IF(W27&gt;X27,W26,X26))</f>
        <v>Unentschieden</v>
      </c>
      <c r="X28" s="89"/>
      <c r="Y28" s="43"/>
      <c r="Z28" s="43"/>
      <c r="AA28" s="43"/>
      <c r="AB28" s="43"/>
      <c r="AC28" s="43"/>
      <c r="AD28" s="88" t="str">
        <f>IF(AD27=AE27,"Unentschieden",IF(AD27&gt;AE27,AD26,AE26))</f>
        <v>Elfenbeinküste</v>
      </c>
      <c r="AE28" s="89"/>
      <c r="AF28" s="43"/>
      <c r="AG28" s="43"/>
      <c r="AH28" s="43"/>
      <c r="AI28" s="43"/>
      <c r="AJ28" s="43"/>
      <c r="AK28" s="88" t="str">
        <f>IF(AK27=AL27,"Unentschieden",IF(AK27&gt;AL27,AK26,AL26))</f>
        <v>Unentschieden</v>
      </c>
      <c r="AL28" s="89"/>
      <c r="AM28" s="43"/>
      <c r="AN28" s="43"/>
      <c r="AO28" s="43"/>
      <c r="AP28" s="43"/>
    </row>
    <row r="29" spans="1:42" ht="17.399999999999999" x14ac:dyDescent="0.45">
      <c r="A29" s="43"/>
      <c r="B29" s="44">
        <f>IF(B27=C27,1,IF(B27&gt;C27,3,0))</f>
        <v>0</v>
      </c>
      <c r="C29" s="44">
        <f>IF(C27=B27,1,IF(C27&gt;B27,3,0))</f>
        <v>3</v>
      </c>
      <c r="D29" s="43"/>
      <c r="E29" s="43"/>
      <c r="F29" s="43"/>
      <c r="G29" s="43"/>
      <c r="H29" s="43"/>
      <c r="I29" s="44">
        <f>IF(I27=J27,1,IF(I27&gt;J27,3,0))</f>
        <v>0</v>
      </c>
      <c r="J29" s="44">
        <f>IF(J27=I27,1,IF(J27&gt;I27,3,0))</f>
        <v>3</v>
      </c>
      <c r="K29" s="43"/>
      <c r="L29" s="43"/>
      <c r="M29" s="43"/>
      <c r="N29" s="43"/>
      <c r="O29" s="43"/>
      <c r="P29" s="44">
        <f>IF(P27=Q27,1,IF(P27&gt;Q27,3,0))</f>
        <v>0</v>
      </c>
      <c r="Q29" s="44">
        <f>IF(Q27=P27,1,IF(Q27&gt;P27,3,0))</f>
        <v>3</v>
      </c>
      <c r="R29" s="43"/>
      <c r="S29" s="43"/>
      <c r="T29" s="43"/>
      <c r="U29" s="43"/>
      <c r="V29" s="43"/>
      <c r="W29" s="44">
        <f>IF(W27=X27,1,IF(W27&gt;X27,3,0))</f>
        <v>1</v>
      </c>
      <c r="X29" s="44">
        <f>IF(X27=W27,1,IF(X27&gt;W27,3,0))</f>
        <v>1</v>
      </c>
      <c r="Y29" s="43"/>
      <c r="Z29" s="43"/>
      <c r="AA29" s="43"/>
      <c r="AB29" s="43"/>
      <c r="AC29" s="43"/>
      <c r="AD29" s="44">
        <f>IF(AD27=AE27,1,IF(AD27&gt;AE27,3,0))</f>
        <v>0</v>
      </c>
      <c r="AE29" s="44">
        <f>IF(AE27=AD27,1,IF(AE27&gt;AD27,3,0))</f>
        <v>3</v>
      </c>
      <c r="AF29" s="43"/>
      <c r="AG29" s="43"/>
      <c r="AH29" s="43"/>
      <c r="AI29" s="43"/>
      <c r="AJ29" s="43"/>
      <c r="AK29" s="44">
        <f>IF(AK27=AL27,1,IF(AK27&gt;AL27,3,0))</f>
        <v>1</v>
      </c>
      <c r="AL29" s="44">
        <f>IF(AL27=AK27,1,IF(AL27&gt;AK27,3,0))</f>
        <v>1</v>
      </c>
      <c r="AM29" s="43"/>
      <c r="AN29" s="43"/>
      <c r="AO29" s="43"/>
      <c r="AP29" s="43"/>
    </row>
    <row r="30" spans="1:42" ht="17.399999999999999" x14ac:dyDescent="0.45">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row>
    <row r="31" spans="1:42" ht="17.399999999999999" x14ac:dyDescent="0.45">
      <c r="A31" s="43"/>
      <c r="B31" s="44" t="s">
        <v>38</v>
      </c>
      <c r="C31" s="44" t="s">
        <v>25</v>
      </c>
      <c r="D31" s="43"/>
      <c r="E31" s="43"/>
      <c r="F31" s="43"/>
      <c r="G31" s="43"/>
      <c r="H31" s="43"/>
      <c r="I31" s="44" t="s">
        <v>40</v>
      </c>
      <c r="J31" s="44" t="s">
        <v>27</v>
      </c>
      <c r="K31" s="43"/>
      <c r="L31" s="43"/>
      <c r="M31" s="43"/>
      <c r="N31" s="43"/>
      <c r="O31" s="43"/>
      <c r="P31" s="44" t="s">
        <v>42</v>
      </c>
      <c r="Q31" s="44" t="s">
        <v>29</v>
      </c>
      <c r="R31" s="43"/>
      <c r="S31" s="43"/>
      <c r="T31" s="43"/>
      <c r="U31" s="43"/>
      <c r="V31" s="43"/>
      <c r="W31" s="44" t="s">
        <v>44</v>
      </c>
      <c r="X31" s="44" t="s">
        <v>31</v>
      </c>
      <c r="Y31" s="43"/>
      <c r="Z31" s="43"/>
      <c r="AA31" s="43"/>
      <c r="AB31" s="43"/>
      <c r="AC31" s="43"/>
      <c r="AD31" s="44" t="s">
        <v>46</v>
      </c>
      <c r="AE31" s="44" t="s">
        <v>33</v>
      </c>
      <c r="AF31" s="43"/>
      <c r="AG31" s="43"/>
      <c r="AH31" s="43"/>
      <c r="AI31" s="43"/>
      <c r="AJ31" s="43"/>
      <c r="AK31" s="44" t="s">
        <v>48</v>
      </c>
      <c r="AL31" s="44" t="s">
        <v>35</v>
      </c>
      <c r="AM31" s="43"/>
      <c r="AN31" s="43"/>
      <c r="AO31" s="43"/>
      <c r="AP31" s="43"/>
    </row>
    <row r="32" spans="1:42" ht="17.399999999999999" x14ac:dyDescent="0.45">
      <c r="A32" s="43"/>
      <c r="B32" s="45">
        <v>1</v>
      </c>
      <c r="C32" s="45">
        <v>1</v>
      </c>
      <c r="D32" s="43"/>
      <c r="E32" s="43"/>
      <c r="F32" s="43"/>
      <c r="G32" s="43"/>
      <c r="H32" s="43"/>
      <c r="I32" s="45">
        <v>2</v>
      </c>
      <c r="J32" s="45">
        <v>1</v>
      </c>
      <c r="K32" s="43"/>
      <c r="L32" s="43"/>
      <c r="M32" s="43"/>
      <c r="N32" s="43"/>
      <c r="O32" s="43"/>
      <c r="P32" s="45">
        <v>0</v>
      </c>
      <c r="Q32" s="45">
        <v>2</v>
      </c>
      <c r="R32" s="43"/>
      <c r="S32" s="43"/>
      <c r="T32" s="43"/>
      <c r="U32" s="43"/>
      <c r="V32" s="43"/>
      <c r="W32" s="45">
        <v>1</v>
      </c>
      <c r="X32" s="45">
        <v>1</v>
      </c>
      <c r="Y32" s="43"/>
      <c r="Z32" s="43"/>
      <c r="AA32" s="43"/>
      <c r="AB32" s="43"/>
      <c r="AC32" s="43"/>
      <c r="AD32" s="45">
        <v>0</v>
      </c>
      <c r="AE32" s="45">
        <v>2</v>
      </c>
      <c r="AF32" s="43"/>
      <c r="AG32" s="43"/>
      <c r="AH32" s="43"/>
      <c r="AI32" s="43"/>
      <c r="AJ32" s="43"/>
      <c r="AK32" s="45">
        <v>0</v>
      </c>
      <c r="AL32" s="45">
        <v>2</v>
      </c>
      <c r="AM32" s="43"/>
      <c r="AN32" s="43"/>
      <c r="AO32" s="43"/>
      <c r="AP32" s="43"/>
    </row>
    <row r="33" spans="1:42" ht="17.399999999999999" x14ac:dyDescent="0.45">
      <c r="A33" s="43"/>
      <c r="B33" s="88" t="str">
        <f>IF(B32=C32,"Unentschieden",IF(B32&gt;C32,B31,C31))</f>
        <v>Unentschieden</v>
      </c>
      <c r="C33" s="89"/>
      <c r="D33" s="43"/>
      <c r="E33" s="43"/>
      <c r="F33" s="43"/>
      <c r="G33" s="43"/>
      <c r="H33" s="43"/>
      <c r="I33" s="88" t="str">
        <f>IF(I32=J32,"Unentschieden",IF(I32&gt;J32,I31,J31))</f>
        <v>Schweiz</v>
      </c>
      <c r="J33" s="89"/>
      <c r="K33" s="43"/>
      <c r="L33" s="43"/>
      <c r="M33" s="43"/>
      <c r="N33" s="43"/>
      <c r="O33" s="43"/>
      <c r="P33" s="88" t="str">
        <f>IF(P32=Q32,"Unentschieden",IF(P32&gt;Q32,P31,Q31))</f>
        <v>Brasilien</v>
      </c>
      <c r="Q33" s="89"/>
      <c r="R33" s="43"/>
      <c r="S33" s="43"/>
      <c r="T33" s="43"/>
      <c r="U33" s="43"/>
      <c r="V33" s="43"/>
      <c r="W33" s="88" t="str">
        <f>IF(W32=X32,"Unentschieden",IF(W32&gt;X32,W31,X31))</f>
        <v>Unentschieden</v>
      </c>
      <c r="X33" s="89"/>
      <c r="Y33" s="43"/>
      <c r="Z33" s="43"/>
      <c r="AA33" s="43"/>
      <c r="AB33" s="43"/>
      <c r="AC33" s="43"/>
      <c r="AD33" s="88" t="str">
        <f>IF(AD32=AE32,"Unentschieden",IF(AD32&gt;AE32,AD31,AE31))</f>
        <v>Deutschland</v>
      </c>
      <c r="AE33" s="89"/>
      <c r="AF33" s="43"/>
      <c r="AG33" s="43"/>
      <c r="AH33" s="43"/>
      <c r="AI33" s="43"/>
      <c r="AJ33" s="43"/>
      <c r="AK33" s="88" t="str">
        <f>IF(AK32=AL32,"Unentschieden",IF(AK32&gt;AL32,AK31,AL31))</f>
        <v>Niederlande</v>
      </c>
      <c r="AL33" s="89"/>
      <c r="AM33" s="43"/>
      <c r="AN33" s="43"/>
      <c r="AO33" s="43"/>
      <c r="AP33" s="43"/>
    </row>
    <row r="34" spans="1:42" ht="17.399999999999999" x14ac:dyDescent="0.45">
      <c r="A34" s="43"/>
      <c r="B34" s="44">
        <f>IF(B32=C32,1,IF(B32&gt;C32,3,0))</f>
        <v>1</v>
      </c>
      <c r="C34" s="44">
        <f>IF(C32=B32,1,IF(C32&gt;B32,3,0))</f>
        <v>1</v>
      </c>
      <c r="D34" s="43"/>
      <c r="E34" s="43"/>
      <c r="F34" s="43"/>
      <c r="G34" s="43"/>
      <c r="H34" s="43"/>
      <c r="I34" s="44">
        <f>IF(I32=J32,1,IF(I32&gt;J32,3,0))</f>
        <v>3</v>
      </c>
      <c r="J34" s="44">
        <f>IF(J32=I32,1,IF(J32&gt;I32,3,0))</f>
        <v>0</v>
      </c>
      <c r="K34" s="43"/>
      <c r="L34" s="43"/>
      <c r="M34" s="43"/>
      <c r="N34" s="43"/>
      <c r="O34" s="43"/>
      <c r="P34" s="44">
        <f>IF(P32=Q32,1,IF(P32&gt;Q32,3,0))</f>
        <v>0</v>
      </c>
      <c r="Q34" s="44">
        <f>IF(Q32=P32,1,IF(Q32&gt;P32,3,0))</f>
        <v>3</v>
      </c>
      <c r="R34" s="43"/>
      <c r="S34" s="43"/>
      <c r="T34" s="43"/>
      <c r="U34" s="43"/>
      <c r="V34" s="43"/>
      <c r="W34" s="44">
        <f>IF(W32=X32,1,IF(W32&gt;X32,3,0))</f>
        <v>1</v>
      </c>
      <c r="X34" s="44">
        <f>IF(X32=W32,1,IF(X32&gt;W32,3,0))</f>
        <v>1</v>
      </c>
      <c r="Y34" s="43"/>
      <c r="Z34" s="43"/>
      <c r="AA34" s="43"/>
      <c r="AB34" s="43"/>
      <c r="AC34" s="43"/>
      <c r="AD34" s="44">
        <f>IF(AD32=AE32,1,IF(AD32&gt;AE32,3,0))</f>
        <v>0</v>
      </c>
      <c r="AE34" s="44">
        <f>IF(AE32=AD32,1,IF(AE32&gt;AD32,3,0))</f>
        <v>3</v>
      </c>
      <c r="AF34" s="43"/>
      <c r="AG34" s="43"/>
      <c r="AH34" s="43"/>
      <c r="AI34" s="43"/>
      <c r="AJ34" s="43"/>
      <c r="AK34" s="44">
        <f>IF(AK32=AL32,1,IF(AK32&gt;AL32,3,0))</f>
        <v>0</v>
      </c>
      <c r="AL34" s="44">
        <f>IF(AL32=AK32,1,IF(AL32&gt;AK32,3,0))</f>
        <v>3</v>
      </c>
      <c r="AM34" s="43"/>
      <c r="AN34" s="43"/>
      <c r="AO34" s="43"/>
      <c r="AP34" s="43"/>
    </row>
    <row r="35" spans="1:42" ht="17.399999999999999" x14ac:dyDescent="0.4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row>
    <row r="36" spans="1:42" ht="17.399999999999999" x14ac:dyDescent="0.45">
      <c r="A36" s="43"/>
      <c r="B36" s="43" t="s">
        <v>51</v>
      </c>
      <c r="C36" s="44" t="s">
        <v>52</v>
      </c>
      <c r="D36" s="44" t="s">
        <v>53</v>
      </c>
      <c r="E36" s="44" t="s">
        <v>54</v>
      </c>
      <c r="F36" s="44" t="s">
        <v>55</v>
      </c>
      <c r="G36" s="43"/>
      <c r="H36" s="43"/>
      <c r="I36" s="43" t="s">
        <v>51</v>
      </c>
      <c r="J36" s="44" t="s">
        <v>52</v>
      </c>
      <c r="K36" s="44" t="s">
        <v>53</v>
      </c>
      <c r="L36" s="44" t="s">
        <v>54</v>
      </c>
      <c r="M36" s="44" t="s">
        <v>55</v>
      </c>
      <c r="N36" s="43"/>
      <c r="O36" s="46"/>
      <c r="P36" s="43" t="s">
        <v>51</v>
      </c>
      <c r="Q36" s="44" t="s">
        <v>52</v>
      </c>
      <c r="R36" s="44" t="s">
        <v>53</v>
      </c>
      <c r="S36" s="44" t="s">
        <v>54</v>
      </c>
      <c r="T36" s="44" t="s">
        <v>55</v>
      </c>
      <c r="U36" s="43"/>
      <c r="V36" s="46"/>
      <c r="W36" s="43" t="s">
        <v>51</v>
      </c>
      <c r="X36" s="44" t="s">
        <v>52</v>
      </c>
      <c r="Y36" s="44" t="s">
        <v>53</v>
      </c>
      <c r="Z36" s="44" t="s">
        <v>54</v>
      </c>
      <c r="AA36" s="44" t="s">
        <v>55</v>
      </c>
      <c r="AB36" s="43"/>
      <c r="AC36" s="46"/>
      <c r="AD36" s="43" t="s">
        <v>51</v>
      </c>
      <c r="AE36" s="44" t="s">
        <v>52</v>
      </c>
      <c r="AF36" s="44" t="s">
        <v>53</v>
      </c>
      <c r="AG36" s="44" t="s">
        <v>54</v>
      </c>
      <c r="AH36" s="44" t="s">
        <v>55</v>
      </c>
      <c r="AI36" s="43"/>
      <c r="AJ36" s="46"/>
      <c r="AK36" s="43" t="s">
        <v>51</v>
      </c>
      <c r="AL36" s="44" t="s">
        <v>52</v>
      </c>
      <c r="AM36" s="44" t="s">
        <v>53</v>
      </c>
      <c r="AN36" s="44" t="s">
        <v>54</v>
      </c>
      <c r="AO36" s="44" t="s">
        <v>55</v>
      </c>
      <c r="AP36" s="43"/>
    </row>
    <row r="37" spans="1:42" ht="17.399999999999999" x14ac:dyDescent="0.45">
      <c r="A37" s="47"/>
      <c r="B37" s="43" t="s">
        <v>25</v>
      </c>
      <c r="C37" s="44">
        <f>B7+B23+C34</f>
        <v>7</v>
      </c>
      <c r="D37" s="44">
        <f>B5+B21+C32</f>
        <v>5</v>
      </c>
      <c r="E37" s="44">
        <f>C5+C21+B32</f>
        <v>2</v>
      </c>
      <c r="F37" s="44">
        <f>D37-E37</f>
        <v>3</v>
      </c>
      <c r="G37" s="43"/>
      <c r="H37" s="47"/>
      <c r="I37" s="43" t="s">
        <v>27</v>
      </c>
      <c r="J37" s="44">
        <f>I7+I23+J34</f>
        <v>4</v>
      </c>
      <c r="K37" s="44">
        <f>I5+I21+J32</f>
        <v>4</v>
      </c>
      <c r="L37" s="44">
        <f>J5+J21+I32</f>
        <v>3</v>
      </c>
      <c r="M37" s="44">
        <f>K37-L37</f>
        <v>1</v>
      </c>
      <c r="N37" s="43"/>
      <c r="O37" s="48"/>
      <c r="P37" s="43" t="s">
        <v>29</v>
      </c>
      <c r="Q37" s="44">
        <f>P7+P23+Q34</f>
        <v>9</v>
      </c>
      <c r="R37" s="44">
        <f>P5+P21+Q32</f>
        <v>7</v>
      </c>
      <c r="S37" s="44">
        <f>Q5+Q21+P32</f>
        <v>1</v>
      </c>
      <c r="T37" s="44">
        <f>R37-S37</f>
        <v>6</v>
      </c>
      <c r="U37" s="43"/>
      <c r="V37" s="48"/>
      <c r="W37" s="43" t="s">
        <v>31</v>
      </c>
      <c r="X37" s="44">
        <f>W7+W23+X34</f>
        <v>7</v>
      </c>
      <c r="Y37" s="44">
        <f>W5+W21+X32</f>
        <v>5</v>
      </c>
      <c r="Z37" s="44">
        <f>X5+X21+W32</f>
        <v>2</v>
      </c>
      <c r="AA37" s="44">
        <f>Y37-Z37</f>
        <v>3</v>
      </c>
      <c r="AB37" s="43"/>
      <c r="AC37" s="48"/>
      <c r="AD37" s="43" t="s">
        <v>33</v>
      </c>
      <c r="AE37" s="44">
        <f>AD7+AD23+AE34</f>
        <v>9</v>
      </c>
      <c r="AF37" s="44">
        <f>AD5+AD21+AE32</f>
        <v>10</v>
      </c>
      <c r="AG37" s="44">
        <f>AE5+AE21+AD32</f>
        <v>1</v>
      </c>
      <c r="AH37" s="44">
        <f>AF37-AG37</f>
        <v>9</v>
      </c>
      <c r="AI37" s="43"/>
      <c r="AJ37" s="43"/>
      <c r="AK37" s="43" t="s">
        <v>35</v>
      </c>
      <c r="AL37" s="44">
        <f>AK7+AK23+AL34</f>
        <v>9</v>
      </c>
      <c r="AM37" s="44">
        <f>AK5+AK21+AL32</f>
        <v>6</v>
      </c>
      <c r="AN37" s="44">
        <f>AL5+AL21+AK32</f>
        <v>2</v>
      </c>
      <c r="AO37" s="44">
        <f>AM37-AN37</f>
        <v>4</v>
      </c>
      <c r="AP37" s="43"/>
    </row>
    <row r="38" spans="1:42" ht="17.399999999999999" x14ac:dyDescent="0.45">
      <c r="A38" s="47"/>
      <c r="B38" s="43" t="s">
        <v>26</v>
      </c>
      <c r="C38" s="44">
        <f>C7+C18+B29</f>
        <v>0</v>
      </c>
      <c r="D38" s="44">
        <f>C5+C16+B27</f>
        <v>0</v>
      </c>
      <c r="E38" s="44">
        <f>B5+B16+C27</f>
        <v>5</v>
      </c>
      <c r="F38" s="44">
        <f>D38-E38</f>
        <v>-5</v>
      </c>
      <c r="G38" s="43"/>
      <c r="H38" s="47"/>
      <c r="I38" s="43" t="s">
        <v>28</v>
      </c>
      <c r="J38" s="44">
        <f>J7+J18+I29</f>
        <v>2</v>
      </c>
      <c r="K38" s="44">
        <f>J5+J16+I27</f>
        <v>2</v>
      </c>
      <c r="L38" s="44">
        <f>I5+I16+J27</f>
        <v>3</v>
      </c>
      <c r="M38" s="44">
        <f>K38-L38</f>
        <v>-1</v>
      </c>
      <c r="N38" s="43"/>
      <c r="O38" s="48"/>
      <c r="P38" s="43" t="s">
        <v>30</v>
      </c>
      <c r="Q38" s="44">
        <f>Q7+Q18+P29</f>
        <v>3</v>
      </c>
      <c r="R38" s="44">
        <f>Q5+Q16+P27</f>
        <v>2</v>
      </c>
      <c r="S38" s="44">
        <f>P5+P16+Q27</f>
        <v>4</v>
      </c>
      <c r="T38" s="44">
        <f>R38-S38</f>
        <v>-2</v>
      </c>
      <c r="U38" s="43"/>
      <c r="V38" s="48"/>
      <c r="W38" s="43" t="s">
        <v>32</v>
      </c>
      <c r="X38" s="44">
        <f>X7+X18+W29</f>
        <v>2</v>
      </c>
      <c r="Y38" s="44">
        <f>X5+X16+W27</f>
        <v>3</v>
      </c>
      <c r="Z38" s="44">
        <f>W5+W16+X27</f>
        <v>4</v>
      </c>
      <c r="AA38" s="44">
        <f>Y38-Z38</f>
        <v>-1</v>
      </c>
      <c r="AB38" s="43"/>
      <c r="AC38" s="48"/>
      <c r="AD38" s="43" t="s">
        <v>34</v>
      </c>
      <c r="AE38" s="44">
        <f>AE7+AE18+AD29</f>
        <v>0</v>
      </c>
      <c r="AF38" s="44">
        <f>AE5+AE16+AD27</f>
        <v>0</v>
      </c>
      <c r="AG38" s="44">
        <f>AD5+AD16+AE27</f>
        <v>12</v>
      </c>
      <c r="AH38" s="44">
        <f>AF38-AG38</f>
        <v>-12</v>
      </c>
      <c r="AI38" s="43"/>
      <c r="AJ38" s="43"/>
      <c r="AK38" s="43" t="s">
        <v>36</v>
      </c>
      <c r="AL38" s="44">
        <f>AL7+AL18+AK29</f>
        <v>4</v>
      </c>
      <c r="AM38" s="44">
        <f>AL5+AL16+AK27</f>
        <v>3</v>
      </c>
      <c r="AN38" s="44">
        <f>AK5+AK16+AL27</f>
        <v>3</v>
      </c>
      <c r="AO38" s="44">
        <f>AM38-AN38</f>
        <v>0</v>
      </c>
      <c r="AP38" s="43"/>
    </row>
    <row r="39" spans="1:42" ht="17.399999999999999" x14ac:dyDescent="0.45">
      <c r="A39" s="49"/>
      <c r="B39" s="43" t="s">
        <v>37</v>
      </c>
      <c r="C39" s="44">
        <f>B12+C23+C29</f>
        <v>4</v>
      </c>
      <c r="D39" s="44">
        <f>B10+C21+C27</f>
        <v>3</v>
      </c>
      <c r="E39" s="44">
        <f>C10+B21+B27</f>
        <v>3</v>
      </c>
      <c r="F39" s="44">
        <f>D39-E39</f>
        <v>0</v>
      </c>
      <c r="G39" s="43"/>
      <c r="H39" s="49"/>
      <c r="I39" s="43" t="s">
        <v>39</v>
      </c>
      <c r="J39" s="44">
        <f>I12+J23+J29</f>
        <v>3</v>
      </c>
      <c r="K39" s="44">
        <f>I10+J21+J27</f>
        <v>1</v>
      </c>
      <c r="L39" s="44">
        <f>J10+I21+I27</f>
        <v>4</v>
      </c>
      <c r="M39" s="44">
        <f>K39-L39</f>
        <v>-3</v>
      </c>
      <c r="N39" s="43"/>
      <c r="O39" s="48"/>
      <c r="P39" s="43" t="s">
        <v>41</v>
      </c>
      <c r="Q39" s="44">
        <f>P12+Q23+Q29</f>
        <v>3</v>
      </c>
      <c r="R39" s="44">
        <f>P10+Q21+Q27</f>
        <v>2</v>
      </c>
      <c r="S39" s="44">
        <f>Q10+P21+P27</f>
        <v>5</v>
      </c>
      <c r="T39" s="44">
        <f>R39-S39</f>
        <v>-3</v>
      </c>
      <c r="U39" s="43"/>
      <c r="V39" s="48"/>
      <c r="W39" s="43" t="s">
        <v>43</v>
      </c>
      <c r="X39" s="44">
        <f>W12+X23+X29</f>
        <v>1</v>
      </c>
      <c r="Y39" s="44">
        <f>W10+X21+X27</f>
        <v>2</v>
      </c>
      <c r="Z39" s="44">
        <f>X10+W21+W27</f>
        <v>5</v>
      </c>
      <c r="AA39" s="44">
        <f>Y39-Z39</f>
        <v>-3</v>
      </c>
      <c r="AB39" s="43"/>
      <c r="AC39" s="48"/>
      <c r="AD39" s="43" t="s">
        <v>45</v>
      </c>
      <c r="AE39" s="44">
        <f>AD12+AE23+AE29</f>
        <v>4</v>
      </c>
      <c r="AF39" s="44">
        <f>AD10+AE21+AE27</f>
        <v>6</v>
      </c>
      <c r="AG39" s="44">
        <f>AE10+AD21+AD27</f>
        <v>3</v>
      </c>
      <c r="AH39" s="44">
        <f>AF39-AG39</f>
        <v>3</v>
      </c>
      <c r="AI39" s="43"/>
      <c r="AJ39" s="43"/>
      <c r="AK39" s="43" t="s">
        <v>47</v>
      </c>
      <c r="AL39" s="44">
        <f>AK12+AL23+AL29</f>
        <v>4</v>
      </c>
      <c r="AM39" s="44">
        <f>AK10+AL21+AL27</f>
        <v>3</v>
      </c>
      <c r="AN39" s="44">
        <f>AL10+AK21+AK27</f>
        <v>3</v>
      </c>
      <c r="AO39" s="44">
        <f>AM39-AN39</f>
        <v>0</v>
      </c>
      <c r="AP39" s="43"/>
    </row>
    <row r="40" spans="1:42" ht="17.399999999999999" x14ac:dyDescent="0.45">
      <c r="A40" s="50"/>
      <c r="B40" s="43" t="s">
        <v>38</v>
      </c>
      <c r="C40" s="44">
        <f>C12+B18+B34</f>
        <v>5</v>
      </c>
      <c r="D40" s="44">
        <f>C10+B16+B32</f>
        <v>4</v>
      </c>
      <c r="E40" s="44">
        <f>B10+C16+C32</f>
        <v>2</v>
      </c>
      <c r="F40" s="44">
        <f>D40-E40</f>
        <v>2</v>
      </c>
      <c r="G40" s="43"/>
      <c r="H40" s="50"/>
      <c r="I40" s="43" t="s">
        <v>40</v>
      </c>
      <c r="J40" s="44">
        <f>J12+I18+I34</f>
        <v>7</v>
      </c>
      <c r="K40" s="44">
        <f>J10+I16+I32</f>
        <v>5</v>
      </c>
      <c r="L40" s="44">
        <f>I10+J16+J32</f>
        <v>2</v>
      </c>
      <c r="M40" s="44">
        <f>K40-L40</f>
        <v>3</v>
      </c>
      <c r="N40" s="43"/>
      <c r="O40" s="48"/>
      <c r="P40" s="43" t="s">
        <v>42</v>
      </c>
      <c r="Q40" s="44">
        <f>Q12+P18+P34</f>
        <v>3</v>
      </c>
      <c r="R40" s="44">
        <f>Q10+P16+P32</f>
        <v>2</v>
      </c>
      <c r="S40" s="44">
        <f>P10+Q16+Q32</f>
        <v>3</v>
      </c>
      <c r="T40" s="44">
        <f>R40-S40</f>
        <v>-1</v>
      </c>
      <c r="U40" s="43"/>
      <c r="V40" s="48"/>
      <c r="W40" s="43" t="s">
        <v>44</v>
      </c>
      <c r="X40" s="44">
        <f>X12+W18+W34</f>
        <v>5</v>
      </c>
      <c r="Y40" s="44">
        <f>X10+W16+W32</f>
        <v>4</v>
      </c>
      <c r="Z40" s="44">
        <f>W10+X16+X32</f>
        <v>3</v>
      </c>
      <c r="AA40" s="44">
        <f>Y40-Z40</f>
        <v>1</v>
      </c>
      <c r="AB40" s="43"/>
      <c r="AC40" s="48"/>
      <c r="AD40" s="43" t="s">
        <v>46</v>
      </c>
      <c r="AE40" s="44">
        <f>AE12+AD18+AD34</f>
        <v>4</v>
      </c>
      <c r="AF40" s="44">
        <f>AE10+AD16+AD32</f>
        <v>3</v>
      </c>
      <c r="AG40" s="44">
        <f>AD10+AE16+AE32</f>
        <v>3</v>
      </c>
      <c r="AH40" s="44">
        <f>AF40-AG40</f>
        <v>0</v>
      </c>
      <c r="AI40" s="43"/>
      <c r="AJ40" s="43"/>
      <c r="AK40" s="43" t="s">
        <v>48</v>
      </c>
      <c r="AL40" s="44">
        <f>AL12+AK18+AK34</f>
        <v>0</v>
      </c>
      <c r="AM40" s="44">
        <f>AL10+AK16+AK32</f>
        <v>0</v>
      </c>
      <c r="AN40" s="44">
        <f>AK10+AL16+AL32</f>
        <v>4</v>
      </c>
      <c r="AO40" s="44">
        <f>AM40-AN40</f>
        <v>-4</v>
      </c>
      <c r="AP40" s="43"/>
    </row>
    <row r="41" spans="1:42" ht="17.399999999999999" x14ac:dyDescent="0.45">
      <c r="A41" s="43"/>
      <c r="B41" s="43"/>
      <c r="C41" s="43"/>
      <c r="D41" s="44"/>
      <c r="E41" s="44"/>
      <c r="F41" s="44"/>
      <c r="G41" s="43"/>
      <c r="H41" s="43"/>
      <c r="I41" s="43"/>
      <c r="J41" s="43"/>
      <c r="K41" s="44"/>
      <c r="L41" s="44"/>
      <c r="M41" s="44"/>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row>
    <row r="42" spans="1:42" ht="17.399999999999999" x14ac:dyDescent="0.45">
      <c r="A42" s="43"/>
      <c r="B42" s="85" t="s">
        <v>56</v>
      </c>
      <c r="C42" s="86"/>
      <c r="D42" s="44"/>
      <c r="E42" s="44"/>
      <c r="F42" s="44"/>
      <c r="G42" s="43"/>
      <c r="H42" s="43"/>
      <c r="I42" s="85" t="s">
        <v>56</v>
      </c>
      <c r="J42" s="86"/>
      <c r="K42" s="44"/>
      <c r="L42" s="44"/>
      <c r="M42" s="44"/>
      <c r="N42" s="43"/>
      <c r="O42" s="43"/>
      <c r="P42" s="85" t="s">
        <v>56</v>
      </c>
      <c r="Q42" s="86"/>
      <c r="R42" s="43"/>
      <c r="S42" s="43"/>
      <c r="T42" s="43"/>
      <c r="U42" s="43"/>
      <c r="V42" s="43"/>
      <c r="W42" s="85" t="s">
        <v>56</v>
      </c>
      <c r="X42" s="86"/>
      <c r="Y42" s="43"/>
      <c r="Z42" s="43"/>
      <c r="AA42" s="43"/>
      <c r="AB42" s="43"/>
      <c r="AC42" s="43"/>
      <c r="AD42" s="85" t="s">
        <v>56</v>
      </c>
      <c r="AE42" s="86"/>
      <c r="AF42" s="43"/>
      <c r="AG42" s="43"/>
      <c r="AH42" s="43"/>
      <c r="AI42" s="43"/>
      <c r="AJ42" s="43"/>
      <c r="AK42" s="85" t="s">
        <v>56</v>
      </c>
      <c r="AL42" s="86"/>
      <c r="AM42" s="43"/>
      <c r="AN42" s="43"/>
      <c r="AO42" s="43"/>
      <c r="AP42" s="43"/>
    </row>
    <row r="43" spans="1:42" ht="17.399999999999999" x14ac:dyDescent="0.45">
      <c r="A43" s="51">
        <v>1</v>
      </c>
      <c r="B43" s="43" t="str" cm="1">
        <f t="array" ref="B43:B46">_xlfn.SORTBY(B37:B40,C37:C40,-1,F37:F40,-1,D37:D40,-1)</f>
        <v>Mexiko</v>
      </c>
      <c r="C43" s="44" cm="1">
        <f t="array" ref="C43:C46">_xlfn.SORTBY(C37:C40,C37:C40,-1,F37:F40,-1,D37:D40,-1)</f>
        <v>7</v>
      </c>
      <c r="D43" s="44" cm="1">
        <f t="array" ref="D43:D46">_xlfn.SORTBY(D37:D40,C37:C40,-1,F37:F40,-1,D37:D40,-1)</f>
        <v>5</v>
      </c>
      <c r="E43" s="44" cm="1">
        <f t="array" ref="E43:E46">_xlfn.SORTBY(E37:E40,C37:C40,-1,F37:F40,-1,D37:D40,-1)</f>
        <v>2</v>
      </c>
      <c r="F43" s="44" cm="1">
        <f t="array" ref="F43:F46">_xlfn.SORTBY(F37:F40,C37:C40,-1,F37:F40,-1,D37:D40,-1)</f>
        <v>3</v>
      </c>
      <c r="G43" s="43"/>
      <c r="H43" s="51">
        <v>1</v>
      </c>
      <c r="I43" s="43" t="str" cm="1">
        <f t="array" ref="I43:I46">_xlfn.SORTBY(I37:I40,J37:J40,-1,M37:M40,-1,K37:K40,-1)</f>
        <v>Schweiz</v>
      </c>
      <c r="J43" s="44" cm="1">
        <f t="array" ref="J43:J46">_xlfn.SORTBY(J37:J40,J37:J40,-1,M37:M40,-1,K37:K40,-1)</f>
        <v>7</v>
      </c>
      <c r="K43" s="44" cm="1">
        <f t="array" ref="K43:K46">_xlfn.SORTBY(K37:K40,J37:J40,-1,M37:M40,-1,K37:K40,-1)</f>
        <v>5</v>
      </c>
      <c r="L43" s="44" cm="1">
        <f t="array" ref="L43:L46">_xlfn.SORTBY(L37:L40,J37:J40,-1,M37:M40,-1,K37:K40,-1)</f>
        <v>2</v>
      </c>
      <c r="M43" s="44" cm="1">
        <f t="array" ref="M43:M46">_xlfn.SORTBY(M37:M40,J37:J40,-1,M37:M40,-1,K37:K40,-1)</f>
        <v>3</v>
      </c>
      <c r="N43" s="43"/>
      <c r="O43" s="51">
        <v>1</v>
      </c>
      <c r="P43" s="43" t="str" cm="1">
        <f t="array" ref="P43:P46">_xlfn.SORTBY(P37:P40,Q37:Q40,-1,T37:T40,-1,R37:R40,-1)</f>
        <v>Brasilien</v>
      </c>
      <c r="Q43" s="44" cm="1">
        <f t="array" ref="Q43:Q46">_xlfn.SORTBY(Q37:Q40,Q37:Q40,-1,T37:T40,-1,R37:R40,-1)</f>
        <v>9</v>
      </c>
      <c r="R43" s="44" cm="1">
        <f t="array" ref="R43:R46">_xlfn.SORTBY(R37:R40,Q37:Q40,-1,T37:T40,-1,R37:R40,-1)</f>
        <v>7</v>
      </c>
      <c r="S43" s="44" cm="1">
        <f t="array" ref="S43:S46">_xlfn.SORTBY(S37:S40,Q37:Q40,-1,T37:T40,-1,R37:R40,-1)</f>
        <v>1</v>
      </c>
      <c r="T43" s="44" cm="1">
        <f t="array" ref="T43:T46">_xlfn.SORTBY(T37:T40,Q37:Q40,-1,T37:T40,-1,R37:R40,-1)</f>
        <v>6</v>
      </c>
      <c r="U43" s="43"/>
      <c r="V43" s="51">
        <v>1</v>
      </c>
      <c r="W43" s="43" t="str" cm="1">
        <f t="array" ref="W43:W46">_xlfn.SORTBY(W37:W40,X37:X40,-1,AA37:AA40,-1,Y37:Y40,-1)</f>
        <v>USA</v>
      </c>
      <c r="X43" s="44" cm="1">
        <f t="array" ref="X43:X46">_xlfn.SORTBY(X37:X40,X37:X40,-1,AA37:AA40,-1,Y37:Y40,-1)</f>
        <v>7</v>
      </c>
      <c r="Y43" s="44" cm="1">
        <f t="array" ref="Y43:Y46">_xlfn.SORTBY(Y37:Y40,X37:X40,-1,AA37:AA40,-1,Y37:Y40,-1)</f>
        <v>5</v>
      </c>
      <c r="Z43" s="44" cm="1">
        <f t="array" ref="Z43:Z46">_xlfn.SORTBY(Z37:Z40,X37:X40,-1,AA37:AA40,-1,Y37:Y40,-1)</f>
        <v>2</v>
      </c>
      <c r="AA43" s="44" cm="1">
        <f t="array" ref="AA43:AA46">_xlfn.SORTBY(AA37:AA40,X37:X40,-1,AA37:AA40,-1,Y37:Y40,-1)</f>
        <v>3</v>
      </c>
      <c r="AB43" s="43"/>
      <c r="AC43" s="51">
        <v>1</v>
      </c>
      <c r="AD43" s="43" t="str" cm="1">
        <f t="array" ref="AD43:AD46">_xlfn.SORTBY(AD37:AD40,AE37:AE40,-1,AH37:AH40,-1,AF37:AF40,-1)</f>
        <v>Deutschland</v>
      </c>
      <c r="AE43" s="44" cm="1">
        <f t="array" ref="AE43:AE46">_xlfn.SORTBY(AE37:AE40,AE37:AE40,-1,AH37:AH40,-1,AF37:AF40,-1)</f>
        <v>9</v>
      </c>
      <c r="AF43" s="44" cm="1">
        <f t="array" ref="AF43:AF46">_xlfn.SORTBY(AF37:AF40,AE37:AE40,-1,AH37:AH40,-1,AF37:AF40,-1)</f>
        <v>10</v>
      </c>
      <c r="AG43" s="44" cm="1">
        <f t="array" ref="AG43:AG46">_xlfn.SORTBY(AG37:AG40,AE37:AE40,-1,AH37:AH40,-1,AF37:AF40,-1)</f>
        <v>1</v>
      </c>
      <c r="AH43" s="44" cm="1">
        <f t="array" ref="AH43:AH46">_xlfn.SORTBY(AH37:AH40,AE37:AE40,-1,AH37:AH40,-1,AF37:AF40,-1)</f>
        <v>9</v>
      </c>
      <c r="AI43" s="43"/>
      <c r="AJ43" s="51">
        <v>1</v>
      </c>
      <c r="AK43" s="43" t="str" cm="1">
        <f t="array" ref="AK43:AK46">_xlfn.SORTBY(AK37:AK40,AL37:AL40,-1,AO37:AO40,-1,AM37:AM40,-1)</f>
        <v>Niederlande</v>
      </c>
      <c r="AL43" s="44" cm="1">
        <f t="array" ref="AL43:AL46">_xlfn.SORTBY(AL37:AL40,AL37:AL40,-1,AO37:AO40,-1,AM37:AM40,-1)</f>
        <v>9</v>
      </c>
      <c r="AM43" s="44" cm="1">
        <f t="array" ref="AM43:AM46">_xlfn.SORTBY(AM37:AM40,AL37:AL40,-1,AO37:AO40,-1,AM37:AM40,-1)</f>
        <v>6</v>
      </c>
      <c r="AN43" s="44" cm="1">
        <f t="array" ref="AN43:AN46">_xlfn.SORTBY(AN37:AN40,AL37:AL40,-1,AO37:AO40,-1,AM37:AM40,-1)</f>
        <v>2</v>
      </c>
      <c r="AO43" s="44" cm="1">
        <f t="array" ref="AO43:AO46">_xlfn.SORTBY(AO37:AO40,AL37:AL40,-1,AO37:AO40,-1,AM37:AM40,-1)</f>
        <v>4</v>
      </c>
      <c r="AP43" s="43"/>
    </row>
    <row r="44" spans="1:42" ht="17.399999999999999" x14ac:dyDescent="0.45">
      <c r="A44" s="51">
        <v>2</v>
      </c>
      <c r="B44" s="43" t="str">
        <v>Tschechien</v>
      </c>
      <c r="C44" s="44">
        <v>5</v>
      </c>
      <c r="D44" s="44">
        <v>4</v>
      </c>
      <c r="E44" s="44">
        <v>2</v>
      </c>
      <c r="F44" s="44">
        <v>2</v>
      </c>
      <c r="G44" s="43"/>
      <c r="H44" s="51">
        <v>2</v>
      </c>
      <c r="I44" s="43" t="str">
        <v>Kanada</v>
      </c>
      <c r="J44" s="44">
        <v>4</v>
      </c>
      <c r="K44" s="44">
        <v>4</v>
      </c>
      <c r="L44" s="44">
        <v>3</v>
      </c>
      <c r="M44" s="44">
        <v>1</v>
      </c>
      <c r="N44" s="43"/>
      <c r="O44" s="51">
        <v>2</v>
      </c>
      <c r="P44" s="43" t="str">
        <v>Schottland</v>
      </c>
      <c r="Q44" s="44">
        <v>3</v>
      </c>
      <c r="R44" s="44">
        <v>2</v>
      </c>
      <c r="S44" s="44">
        <v>3</v>
      </c>
      <c r="T44" s="44">
        <v>-1</v>
      </c>
      <c r="U44" s="43"/>
      <c r="V44" s="51">
        <v>2</v>
      </c>
      <c r="W44" s="43" t="str">
        <v>Türkei</v>
      </c>
      <c r="X44" s="44">
        <v>5</v>
      </c>
      <c r="Y44" s="44">
        <v>4</v>
      </c>
      <c r="Z44" s="44">
        <v>3</v>
      </c>
      <c r="AA44" s="44">
        <v>1</v>
      </c>
      <c r="AB44" s="43"/>
      <c r="AC44" s="51">
        <v>2</v>
      </c>
      <c r="AD44" s="43" t="str">
        <v>Elfenbeinküste</v>
      </c>
      <c r="AE44" s="44">
        <v>4</v>
      </c>
      <c r="AF44" s="44">
        <v>6</v>
      </c>
      <c r="AG44" s="44">
        <v>3</v>
      </c>
      <c r="AH44" s="44">
        <v>3</v>
      </c>
      <c r="AI44" s="43"/>
      <c r="AJ44" s="51">
        <v>2</v>
      </c>
      <c r="AK44" s="43" t="str">
        <v>Japan</v>
      </c>
      <c r="AL44" s="44">
        <v>4</v>
      </c>
      <c r="AM44" s="44">
        <v>3</v>
      </c>
      <c r="AN44" s="44">
        <v>3</v>
      </c>
      <c r="AO44" s="44">
        <v>0</v>
      </c>
      <c r="AP44" s="43"/>
    </row>
    <row r="45" spans="1:42" ht="17.399999999999999" x14ac:dyDescent="0.45">
      <c r="A45" s="52">
        <v>3</v>
      </c>
      <c r="B45" s="43" t="str">
        <v>Südkorea</v>
      </c>
      <c r="C45" s="44">
        <v>4</v>
      </c>
      <c r="D45" s="44">
        <v>3</v>
      </c>
      <c r="E45" s="44">
        <v>3</v>
      </c>
      <c r="F45" s="44">
        <v>0</v>
      </c>
      <c r="G45" s="43"/>
      <c r="H45" s="52">
        <v>3</v>
      </c>
      <c r="I45" s="43" t="str">
        <v>Katar</v>
      </c>
      <c r="J45" s="44">
        <v>3</v>
      </c>
      <c r="K45" s="44">
        <v>1</v>
      </c>
      <c r="L45" s="44">
        <v>4</v>
      </c>
      <c r="M45" s="44">
        <v>-3</v>
      </c>
      <c r="N45" s="43"/>
      <c r="O45" s="52">
        <v>3</v>
      </c>
      <c r="P45" s="43" t="str">
        <v>Marokko</v>
      </c>
      <c r="Q45" s="44">
        <v>3</v>
      </c>
      <c r="R45" s="44">
        <v>2</v>
      </c>
      <c r="S45" s="44">
        <v>4</v>
      </c>
      <c r="T45" s="44">
        <v>-2</v>
      </c>
      <c r="U45" s="43"/>
      <c r="V45" s="52">
        <v>3</v>
      </c>
      <c r="W45" s="43" t="str">
        <v>Paraguay</v>
      </c>
      <c r="X45" s="44">
        <v>2</v>
      </c>
      <c r="Y45" s="44">
        <v>3</v>
      </c>
      <c r="Z45" s="44">
        <v>4</v>
      </c>
      <c r="AA45" s="44">
        <v>-1</v>
      </c>
      <c r="AB45" s="43"/>
      <c r="AC45" s="52">
        <v>3</v>
      </c>
      <c r="AD45" s="43" t="str">
        <v>Ecuador</v>
      </c>
      <c r="AE45" s="44">
        <v>4</v>
      </c>
      <c r="AF45" s="44">
        <v>3</v>
      </c>
      <c r="AG45" s="44">
        <v>3</v>
      </c>
      <c r="AH45" s="44">
        <v>0</v>
      </c>
      <c r="AI45" s="43"/>
      <c r="AJ45" s="52">
        <v>3</v>
      </c>
      <c r="AK45" s="43" t="str">
        <v>Schweden</v>
      </c>
      <c r="AL45" s="44">
        <v>4</v>
      </c>
      <c r="AM45" s="44">
        <v>3</v>
      </c>
      <c r="AN45" s="44">
        <v>3</v>
      </c>
      <c r="AO45" s="44">
        <v>0</v>
      </c>
      <c r="AP45" s="43"/>
    </row>
    <row r="46" spans="1:42" ht="17.399999999999999" x14ac:dyDescent="0.45">
      <c r="A46" s="53">
        <v>4</v>
      </c>
      <c r="B46" s="43" t="str">
        <v>Südafrika</v>
      </c>
      <c r="C46" s="44">
        <v>0</v>
      </c>
      <c r="D46" s="44">
        <v>0</v>
      </c>
      <c r="E46" s="44">
        <v>5</v>
      </c>
      <c r="F46" s="44">
        <v>-5</v>
      </c>
      <c r="G46" s="43"/>
      <c r="H46" s="53">
        <v>4</v>
      </c>
      <c r="I46" s="43" t="str">
        <v>Bosnien-Herz.</v>
      </c>
      <c r="J46" s="44">
        <v>2</v>
      </c>
      <c r="K46" s="44">
        <v>2</v>
      </c>
      <c r="L46" s="44">
        <v>3</v>
      </c>
      <c r="M46" s="44">
        <v>-1</v>
      </c>
      <c r="N46" s="43"/>
      <c r="O46" s="53">
        <v>4</v>
      </c>
      <c r="P46" s="43" t="str">
        <v>Haiti</v>
      </c>
      <c r="Q46" s="44">
        <v>3</v>
      </c>
      <c r="R46" s="44">
        <v>2</v>
      </c>
      <c r="S46" s="44">
        <v>5</v>
      </c>
      <c r="T46" s="44">
        <v>-3</v>
      </c>
      <c r="U46" s="43"/>
      <c r="V46" s="53">
        <v>4</v>
      </c>
      <c r="W46" s="43" t="str">
        <v>Australien</v>
      </c>
      <c r="X46" s="44">
        <v>1</v>
      </c>
      <c r="Y46" s="44">
        <v>2</v>
      </c>
      <c r="Z46" s="44">
        <v>5</v>
      </c>
      <c r="AA46" s="44">
        <v>-3</v>
      </c>
      <c r="AB46" s="43"/>
      <c r="AC46" s="53">
        <v>4</v>
      </c>
      <c r="AD46" s="43" t="str">
        <v>Curacao</v>
      </c>
      <c r="AE46" s="44">
        <v>0</v>
      </c>
      <c r="AF46" s="44">
        <v>0</v>
      </c>
      <c r="AG46" s="44">
        <v>12</v>
      </c>
      <c r="AH46" s="44">
        <v>-12</v>
      </c>
      <c r="AI46" s="43"/>
      <c r="AJ46" s="53">
        <v>4</v>
      </c>
      <c r="AK46" s="43" t="str">
        <v>Tunesien</v>
      </c>
      <c r="AL46" s="44">
        <v>0</v>
      </c>
      <c r="AM46" s="44">
        <v>0</v>
      </c>
      <c r="AN46" s="44">
        <v>4</v>
      </c>
      <c r="AO46" s="44">
        <v>-4</v>
      </c>
      <c r="AP46" s="43"/>
    </row>
    <row r="47" spans="1:42" ht="17.399999999999999" x14ac:dyDescent="0.45">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row>
    <row r="48" spans="1:42" ht="17.399999999999999" x14ac:dyDescent="0.45">
      <c r="A48" s="87" t="s">
        <v>57</v>
      </c>
      <c r="B48" s="86"/>
      <c r="C48" s="86"/>
      <c r="D48" s="86"/>
      <c r="E48" s="44"/>
      <c r="F48" s="44"/>
      <c r="G48" s="43"/>
      <c r="H48" s="87" t="s">
        <v>58</v>
      </c>
      <c r="I48" s="86"/>
      <c r="J48" s="86"/>
      <c r="K48" s="86"/>
      <c r="L48" s="44"/>
      <c r="M48" s="44"/>
      <c r="N48" s="43"/>
      <c r="O48" s="87" t="s">
        <v>59</v>
      </c>
      <c r="P48" s="86"/>
      <c r="Q48" s="86"/>
      <c r="R48" s="86"/>
      <c r="S48" s="44"/>
      <c r="T48" s="44"/>
      <c r="U48" s="43"/>
      <c r="V48" s="87" t="s">
        <v>60</v>
      </c>
      <c r="W48" s="86"/>
      <c r="X48" s="86"/>
      <c r="Y48" s="86"/>
      <c r="Z48" s="44"/>
      <c r="AA48" s="44"/>
      <c r="AB48" s="43"/>
      <c r="AC48" s="87" t="s">
        <v>61</v>
      </c>
      <c r="AD48" s="86"/>
      <c r="AE48" s="86"/>
      <c r="AF48" s="86"/>
      <c r="AG48" s="44"/>
      <c r="AH48" s="44"/>
      <c r="AI48" s="43"/>
      <c r="AJ48" s="87" t="s">
        <v>62</v>
      </c>
      <c r="AK48" s="86"/>
      <c r="AL48" s="86"/>
      <c r="AM48" s="86"/>
      <c r="AN48" s="44"/>
      <c r="AO48" s="44"/>
      <c r="AP48" s="43"/>
    </row>
    <row r="49" spans="1:42" ht="17.399999999999999" x14ac:dyDescent="0.45">
      <c r="A49" s="86"/>
      <c r="B49" s="86"/>
      <c r="C49" s="86"/>
      <c r="D49" s="86"/>
      <c r="E49" s="44"/>
      <c r="F49" s="44"/>
      <c r="G49" s="43"/>
      <c r="H49" s="86"/>
      <c r="I49" s="86"/>
      <c r="J49" s="86"/>
      <c r="K49" s="86"/>
      <c r="L49" s="44"/>
      <c r="M49" s="44"/>
      <c r="N49" s="43"/>
      <c r="O49" s="86"/>
      <c r="P49" s="86"/>
      <c r="Q49" s="86"/>
      <c r="R49" s="86"/>
      <c r="S49" s="44"/>
      <c r="T49" s="44"/>
      <c r="U49" s="43"/>
      <c r="V49" s="86"/>
      <c r="W49" s="86"/>
      <c r="X49" s="86"/>
      <c r="Y49" s="86"/>
      <c r="Z49" s="44"/>
      <c r="AA49" s="44"/>
      <c r="AB49" s="43"/>
      <c r="AC49" s="86"/>
      <c r="AD49" s="86"/>
      <c r="AE49" s="86"/>
      <c r="AF49" s="86"/>
      <c r="AG49" s="44"/>
      <c r="AH49" s="44"/>
      <c r="AI49" s="43"/>
      <c r="AJ49" s="86"/>
      <c r="AK49" s="86"/>
      <c r="AL49" s="86"/>
      <c r="AM49" s="86"/>
      <c r="AN49" s="44"/>
      <c r="AO49" s="44"/>
      <c r="AP49" s="43"/>
    </row>
    <row r="50" spans="1:42" ht="17.399999999999999" x14ac:dyDescent="0.45">
      <c r="A50" s="43"/>
      <c r="B50" s="85" t="s">
        <v>24</v>
      </c>
      <c r="C50" s="86"/>
      <c r="D50" s="43"/>
      <c r="E50" s="43"/>
      <c r="F50" s="43"/>
      <c r="G50" s="43"/>
      <c r="H50" s="43"/>
      <c r="I50" s="85" t="s">
        <v>24</v>
      </c>
      <c r="J50" s="86"/>
      <c r="K50" s="43"/>
      <c r="L50" s="43"/>
      <c r="M50" s="43"/>
      <c r="N50" s="43"/>
      <c r="O50" s="43"/>
      <c r="P50" s="85" t="s">
        <v>24</v>
      </c>
      <c r="Q50" s="86"/>
      <c r="R50" s="43"/>
      <c r="S50" s="43"/>
      <c r="T50" s="43"/>
      <c r="U50" s="43"/>
      <c r="V50" s="43"/>
      <c r="W50" s="85" t="s">
        <v>24</v>
      </c>
      <c r="X50" s="86"/>
      <c r="Y50" s="43"/>
      <c r="Z50" s="43"/>
      <c r="AA50" s="43"/>
      <c r="AB50" s="43"/>
      <c r="AC50" s="43"/>
      <c r="AD50" s="85" t="s">
        <v>24</v>
      </c>
      <c r="AE50" s="86"/>
      <c r="AF50" s="43"/>
      <c r="AG50" s="43"/>
      <c r="AH50" s="43"/>
      <c r="AI50" s="43"/>
      <c r="AJ50" s="43"/>
      <c r="AK50" s="85" t="s">
        <v>24</v>
      </c>
      <c r="AL50" s="86"/>
      <c r="AM50" s="43"/>
      <c r="AN50" s="43"/>
      <c r="AO50" s="43"/>
      <c r="AP50" s="43"/>
    </row>
    <row r="51" spans="1:42" ht="17.399999999999999" x14ac:dyDescent="0.45">
      <c r="A51" s="43"/>
      <c r="B51" s="44" t="s">
        <v>63</v>
      </c>
      <c r="C51" s="44" t="s">
        <v>64</v>
      </c>
      <c r="D51" s="43"/>
      <c r="E51" s="43"/>
      <c r="F51" s="43"/>
      <c r="G51" s="43"/>
      <c r="H51" s="43"/>
      <c r="I51" s="44" t="s">
        <v>65</v>
      </c>
      <c r="J51" s="44" t="s">
        <v>66</v>
      </c>
      <c r="K51" s="43"/>
      <c r="L51" s="43"/>
      <c r="M51" s="43"/>
      <c r="N51" s="43"/>
      <c r="O51" s="43"/>
      <c r="P51" s="44" t="s">
        <v>67</v>
      </c>
      <c r="Q51" s="44" t="s">
        <v>68</v>
      </c>
      <c r="R51" s="43"/>
      <c r="S51" s="43"/>
      <c r="T51" s="43"/>
      <c r="U51" s="43"/>
      <c r="V51" s="43"/>
      <c r="W51" s="44" t="s">
        <v>69</v>
      </c>
      <c r="X51" s="44" t="s">
        <v>70</v>
      </c>
      <c r="Y51" s="43"/>
      <c r="Z51" s="43"/>
      <c r="AA51" s="43"/>
      <c r="AB51" s="43"/>
      <c r="AC51" s="43"/>
      <c r="AD51" s="44" t="s">
        <v>71</v>
      </c>
      <c r="AE51" s="44" t="s">
        <v>72</v>
      </c>
      <c r="AF51" s="43"/>
      <c r="AG51" s="43"/>
      <c r="AH51" s="43"/>
      <c r="AI51" s="43"/>
      <c r="AJ51" s="43"/>
      <c r="AK51" s="44" t="s">
        <v>73</v>
      </c>
      <c r="AL51" s="44" t="s">
        <v>74</v>
      </c>
      <c r="AM51" s="43"/>
      <c r="AN51" s="43"/>
      <c r="AO51" s="43"/>
      <c r="AP51" s="43"/>
    </row>
    <row r="52" spans="1:42" ht="17.399999999999999" x14ac:dyDescent="0.45">
      <c r="A52" s="43"/>
      <c r="B52" s="45">
        <v>3</v>
      </c>
      <c r="C52" s="45">
        <v>1</v>
      </c>
      <c r="D52" s="43"/>
      <c r="E52" s="43"/>
      <c r="F52" s="43"/>
      <c r="G52" s="43"/>
      <c r="H52" s="43"/>
      <c r="I52" s="45">
        <v>3</v>
      </c>
      <c r="J52" s="45">
        <v>0</v>
      </c>
      <c r="K52" s="43"/>
      <c r="L52" s="43"/>
      <c r="M52" s="43"/>
      <c r="N52" s="43"/>
      <c r="O52" s="43"/>
      <c r="P52" s="45">
        <v>2</v>
      </c>
      <c r="Q52" s="45">
        <v>1</v>
      </c>
      <c r="R52" s="43"/>
      <c r="S52" s="43"/>
      <c r="T52" s="43"/>
      <c r="U52" s="43"/>
      <c r="V52" s="43"/>
      <c r="W52" s="45">
        <v>2</v>
      </c>
      <c r="X52" s="45">
        <v>0</v>
      </c>
      <c r="Y52" s="43"/>
      <c r="Z52" s="43"/>
      <c r="AA52" s="43"/>
      <c r="AB52" s="43"/>
      <c r="AC52" s="43"/>
      <c r="AD52" s="45">
        <v>2</v>
      </c>
      <c r="AE52" s="45">
        <v>0</v>
      </c>
      <c r="AF52" s="43"/>
      <c r="AG52" s="43"/>
      <c r="AH52" s="43"/>
      <c r="AI52" s="43"/>
      <c r="AJ52" s="43"/>
      <c r="AK52" s="45">
        <v>2</v>
      </c>
      <c r="AL52" s="45">
        <v>1</v>
      </c>
      <c r="AM52" s="43"/>
      <c r="AN52" s="43"/>
      <c r="AO52" s="43"/>
      <c r="AP52" s="43"/>
    </row>
    <row r="53" spans="1:42" ht="17.399999999999999" x14ac:dyDescent="0.45">
      <c r="A53" s="43"/>
      <c r="B53" s="88" t="str">
        <f>IF(B52=C52,"Unentschieden",IF(B52&gt;C52,B51,C51))</f>
        <v>Belgien</v>
      </c>
      <c r="C53" s="89"/>
      <c r="D53" s="43"/>
      <c r="E53" s="43"/>
      <c r="F53" s="43"/>
      <c r="G53" s="43"/>
      <c r="H53" s="43"/>
      <c r="I53" s="88" t="str">
        <f>IF(I52=J52,"Unentschieden",IF(I52&gt;J52,I51,J51))</f>
        <v>Spanien</v>
      </c>
      <c r="J53" s="89"/>
      <c r="K53" s="43"/>
      <c r="L53" s="43"/>
      <c r="M53" s="43"/>
      <c r="N53" s="43"/>
      <c r="O53" s="43"/>
      <c r="P53" s="88" t="str">
        <f>IF(P52=Q52,"Unentschieden",IF(P52&gt;Q52,P51,Q51))</f>
        <v>Frankreich</v>
      </c>
      <c r="Q53" s="89"/>
      <c r="R53" s="43"/>
      <c r="S53" s="43"/>
      <c r="T53" s="43"/>
      <c r="U53" s="43"/>
      <c r="V53" s="43"/>
      <c r="W53" s="88" t="str">
        <f>IF(W52=X52,"Unentschieden",IF(W52&gt;X52,W51,X51))</f>
        <v>Argentinien</v>
      </c>
      <c r="X53" s="89"/>
      <c r="Y53" s="43"/>
      <c r="Z53" s="43"/>
      <c r="AA53" s="43"/>
      <c r="AB53" s="43"/>
      <c r="AC53" s="43"/>
      <c r="AD53" s="88" t="str">
        <f>IF(AD52=AE52,"Unentschieden",IF(AD52&gt;AE52,AD51,AE51))</f>
        <v>Portugal</v>
      </c>
      <c r="AE53" s="89"/>
      <c r="AF53" s="43"/>
      <c r="AG53" s="43"/>
      <c r="AH53" s="43"/>
      <c r="AI53" s="43"/>
      <c r="AJ53" s="43"/>
      <c r="AK53" s="88" t="str">
        <f>IF(AK52=AL52,"Unentschieden",IF(AK52&gt;AL52,AK51,AL51))</f>
        <v>England</v>
      </c>
      <c r="AL53" s="89"/>
      <c r="AM53" s="43"/>
      <c r="AN53" s="43"/>
      <c r="AO53" s="43"/>
      <c r="AP53" s="43"/>
    </row>
    <row r="54" spans="1:42" ht="17.399999999999999" x14ac:dyDescent="0.45">
      <c r="A54" s="43"/>
      <c r="B54" s="44">
        <f>IF(B52=C52,1,IF(B52&gt;C52,3,0))</f>
        <v>3</v>
      </c>
      <c r="C54" s="44">
        <f>IF(C52=B52,1,IF(C52&gt;B52,3,0))</f>
        <v>0</v>
      </c>
      <c r="D54" s="43"/>
      <c r="E54" s="43"/>
      <c r="F54" s="43"/>
      <c r="G54" s="43"/>
      <c r="H54" s="43"/>
      <c r="I54" s="44">
        <f>IF(I52=J52,1,IF(I52&gt;J52,3,0))</f>
        <v>3</v>
      </c>
      <c r="J54" s="44">
        <f>IF(J52=I52,1,IF(J52&gt;I52,3,0))</f>
        <v>0</v>
      </c>
      <c r="K54" s="43"/>
      <c r="L54" s="43"/>
      <c r="M54" s="43"/>
      <c r="N54" s="43"/>
      <c r="O54" s="43"/>
      <c r="P54" s="44">
        <f>IF(P52=Q52,1,IF(P52&gt;Q52,3,0))</f>
        <v>3</v>
      </c>
      <c r="Q54" s="44">
        <f>IF(Q52=P52,1,IF(Q52&gt;P52,3,0))</f>
        <v>0</v>
      </c>
      <c r="R54" s="43"/>
      <c r="S54" s="43"/>
      <c r="T54" s="43"/>
      <c r="U54" s="43"/>
      <c r="V54" s="43"/>
      <c r="W54" s="44">
        <f>IF(W52=X52,1,IF(W52&gt;X52,3,0))</f>
        <v>3</v>
      </c>
      <c r="X54" s="44">
        <f>IF(X52=W52,1,IF(X52&gt;W52,3,0))</f>
        <v>0</v>
      </c>
      <c r="Y54" s="43"/>
      <c r="Z54" s="43"/>
      <c r="AA54" s="43"/>
      <c r="AB54" s="43"/>
      <c r="AC54" s="43"/>
      <c r="AD54" s="44">
        <f>IF(AD52=AE52,1,IF(AD52&gt;AE52,3,0))</f>
        <v>3</v>
      </c>
      <c r="AE54" s="44">
        <f>IF(AE52=AD52,1,IF(AE52&gt;AD52,3,0))</f>
        <v>0</v>
      </c>
      <c r="AF54" s="43"/>
      <c r="AG54" s="43"/>
      <c r="AH54" s="43"/>
      <c r="AI54" s="43"/>
      <c r="AJ54" s="43"/>
      <c r="AK54" s="44">
        <f>IF(AK52=AL52,1,IF(AK52&gt;AL52,3,0))</f>
        <v>3</v>
      </c>
      <c r="AL54" s="44">
        <f>IF(AL52=AK52,1,IF(AL52&gt;AK52,3,0))</f>
        <v>0</v>
      </c>
      <c r="AM54" s="43"/>
      <c r="AN54" s="43"/>
      <c r="AO54" s="43"/>
      <c r="AP54" s="43"/>
    </row>
    <row r="55" spans="1:42" ht="17.399999999999999" x14ac:dyDescent="0.4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row>
    <row r="56" spans="1:42" ht="17.399999999999999" x14ac:dyDescent="0.45">
      <c r="A56" s="43"/>
      <c r="B56" s="44" t="s">
        <v>75</v>
      </c>
      <c r="C56" s="44" t="s">
        <v>76</v>
      </c>
      <c r="D56" s="43"/>
      <c r="E56" s="43"/>
      <c r="F56" s="43"/>
      <c r="G56" s="43"/>
      <c r="H56" s="43"/>
      <c r="I56" s="44" t="s">
        <v>77</v>
      </c>
      <c r="J56" s="44" t="s">
        <v>78</v>
      </c>
      <c r="K56" s="43"/>
      <c r="L56" s="43"/>
      <c r="M56" s="43"/>
      <c r="N56" s="43"/>
      <c r="O56" s="43"/>
      <c r="P56" s="44" t="s">
        <v>79</v>
      </c>
      <c r="Q56" s="44" t="s">
        <v>80</v>
      </c>
      <c r="R56" s="43"/>
      <c r="S56" s="43"/>
      <c r="T56" s="43"/>
      <c r="U56" s="43"/>
      <c r="V56" s="43"/>
      <c r="W56" s="44" t="s">
        <v>81</v>
      </c>
      <c r="X56" s="44" t="s">
        <v>82</v>
      </c>
      <c r="Y56" s="43"/>
      <c r="Z56" s="43"/>
      <c r="AA56" s="43"/>
      <c r="AB56" s="43"/>
      <c r="AC56" s="43"/>
      <c r="AD56" s="44" t="s">
        <v>83</v>
      </c>
      <c r="AE56" s="44" t="s">
        <v>84</v>
      </c>
      <c r="AF56" s="43"/>
      <c r="AG56" s="43"/>
      <c r="AH56" s="43"/>
      <c r="AI56" s="43"/>
      <c r="AJ56" s="43"/>
      <c r="AK56" s="44" t="s">
        <v>85</v>
      </c>
      <c r="AL56" s="44" t="s">
        <v>86</v>
      </c>
      <c r="AM56" s="43"/>
      <c r="AN56" s="43"/>
      <c r="AO56" s="43"/>
      <c r="AP56" s="43"/>
    </row>
    <row r="57" spans="1:42" ht="17.399999999999999" x14ac:dyDescent="0.45">
      <c r="A57" s="43"/>
      <c r="B57" s="45">
        <v>2</v>
      </c>
      <c r="C57" s="45">
        <v>0</v>
      </c>
      <c r="D57" s="43"/>
      <c r="E57" s="43"/>
      <c r="F57" s="43"/>
      <c r="G57" s="43"/>
      <c r="H57" s="43"/>
      <c r="I57" s="45">
        <v>0</v>
      </c>
      <c r="J57" s="45">
        <v>2</v>
      </c>
      <c r="K57" s="43"/>
      <c r="L57" s="43"/>
      <c r="M57" s="43"/>
      <c r="N57" s="43"/>
      <c r="O57" s="43"/>
      <c r="P57" s="45">
        <v>0</v>
      </c>
      <c r="Q57" s="45">
        <v>2</v>
      </c>
      <c r="R57" s="43"/>
      <c r="S57" s="43"/>
      <c r="T57" s="43"/>
      <c r="U57" s="43"/>
      <c r="V57" s="43"/>
      <c r="W57" s="45">
        <v>2</v>
      </c>
      <c r="X57" s="45">
        <v>0</v>
      </c>
      <c r="Y57" s="43"/>
      <c r="Z57" s="43"/>
      <c r="AA57" s="43"/>
      <c r="AB57" s="43"/>
      <c r="AC57" s="43"/>
      <c r="AD57" s="45">
        <v>0</v>
      </c>
      <c r="AE57" s="45">
        <v>2</v>
      </c>
      <c r="AF57" s="43"/>
      <c r="AG57" s="43"/>
      <c r="AH57" s="43"/>
      <c r="AI57" s="43"/>
      <c r="AJ57" s="43"/>
      <c r="AK57" s="45">
        <v>1</v>
      </c>
      <c r="AL57" s="45">
        <v>0</v>
      </c>
      <c r="AM57" s="43"/>
      <c r="AN57" s="43"/>
      <c r="AO57" s="43"/>
      <c r="AP57" s="43"/>
    </row>
    <row r="58" spans="1:42" ht="17.399999999999999" x14ac:dyDescent="0.45">
      <c r="A58" s="43"/>
      <c r="B58" s="88" t="str">
        <f>IF(B57=C57,"Unentschieden",IF(B57&gt;C57,B56,C56))</f>
        <v>Iran</v>
      </c>
      <c r="C58" s="89"/>
      <c r="D58" s="43"/>
      <c r="E58" s="43"/>
      <c r="F58" s="43"/>
      <c r="G58" s="43"/>
      <c r="H58" s="43"/>
      <c r="I58" s="88" t="str">
        <f>IF(I57=J57,"Unentschieden",IF(I57&gt;J57,I56,J56))</f>
        <v>Uruguay</v>
      </c>
      <c r="J58" s="89"/>
      <c r="K58" s="43"/>
      <c r="L58" s="43"/>
      <c r="M58" s="43"/>
      <c r="N58" s="43"/>
      <c r="O58" s="43"/>
      <c r="P58" s="88" t="str">
        <f>IF(P57=Q57,"Unentschieden",IF(P57&gt;Q57,P56,Q56))</f>
        <v>Norwegen</v>
      </c>
      <c r="Q58" s="89"/>
      <c r="R58" s="43"/>
      <c r="S58" s="43"/>
      <c r="T58" s="43"/>
      <c r="U58" s="43"/>
      <c r="V58" s="43"/>
      <c r="W58" s="88" t="str">
        <f>IF(W57=X57,"Unentschieden",IF(W57&gt;X57,W56,X56))</f>
        <v>Österreich</v>
      </c>
      <c r="X58" s="89"/>
      <c r="Y58" s="43"/>
      <c r="Z58" s="43"/>
      <c r="AA58" s="43"/>
      <c r="AB58" s="43"/>
      <c r="AC58" s="43"/>
      <c r="AD58" s="88" t="str">
        <f>IF(AD57=AE57,"Unentschieden",IF(AD57&gt;AE57,AD56,AE56))</f>
        <v>Kolumbien</v>
      </c>
      <c r="AE58" s="89"/>
      <c r="AF58" s="43"/>
      <c r="AG58" s="43"/>
      <c r="AH58" s="43"/>
      <c r="AI58" s="43"/>
      <c r="AJ58" s="43"/>
      <c r="AK58" s="88" t="str">
        <f>IF(AK57=AL57,"Unentschieden",IF(AK57&gt;AL57,AK56,AL56))</f>
        <v>Ghana</v>
      </c>
      <c r="AL58" s="89"/>
      <c r="AM58" s="43"/>
      <c r="AN58" s="43"/>
      <c r="AO58" s="43"/>
      <c r="AP58" s="43"/>
    </row>
    <row r="59" spans="1:42" ht="17.399999999999999" x14ac:dyDescent="0.45">
      <c r="A59" s="43"/>
      <c r="B59" s="44">
        <f>IF(B57=C57,1,IF(B57&gt;C57,3,0))</f>
        <v>3</v>
      </c>
      <c r="C59" s="44">
        <f>IF(C57=B57,1,IF(C57&gt;B57,3,0))</f>
        <v>0</v>
      </c>
      <c r="D59" s="43"/>
      <c r="E59" s="43"/>
      <c r="F59" s="43"/>
      <c r="G59" s="43"/>
      <c r="H59" s="43"/>
      <c r="I59" s="44">
        <f>IF(I57=J57,1,IF(I57&gt;J57,3,0))</f>
        <v>0</v>
      </c>
      <c r="J59" s="44">
        <f>IF(J57=I57,1,IF(J57&gt;I57,3,0))</f>
        <v>3</v>
      </c>
      <c r="K59" s="43"/>
      <c r="L59" s="43"/>
      <c r="M59" s="43"/>
      <c r="N59" s="43"/>
      <c r="O59" s="43"/>
      <c r="P59" s="44">
        <f>IF(P57=Q57,1,IF(P57&gt;Q57,3,0))</f>
        <v>0</v>
      </c>
      <c r="Q59" s="44">
        <f>IF(Q57=P57,1,IF(Q57&gt;P57,3,0))</f>
        <v>3</v>
      </c>
      <c r="R59" s="43"/>
      <c r="S59" s="43"/>
      <c r="T59" s="43"/>
      <c r="U59" s="43"/>
      <c r="V59" s="43"/>
      <c r="W59" s="44">
        <f>IF(W57=X57,1,IF(W57&gt;X57,3,0))</f>
        <v>3</v>
      </c>
      <c r="X59" s="44">
        <f>IF(X57=W57,1,IF(X57&gt;W57,3,0))</f>
        <v>0</v>
      </c>
      <c r="Y59" s="43"/>
      <c r="Z59" s="43"/>
      <c r="AA59" s="43"/>
      <c r="AB59" s="43"/>
      <c r="AC59" s="43"/>
      <c r="AD59" s="44">
        <f>IF(AD57=AE57,1,IF(AD57&gt;AE57,3,0))</f>
        <v>0</v>
      </c>
      <c r="AE59" s="44">
        <f>IF(AE57=AD57,1,IF(AE57&gt;AD57,3,0))</f>
        <v>3</v>
      </c>
      <c r="AF59" s="43"/>
      <c r="AG59" s="43"/>
      <c r="AH59" s="43"/>
      <c r="AI59" s="43"/>
      <c r="AJ59" s="43"/>
      <c r="AK59" s="44">
        <f>IF(AK57=AL57,1,IF(AK57&gt;AL57,3,0))</f>
        <v>3</v>
      </c>
      <c r="AL59" s="44">
        <f>IF(AL57=AK57,1,IF(AL57&gt;AK57,3,0))</f>
        <v>0</v>
      </c>
      <c r="AM59" s="43"/>
      <c r="AN59" s="43"/>
      <c r="AO59" s="43"/>
      <c r="AP59" s="43"/>
    </row>
    <row r="60" spans="1:42" ht="17.399999999999999" x14ac:dyDescent="0.4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row>
    <row r="61" spans="1:42" ht="17.399999999999999" x14ac:dyDescent="0.45">
      <c r="A61" s="43"/>
      <c r="B61" s="85" t="s">
        <v>49</v>
      </c>
      <c r="C61" s="86"/>
      <c r="D61" s="43"/>
      <c r="E61" s="43"/>
      <c r="F61" s="43"/>
      <c r="G61" s="43"/>
      <c r="H61" s="43"/>
      <c r="I61" s="85" t="s">
        <v>49</v>
      </c>
      <c r="J61" s="86"/>
      <c r="K61" s="43"/>
      <c r="L61" s="43"/>
      <c r="M61" s="43"/>
      <c r="N61" s="43"/>
      <c r="O61" s="43"/>
      <c r="P61" s="85" t="s">
        <v>49</v>
      </c>
      <c r="Q61" s="86"/>
      <c r="R61" s="43"/>
      <c r="S61" s="43"/>
      <c r="T61" s="43"/>
      <c r="U61" s="43"/>
      <c r="V61" s="43"/>
      <c r="W61" s="85" t="s">
        <v>49</v>
      </c>
      <c r="X61" s="86"/>
      <c r="Y61" s="43"/>
      <c r="Z61" s="43"/>
      <c r="AA61" s="43"/>
      <c r="AB61" s="43"/>
      <c r="AC61" s="43"/>
      <c r="AD61" s="85" t="s">
        <v>49</v>
      </c>
      <c r="AE61" s="86"/>
      <c r="AF61" s="43"/>
      <c r="AG61" s="43"/>
      <c r="AH61" s="43"/>
      <c r="AI61" s="43"/>
      <c r="AJ61" s="43"/>
      <c r="AK61" s="85" t="s">
        <v>49</v>
      </c>
      <c r="AL61" s="86"/>
      <c r="AM61" s="43"/>
      <c r="AN61" s="43"/>
      <c r="AO61" s="43"/>
      <c r="AP61" s="43"/>
    </row>
    <row r="62" spans="1:42" ht="17.399999999999999" x14ac:dyDescent="0.45">
      <c r="A62" s="43"/>
      <c r="B62" s="44" t="s">
        <v>63</v>
      </c>
      <c r="C62" s="44" t="s">
        <v>75</v>
      </c>
      <c r="D62" s="43"/>
      <c r="E62" s="43"/>
      <c r="F62" s="43"/>
      <c r="G62" s="43"/>
      <c r="H62" s="43"/>
      <c r="I62" s="44" t="s">
        <v>65</v>
      </c>
      <c r="J62" s="44" t="s">
        <v>77</v>
      </c>
      <c r="K62" s="43"/>
      <c r="L62" s="43"/>
      <c r="M62" s="43"/>
      <c r="N62" s="43"/>
      <c r="O62" s="43"/>
      <c r="P62" s="44" t="s">
        <v>67</v>
      </c>
      <c r="Q62" s="44" t="s">
        <v>79</v>
      </c>
      <c r="R62" s="43"/>
      <c r="S62" s="43"/>
      <c r="T62" s="43"/>
      <c r="U62" s="43"/>
      <c r="V62" s="43"/>
      <c r="W62" s="44" t="s">
        <v>69</v>
      </c>
      <c r="X62" s="44" t="s">
        <v>81</v>
      </c>
      <c r="Y62" s="43"/>
      <c r="Z62" s="43"/>
      <c r="AA62" s="43"/>
      <c r="AB62" s="43"/>
      <c r="AC62" s="43"/>
      <c r="AD62" s="44" t="s">
        <v>71</v>
      </c>
      <c r="AE62" s="44" t="s">
        <v>83</v>
      </c>
      <c r="AF62" s="43"/>
      <c r="AG62" s="43"/>
      <c r="AH62" s="43"/>
      <c r="AI62" s="43"/>
      <c r="AJ62" s="43"/>
      <c r="AK62" s="44" t="s">
        <v>73</v>
      </c>
      <c r="AL62" s="44" t="s">
        <v>85</v>
      </c>
      <c r="AM62" s="43"/>
      <c r="AN62" s="43"/>
      <c r="AO62" s="43"/>
      <c r="AP62" s="43"/>
    </row>
    <row r="63" spans="1:42" ht="17.399999999999999" x14ac:dyDescent="0.45">
      <c r="A63" s="43"/>
      <c r="B63" s="45">
        <v>2</v>
      </c>
      <c r="C63" s="45">
        <v>0</v>
      </c>
      <c r="D63" s="43"/>
      <c r="E63" s="43"/>
      <c r="F63" s="43"/>
      <c r="G63" s="43"/>
      <c r="H63" s="43"/>
      <c r="I63" s="45">
        <v>3</v>
      </c>
      <c r="J63" s="45">
        <v>0</v>
      </c>
      <c r="K63" s="43"/>
      <c r="L63" s="43"/>
      <c r="M63" s="43"/>
      <c r="N63" s="43"/>
      <c r="O63" s="43"/>
      <c r="P63" s="45">
        <v>3</v>
      </c>
      <c r="Q63" s="45">
        <v>0</v>
      </c>
      <c r="R63" s="43"/>
      <c r="S63" s="43"/>
      <c r="T63" s="43"/>
      <c r="U63" s="43"/>
      <c r="V63" s="43"/>
      <c r="W63" s="45">
        <v>2</v>
      </c>
      <c r="X63" s="45">
        <v>1</v>
      </c>
      <c r="Y63" s="43"/>
      <c r="Z63" s="43"/>
      <c r="AA63" s="43"/>
      <c r="AB63" s="43"/>
      <c r="AC63" s="43"/>
      <c r="AD63" s="45">
        <v>2</v>
      </c>
      <c r="AE63" s="45">
        <v>0</v>
      </c>
      <c r="AF63" s="43"/>
      <c r="AG63" s="43"/>
      <c r="AH63" s="43"/>
      <c r="AI63" s="43"/>
      <c r="AJ63" s="43"/>
      <c r="AK63" s="45">
        <v>2</v>
      </c>
      <c r="AL63" s="45">
        <v>0</v>
      </c>
      <c r="AM63" s="43"/>
      <c r="AN63" s="43"/>
      <c r="AO63" s="43"/>
      <c r="AP63" s="43"/>
    </row>
    <row r="64" spans="1:42" ht="17.399999999999999" x14ac:dyDescent="0.45">
      <c r="A64" s="43"/>
      <c r="B64" s="88" t="str">
        <f>IF(B63=C63,"Unentschieden",IF(B63&gt;C63,B62,C62))</f>
        <v>Belgien</v>
      </c>
      <c r="C64" s="89"/>
      <c r="D64" s="43"/>
      <c r="E64" s="43"/>
      <c r="F64" s="43"/>
      <c r="G64" s="43"/>
      <c r="H64" s="43"/>
      <c r="I64" s="88" t="str">
        <f>IF(I63=J63,"Unentschieden",IF(I63&gt;J63,I62,J62))</f>
        <v>Spanien</v>
      </c>
      <c r="J64" s="89"/>
      <c r="K64" s="43"/>
      <c r="L64" s="43"/>
      <c r="M64" s="43"/>
      <c r="N64" s="43"/>
      <c r="O64" s="43"/>
      <c r="P64" s="88" t="str">
        <f>IF(P63=Q63,"Unentschieden",IF(P63&gt;Q63,P62,Q62))</f>
        <v>Frankreich</v>
      </c>
      <c r="Q64" s="89"/>
      <c r="R64" s="43"/>
      <c r="S64" s="43"/>
      <c r="T64" s="43"/>
      <c r="U64" s="43"/>
      <c r="V64" s="43"/>
      <c r="W64" s="88" t="str">
        <f>IF(W63=X63,"Unentschieden",IF(W63&gt;X63,W62,X62))</f>
        <v>Argentinien</v>
      </c>
      <c r="X64" s="89"/>
      <c r="Y64" s="43"/>
      <c r="Z64" s="43"/>
      <c r="AA64" s="43"/>
      <c r="AB64" s="43"/>
      <c r="AC64" s="43"/>
      <c r="AD64" s="88" t="str">
        <f>IF(AD63=AE63,"Unentschieden",IF(AD63&gt;AE63,AD62,AE62))</f>
        <v>Portugal</v>
      </c>
      <c r="AE64" s="89"/>
      <c r="AF64" s="43"/>
      <c r="AG64" s="43"/>
      <c r="AH64" s="43"/>
      <c r="AI64" s="43"/>
      <c r="AJ64" s="43"/>
      <c r="AK64" s="88" t="str">
        <f>IF(AK63=AL63,"Unentschieden",IF(AK63&gt;AL63,AK62,AL62))</f>
        <v>England</v>
      </c>
      <c r="AL64" s="89"/>
      <c r="AM64" s="43"/>
      <c r="AN64" s="43"/>
      <c r="AO64" s="43"/>
      <c r="AP64" s="43"/>
    </row>
    <row r="65" spans="1:42" ht="17.399999999999999" x14ac:dyDescent="0.45">
      <c r="A65" s="43"/>
      <c r="B65" s="44">
        <f>IF(B63=C63,1,IF(B63&gt;C63,3,0))</f>
        <v>3</v>
      </c>
      <c r="C65" s="44">
        <f>IF(C63=B63,1,IF(C63&gt;B63,3,0))</f>
        <v>0</v>
      </c>
      <c r="D65" s="43"/>
      <c r="E65" s="43"/>
      <c r="F65" s="43"/>
      <c r="G65" s="43"/>
      <c r="H65" s="43"/>
      <c r="I65" s="44">
        <f>IF(I63=J63,1,IF(I63&gt;J63,3,0))</f>
        <v>3</v>
      </c>
      <c r="J65" s="44">
        <f>IF(J63=I63,1,IF(J63&gt;I63,3,0))</f>
        <v>0</v>
      </c>
      <c r="K65" s="43"/>
      <c r="L65" s="43"/>
      <c r="M65" s="43"/>
      <c r="N65" s="43"/>
      <c r="O65" s="43"/>
      <c r="P65" s="44">
        <f>IF(P63=Q63,1,IF(P63&gt;Q63,3,0))</f>
        <v>3</v>
      </c>
      <c r="Q65" s="44">
        <f>IF(Q63=P63,1,IF(Q63&gt;P63,3,0))</f>
        <v>0</v>
      </c>
      <c r="R65" s="43"/>
      <c r="S65" s="43"/>
      <c r="T65" s="43"/>
      <c r="U65" s="43"/>
      <c r="V65" s="43"/>
      <c r="W65" s="44">
        <f>IF(W63=X63,1,IF(W63&gt;X63,3,0))</f>
        <v>3</v>
      </c>
      <c r="X65" s="44">
        <f>IF(X63=W63,1,IF(X63&gt;W63,3,0))</f>
        <v>0</v>
      </c>
      <c r="Y65" s="43"/>
      <c r="Z65" s="43"/>
      <c r="AA65" s="43"/>
      <c r="AB65" s="43"/>
      <c r="AC65" s="43"/>
      <c r="AD65" s="44">
        <f>IF(AD63=AE63,1,IF(AD63&gt;AE63,3,0))</f>
        <v>3</v>
      </c>
      <c r="AE65" s="44">
        <f>IF(AE63=AD63,1,IF(AE63&gt;AD63,3,0))</f>
        <v>0</v>
      </c>
      <c r="AF65" s="43"/>
      <c r="AG65" s="43"/>
      <c r="AH65" s="43"/>
      <c r="AI65" s="43"/>
      <c r="AJ65" s="43"/>
      <c r="AK65" s="44">
        <f>IF(AK63=AL63,1,IF(AK63&gt;AL63,3,0))</f>
        <v>3</v>
      </c>
      <c r="AL65" s="44">
        <f>IF(AL63=AK63,1,IF(AL63&gt;AK63,3,0))</f>
        <v>0</v>
      </c>
      <c r="AM65" s="43"/>
      <c r="AN65" s="43"/>
      <c r="AO65" s="43"/>
      <c r="AP65" s="43"/>
    </row>
    <row r="66" spans="1:42" ht="17.399999999999999" x14ac:dyDescent="0.45">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row>
    <row r="67" spans="1:42" ht="17.399999999999999" x14ac:dyDescent="0.45">
      <c r="A67" s="43"/>
      <c r="B67" s="44" t="s">
        <v>76</v>
      </c>
      <c r="C67" s="44" t="s">
        <v>64</v>
      </c>
      <c r="D67" s="43"/>
      <c r="E67" s="43"/>
      <c r="F67" s="43"/>
      <c r="G67" s="43"/>
      <c r="H67" s="43"/>
      <c r="I67" s="44" t="s">
        <v>78</v>
      </c>
      <c r="J67" s="44" t="s">
        <v>66</v>
      </c>
      <c r="K67" s="43"/>
      <c r="L67" s="43"/>
      <c r="M67" s="43"/>
      <c r="N67" s="43"/>
      <c r="O67" s="43"/>
      <c r="P67" s="44" t="s">
        <v>80</v>
      </c>
      <c r="Q67" s="44" t="s">
        <v>68</v>
      </c>
      <c r="R67" s="43"/>
      <c r="S67" s="43"/>
      <c r="T67" s="43"/>
      <c r="U67" s="43"/>
      <c r="V67" s="43"/>
      <c r="W67" s="44" t="s">
        <v>82</v>
      </c>
      <c r="X67" s="44" t="s">
        <v>70</v>
      </c>
      <c r="Y67" s="43"/>
      <c r="Z67" s="43"/>
      <c r="AA67" s="43"/>
      <c r="AB67" s="43"/>
      <c r="AC67" s="43"/>
      <c r="AD67" s="44" t="s">
        <v>84</v>
      </c>
      <c r="AE67" s="44" t="s">
        <v>72</v>
      </c>
      <c r="AF67" s="43"/>
      <c r="AG67" s="43"/>
      <c r="AH67" s="43"/>
      <c r="AI67" s="43"/>
      <c r="AJ67" s="43"/>
      <c r="AK67" s="44" t="s">
        <v>86</v>
      </c>
      <c r="AL67" s="44" t="s">
        <v>74</v>
      </c>
      <c r="AM67" s="43"/>
      <c r="AN67" s="43"/>
      <c r="AO67" s="43"/>
      <c r="AP67" s="43"/>
    </row>
    <row r="68" spans="1:42" ht="17.399999999999999" x14ac:dyDescent="0.45">
      <c r="A68" s="43"/>
      <c r="B68" s="45">
        <v>0</v>
      </c>
      <c r="C68" s="45">
        <v>2</v>
      </c>
      <c r="D68" s="43"/>
      <c r="E68" s="43"/>
      <c r="F68" s="43"/>
      <c r="G68" s="43"/>
      <c r="H68" s="43"/>
      <c r="I68" s="45">
        <v>2</v>
      </c>
      <c r="J68" s="45">
        <v>0</v>
      </c>
      <c r="K68" s="43"/>
      <c r="L68" s="43"/>
      <c r="M68" s="43"/>
      <c r="N68" s="43"/>
      <c r="O68" s="43"/>
      <c r="P68" s="45">
        <v>1</v>
      </c>
      <c r="Q68" s="45">
        <v>1</v>
      </c>
      <c r="R68" s="43"/>
      <c r="S68" s="43"/>
      <c r="T68" s="43"/>
      <c r="U68" s="43"/>
      <c r="V68" s="43"/>
      <c r="W68" s="45">
        <v>0</v>
      </c>
      <c r="X68" s="45">
        <v>1</v>
      </c>
      <c r="Y68" s="43"/>
      <c r="Z68" s="43"/>
      <c r="AA68" s="43"/>
      <c r="AB68" s="43"/>
      <c r="AC68" s="43"/>
      <c r="AD68" s="45">
        <v>2</v>
      </c>
      <c r="AE68" s="45">
        <v>0</v>
      </c>
      <c r="AF68" s="43"/>
      <c r="AG68" s="43"/>
      <c r="AH68" s="43"/>
      <c r="AI68" s="43"/>
      <c r="AJ68" s="43"/>
      <c r="AK68" s="45">
        <v>0</v>
      </c>
      <c r="AL68" s="45">
        <v>2</v>
      </c>
      <c r="AM68" s="43"/>
      <c r="AN68" s="43"/>
      <c r="AO68" s="43"/>
      <c r="AP68" s="43"/>
    </row>
    <row r="69" spans="1:42" ht="17.399999999999999" x14ac:dyDescent="0.45">
      <c r="A69" s="43"/>
      <c r="B69" s="88" t="str">
        <f>IF(B68=C68,"Unentschieden",IF(B68&gt;C68,B67,C67))</f>
        <v>Ägypten</v>
      </c>
      <c r="C69" s="89"/>
      <c r="D69" s="43"/>
      <c r="E69" s="43"/>
      <c r="F69" s="43"/>
      <c r="G69" s="43"/>
      <c r="H69" s="43"/>
      <c r="I69" s="88" t="str">
        <f>IF(I68=J68,"Unentschieden",IF(I68&gt;J68,I67,J67))</f>
        <v>Uruguay</v>
      </c>
      <c r="J69" s="89"/>
      <c r="K69" s="43"/>
      <c r="L69" s="43"/>
      <c r="M69" s="43"/>
      <c r="N69" s="43"/>
      <c r="O69" s="43"/>
      <c r="P69" s="88" t="str">
        <f>IF(P68=Q68,"Unentschieden",IF(P68&gt;Q68,P67,Q67))</f>
        <v>Unentschieden</v>
      </c>
      <c r="Q69" s="89"/>
      <c r="R69" s="43"/>
      <c r="S69" s="43"/>
      <c r="T69" s="43"/>
      <c r="U69" s="43"/>
      <c r="V69" s="43"/>
      <c r="W69" s="88" t="str">
        <f>IF(W68=X68,"Unentschieden",IF(W68&gt;X68,W67,X67))</f>
        <v>Algerien</v>
      </c>
      <c r="X69" s="89"/>
      <c r="Y69" s="43"/>
      <c r="Z69" s="43"/>
      <c r="AA69" s="43"/>
      <c r="AB69" s="43"/>
      <c r="AC69" s="43"/>
      <c r="AD69" s="88" t="str">
        <f>IF(AD68=AE68,"Unentschieden",IF(AD68&gt;AE68,AD67,AE67))</f>
        <v>Kolumbien</v>
      </c>
      <c r="AE69" s="89"/>
      <c r="AF69" s="43"/>
      <c r="AG69" s="43"/>
      <c r="AH69" s="43"/>
      <c r="AI69" s="43"/>
      <c r="AJ69" s="43"/>
      <c r="AK69" s="88" t="str">
        <f>IF(AK68=AL68,"Unentschieden",IF(AK68&gt;AL68,AK67,AL67))</f>
        <v>Kroatien</v>
      </c>
      <c r="AL69" s="89"/>
      <c r="AM69" s="43"/>
      <c r="AN69" s="43"/>
      <c r="AO69" s="43"/>
      <c r="AP69" s="43"/>
    </row>
    <row r="70" spans="1:42" ht="17.399999999999999" x14ac:dyDescent="0.45">
      <c r="A70" s="43"/>
      <c r="B70" s="44">
        <f>IF(B68=C68,1,IF(B68&gt;C68,3,0))</f>
        <v>0</v>
      </c>
      <c r="C70" s="44">
        <f>IF(C68=B68,1,IF(C68&gt;B68,3,0))</f>
        <v>3</v>
      </c>
      <c r="D70" s="43"/>
      <c r="E70" s="43"/>
      <c r="F70" s="43"/>
      <c r="G70" s="43"/>
      <c r="H70" s="43"/>
      <c r="I70" s="44">
        <f>IF(I68=J68,1,IF(I68&gt;J68,3,0))</f>
        <v>3</v>
      </c>
      <c r="J70" s="44">
        <f>IF(J68=I68,1,IF(J68&gt;I68,3,0))</f>
        <v>0</v>
      </c>
      <c r="K70" s="43"/>
      <c r="L70" s="43"/>
      <c r="M70" s="43"/>
      <c r="N70" s="43"/>
      <c r="O70" s="43"/>
      <c r="P70" s="44">
        <f>IF(P68=Q68,1,IF(P68&gt;Q68,3,0))</f>
        <v>1</v>
      </c>
      <c r="Q70" s="44">
        <f>IF(Q68=P68,1,IF(Q68&gt;P68,3,0))</f>
        <v>1</v>
      </c>
      <c r="R70" s="43"/>
      <c r="S70" s="43"/>
      <c r="T70" s="43"/>
      <c r="U70" s="43"/>
      <c r="V70" s="43"/>
      <c r="W70" s="44">
        <f>IF(W68=X68,1,IF(W68&gt;X68,3,0))</f>
        <v>0</v>
      </c>
      <c r="X70" s="44">
        <f>IF(X68=W68,1,IF(X68&gt;W68,3,0))</f>
        <v>3</v>
      </c>
      <c r="Y70" s="43"/>
      <c r="Z70" s="43"/>
      <c r="AA70" s="43"/>
      <c r="AB70" s="43"/>
      <c r="AC70" s="43"/>
      <c r="AD70" s="44">
        <f>IF(AD68=AE68,1,IF(AD68&gt;AE68,3,0))</f>
        <v>3</v>
      </c>
      <c r="AE70" s="44">
        <f>IF(AE68=AD68,1,IF(AE68&gt;AD68,3,0))</f>
        <v>0</v>
      </c>
      <c r="AF70" s="43"/>
      <c r="AG70" s="43"/>
      <c r="AH70" s="43"/>
      <c r="AI70" s="43"/>
      <c r="AJ70" s="43"/>
      <c r="AK70" s="44">
        <f>IF(AK68=AL68,1,IF(AK68&gt;AL68,3,0))</f>
        <v>0</v>
      </c>
      <c r="AL70" s="44">
        <f>IF(AL68=AK68,1,IF(AL68&gt;AK68,3,0))</f>
        <v>3</v>
      </c>
      <c r="AM70" s="43"/>
      <c r="AN70" s="43"/>
      <c r="AO70" s="43"/>
      <c r="AP70" s="43"/>
    </row>
    <row r="71" spans="1:42" ht="17.399999999999999" x14ac:dyDescent="0.45">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row>
    <row r="72" spans="1:42" ht="17.399999999999999" x14ac:dyDescent="0.45">
      <c r="A72" s="43"/>
      <c r="B72" s="85" t="s">
        <v>50</v>
      </c>
      <c r="C72" s="86"/>
      <c r="D72" s="43"/>
      <c r="E72" s="43"/>
      <c r="F72" s="43"/>
      <c r="G72" s="43"/>
      <c r="H72" s="43"/>
      <c r="I72" s="85" t="s">
        <v>50</v>
      </c>
      <c r="J72" s="86"/>
      <c r="K72" s="43"/>
      <c r="L72" s="43"/>
      <c r="M72" s="43"/>
      <c r="N72" s="43"/>
      <c r="O72" s="43"/>
      <c r="P72" s="85" t="s">
        <v>50</v>
      </c>
      <c r="Q72" s="86"/>
      <c r="R72" s="43"/>
      <c r="S72" s="43"/>
      <c r="T72" s="43"/>
      <c r="U72" s="43"/>
      <c r="V72" s="43"/>
      <c r="W72" s="85" t="s">
        <v>50</v>
      </c>
      <c r="X72" s="86"/>
      <c r="Y72" s="43"/>
      <c r="Z72" s="43"/>
      <c r="AA72" s="43"/>
      <c r="AB72" s="43"/>
      <c r="AC72" s="43"/>
      <c r="AD72" s="85" t="s">
        <v>50</v>
      </c>
      <c r="AE72" s="86"/>
      <c r="AF72" s="43"/>
      <c r="AG72" s="43"/>
      <c r="AH72" s="43"/>
      <c r="AI72" s="43"/>
      <c r="AJ72" s="43"/>
      <c r="AK72" s="85" t="s">
        <v>50</v>
      </c>
      <c r="AL72" s="86"/>
      <c r="AM72" s="43"/>
      <c r="AN72" s="43"/>
      <c r="AO72" s="43"/>
      <c r="AP72" s="43"/>
    </row>
    <row r="73" spans="1:42" ht="17.399999999999999" x14ac:dyDescent="0.45">
      <c r="A73" s="43"/>
      <c r="B73" s="44" t="s">
        <v>76</v>
      </c>
      <c r="C73" s="44" t="s">
        <v>63</v>
      </c>
      <c r="D73" s="43"/>
      <c r="E73" s="43"/>
      <c r="F73" s="43"/>
      <c r="G73" s="43"/>
      <c r="H73" s="43"/>
      <c r="I73" s="44" t="s">
        <v>78</v>
      </c>
      <c r="J73" s="44" t="s">
        <v>65</v>
      </c>
      <c r="K73" s="43"/>
      <c r="L73" s="43"/>
      <c r="M73" s="43"/>
      <c r="N73" s="43"/>
      <c r="O73" s="43"/>
      <c r="P73" s="44" t="s">
        <v>80</v>
      </c>
      <c r="Q73" s="44" t="s">
        <v>67</v>
      </c>
      <c r="R73" s="43"/>
      <c r="S73" s="43"/>
      <c r="T73" s="43"/>
      <c r="U73" s="43"/>
      <c r="V73" s="43"/>
      <c r="W73" s="44" t="s">
        <v>82</v>
      </c>
      <c r="X73" s="44" t="s">
        <v>69</v>
      </c>
      <c r="Y73" s="43"/>
      <c r="Z73" s="43"/>
      <c r="AA73" s="43"/>
      <c r="AB73" s="43"/>
      <c r="AC73" s="43"/>
      <c r="AD73" s="44" t="s">
        <v>84</v>
      </c>
      <c r="AE73" s="44" t="s">
        <v>71</v>
      </c>
      <c r="AF73" s="43"/>
      <c r="AG73" s="43"/>
      <c r="AH73" s="43"/>
      <c r="AI73" s="43"/>
      <c r="AJ73" s="43"/>
      <c r="AK73" s="44" t="s">
        <v>86</v>
      </c>
      <c r="AL73" s="44" t="s">
        <v>73</v>
      </c>
      <c r="AM73" s="43"/>
      <c r="AN73" s="43"/>
      <c r="AO73" s="43"/>
      <c r="AP73" s="43"/>
    </row>
    <row r="74" spans="1:42" ht="17.399999999999999" x14ac:dyDescent="0.45">
      <c r="A74" s="43"/>
      <c r="B74" s="45">
        <v>1</v>
      </c>
      <c r="C74" s="45">
        <v>4</v>
      </c>
      <c r="D74" s="43"/>
      <c r="E74" s="43"/>
      <c r="F74" s="43"/>
      <c r="G74" s="43"/>
      <c r="H74" s="43"/>
      <c r="I74" s="45">
        <v>1</v>
      </c>
      <c r="J74" s="45">
        <v>1</v>
      </c>
      <c r="K74" s="43"/>
      <c r="L74" s="43"/>
      <c r="M74" s="43"/>
      <c r="N74" s="43"/>
      <c r="O74" s="43"/>
      <c r="P74" s="45">
        <v>2</v>
      </c>
      <c r="Q74" s="45">
        <v>4</v>
      </c>
      <c r="R74" s="43"/>
      <c r="S74" s="43"/>
      <c r="T74" s="43"/>
      <c r="U74" s="43"/>
      <c r="V74" s="43"/>
      <c r="W74" s="45">
        <v>0</v>
      </c>
      <c r="X74" s="45">
        <v>3</v>
      </c>
      <c r="Y74" s="43"/>
      <c r="Z74" s="43"/>
      <c r="AA74" s="43"/>
      <c r="AB74" s="43"/>
      <c r="AC74" s="43"/>
      <c r="AD74" s="45">
        <v>1</v>
      </c>
      <c r="AE74" s="45">
        <v>1</v>
      </c>
      <c r="AF74" s="43"/>
      <c r="AG74" s="43"/>
      <c r="AH74" s="43"/>
      <c r="AI74" s="43"/>
      <c r="AJ74" s="43"/>
      <c r="AK74" s="45">
        <v>1</v>
      </c>
      <c r="AL74" s="45">
        <v>1</v>
      </c>
      <c r="AM74" s="43"/>
      <c r="AN74" s="43"/>
      <c r="AO74" s="43"/>
      <c r="AP74" s="43"/>
    </row>
    <row r="75" spans="1:42" ht="17.399999999999999" x14ac:dyDescent="0.45">
      <c r="A75" s="43"/>
      <c r="B75" s="88" t="str">
        <f>IF(B74=C74,"Unentschieden",IF(B74&gt;C74,B73,C73))</f>
        <v>Belgien</v>
      </c>
      <c r="C75" s="89"/>
      <c r="D75" s="43"/>
      <c r="E75" s="43"/>
      <c r="F75" s="43"/>
      <c r="G75" s="43"/>
      <c r="H75" s="43"/>
      <c r="I75" s="88" t="str">
        <f>IF(I74=J74,"Unentschieden",IF(I74&gt;J74,I73,J73))</f>
        <v>Unentschieden</v>
      </c>
      <c r="J75" s="89"/>
      <c r="K75" s="43"/>
      <c r="L75" s="43"/>
      <c r="M75" s="43"/>
      <c r="N75" s="43"/>
      <c r="O75" s="43"/>
      <c r="P75" s="88" t="str">
        <f>IF(P74=Q74,"Unentschieden",IF(P74&gt;Q74,P73,Q73))</f>
        <v>Frankreich</v>
      </c>
      <c r="Q75" s="89"/>
      <c r="R75" s="43"/>
      <c r="S75" s="43"/>
      <c r="T75" s="43"/>
      <c r="U75" s="43"/>
      <c r="V75" s="43"/>
      <c r="W75" s="88" t="str">
        <f>IF(W74=X74,"Unentschieden",IF(W74&gt;X74,W73,X73))</f>
        <v>Argentinien</v>
      </c>
      <c r="X75" s="89"/>
      <c r="Y75" s="43"/>
      <c r="Z75" s="43"/>
      <c r="AA75" s="43"/>
      <c r="AB75" s="43"/>
      <c r="AC75" s="43"/>
      <c r="AD75" s="88" t="str">
        <f>IF(AD74=AE74,"Unentschieden",IF(AD74&gt;AE74,AD73,AE73))</f>
        <v>Unentschieden</v>
      </c>
      <c r="AE75" s="89"/>
      <c r="AF75" s="43"/>
      <c r="AG75" s="43"/>
      <c r="AH75" s="43"/>
      <c r="AI75" s="43"/>
      <c r="AJ75" s="43"/>
      <c r="AK75" s="88" t="str">
        <f>IF(AK74=AL74,"Unentschieden",IF(AK74&gt;AL74,AK73,AL73))</f>
        <v>Unentschieden</v>
      </c>
      <c r="AL75" s="89"/>
      <c r="AM75" s="43"/>
      <c r="AN75" s="43"/>
      <c r="AO75" s="43"/>
      <c r="AP75" s="43"/>
    </row>
    <row r="76" spans="1:42" ht="17.399999999999999" x14ac:dyDescent="0.45">
      <c r="A76" s="43"/>
      <c r="B76" s="44">
        <f>IF(B74=C74,1,IF(B74&gt;C74,3,0))</f>
        <v>0</v>
      </c>
      <c r="C76" s="44">
        <f>IF(C74=B74,1,IF(C74&gt;B74,3,0))</f>
        <v>3</v>
      </c>
      <c r="D76" s="43"/>
      <c r="E76" s="43"/>
      <c r="F76" s="43"/>
      <c r="G76" s="43"/>
      <c r="H76" s="43"/>
      <c r="I76" s="44">
        <f>IF(I74=J74,1,IF(I74&gt;J74,3,0))</f>
        <v>1</v>
      </c>
      <c r="J76" s="44">
        <f>IF(J74=I74,1,IF(J74&gt;I74,3,0))</f>
        <v>1</v>
      </c>
      <c r="K76" s="43"/>
      <c r="L76" s="43"/>
      <c r="M76" s="43"/>
      <c r="N76" s="43"/>
      <c r="O76" s="43"/>
      <c r="P76" s="44">
        <f>IF(P74=Q74,1,IF(P74&gt;Q74,3,0))</f>
        <v>0</v>
      </c>
      <c r="Q76" s="44">
        <f>IF(Q74=P74,1,IF(Q74&gt;P74,3,0))</f>
        <v>3</v>
      </c>
      <c r="R76" s="43"/>
      <c r="S76" s="43"/>
      <c r="T76" s="43"/>
      <c r="U76" s="43"/>
      <c r="V76" s="43"/>
      <c r="W76" s="44">
        <f>IF(W74=X74,1,IF(W74&gt;X74,3,0))</f>
        <v>0</v>
      </c>
      <c r="X76" s="44">
        <f>IF(X74=W74,1,IF(X74&gt;W74,3,0))</f>
        <v>3</v>
      </c>
      <c r="Y76" s="43"/>
      <c r="Z76" s="43"/>
      <c r="AA76" s="43"/>
      <c r="AB76" s="43"/>
      <c r="AC76" s="43"/>
      <c r="AD76" s="44">
        <f>IF(AD74=AE74,1,IF(AD74&gt;AE74,3,0))</f>
        <v>1</v>
      </c>
      <c r="AE76" s="44">
        <f>IF(AE74=AD74,1,IF(AE74&gt;AD74,3,0))</f>
        <v>1</v>
      </c>
      <c r="AF76" s="43"/>
      <c r="AG76" s="43"/>
      <c r="AH76" s="43"/>
      <c r="AI76" s="43"/>
      <c r="AJ76" s="43"/>
      <c r="AK76" s="44">
        <f>IF(AK74=AL74,1,IF(AK74&gt;AL74,3,0))</f>
        <v>1</v>
      </c>
      <c r="AL76" s="44">
        <f>IF(AL74=AK74,1,IF(AL74&gt;AK74,3,0))</f>
        <v>1</v>
      </c>
      <c r="AM76" s="43"/>
      <c r="AN76" s="43"/>
      <c r="AO76" s="43"/>
      <c r="AP76" s="43"/>
    </row>
    <row r="77" spans="1:42" ht="17.399999999999999" x14ac:dyDescent="0.4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row>
    <row r="78" spans="1:42" ht="17.399999999999999" x14ac:dyDescent="0.45">
      <c r="A78" s="43"/>
      <c r="B78" s="44" t="s">
        <v>64</v>
      </c>
      <c r="C78" s="44" t="s">
        <v>75</v>
      </c>
      <c r="D78" s="43"/>
      <c r="E78" s="43"/>
      <c r="F78" s="43"/>
      <c r="G78" s="43"/>
      <c r="H78" s="43"/>
      <c r="I78" s="44" t="s">
        <v>66</v>
      </c>
      <c r="J78" s="44" t="s">
        <v>77</v>
      </c>
      <c r="K78" s="43"/>
      <c r="L78" s="43"/>
      <c r="M78" s="43"/>
      <c r="N78" s="43"/>
      <c r="O78" s="43"/>
      <c r="P78" s="44" t="s">
        <v>68</v>
      </c>
      <c r="Q78" s="44" t="s">
        <v>79</v>
      </c>
      <c r="R78" s="43"/>
      <c r="S78" s="43"/>
      <c r="T78" s="43"/>
      <c r="U78" s="43"/>
      <c r="V78" s="43"/>
      <c r="W78" s="44" t="s">
        <v>70</v>
      </c>
      <c r="X78" s="44" t="s">
        <v>81</v>
      </c>
      <c r="Y78" s="43"/>
      <c r="Z78" s="43"/>
      <c r="AA78" s="43"/>
      <c r="AB78" s="43"/>
      <c r="AC78" s="43"/>
      <c r="AD78" s="44" t="s">
        <v>72</v>
      </c>
      <c r="AE78" s="44" t="s">
        <v>83</v>
      </c>
      <c r="AF78" s="43"/>
      <c r="AG78" s="43"/>
      <c r="AH78" s="43"/>
      <c r="AI78" s="43"/>
      <c r="AJ78" s="43"/>
      <c r="AK78" s="44" t="s">
        <v>74</v>
      </c>
      <c r="AL78" s="44" t="s">
        <v>85</v>
      </c>
      <c r="AM78" s="43"/>
      <c r="AN78" s="43"/>
      <c r="AO78" s="43"/>
      <c r="AP78" s="43"/>
    </row>
    <row r="79" spans="1:42" ht="17.399999999999999" x14ac:dyDescent="0.45">
      <c r="A79" s="43"/>
      <c r="B79" s="45">
        <v>1</v>
      </c>
      <c r="C79" s="45">
        <v>1</v>
      </c>
      <c r="D79" s="43"/>
      <c r="E79" s="43"/>
      <c r="F79" s="43"/>
      <c r="G79" s="43"/>
      <c r="H79" s="43"/>
      <c r="I79" s="45">
        <v>1</v>
      </c>
      <c r="J79" s="45">
        <v>1</v>
      </c>
      <c r="K79" s="43"/>
      <c r="L79" s="43"/>
      <c r="M79" s="43"/>
      <c r="N79" s="43"/>
      <c r="O79" s="43"/>
      <c r="P79" s="45">
        <v>2</v>
      </c>
      <c r="Q79" s="45">
        <v>0</v>
      </c>
      <c r="R79" s="43"/>
      <c r="S79" s="43"/>
      <c r="T79" s="43"/>
      <c r="U79" s="43"/>
      <c r="V79" s="43"/>
      <c r="W79" s="45">
        <v>1</v>
      </c>
      <c r="X79" s="45">
        <v>1</v>
      </c>
      <c r="Y79" s="43"/>
      <c r="Z79" s="43"/>
      <c r="AA79" s="43"/>
      <c r="AB79" s="43"/>
      <c r="AC79" s="43"/>
      <c r="AD79" s="45">
        <v>1</v>
      </c>
      <c r="AE79" s="45">
        <v>1</v>
      </c>
      <c r="AF79" s="43"/>
      <c r="AG79" s="43"/>
      <c r="AH79" s="43"/>
      <c r="AI79" s="43"/>
      <c r="AJ79" s="43"/>
      <c r="AK79" s="45">
        <v>1</v>
      </c>
      <c r="AL79" s="45">
        <v>1</v>
      </c>
      <c r="AM79" s="43"/>
      <c r="AN79" s="43"/>
      <c r="AO79" s="43"/>
      <c r="AP79" s="43"/>
    </row>
    <row r="80" spans="1:42" ht="17.399999999999999" x14ac:dyDescent="0.45">
      <c r="A80" s="43"/>
      <c r="B80" s="88" t="str">
        <f>IF(B79=C79,"Unentschieden",IF(B79&gt;C79,B78,C78))</f>
        <v>Unentschieden</v>
      </c>
      <c r="C80" s="89"/>
      <c r="D80" s="43"/>
      <c r="E80" s="43"/>
      <c r="F80" s="43"/>
      <c r="G80" s="43"/>
      <c r="H80" s="43"/>
      <c r="I80" s="88" t="str">
        <f>IF(I79=J79,"Unentschieden",IF(I79&gt;J79,I78,J78))</f>
        <v>Unentschieden</v>
      </c>
      <c r="J80" s="89"/>
      <c r="K80" s="43"/>
      <c r="L80" s="43"/>
      <c r="M80" s="43"/>
      <c r="N80" s="43"/>
      <c r="O80" s="43"/>
      <c r="P80" s="88" t="str">
        <f>IF(P79=Q79,"Unentschieden",IF(P79&gt;Q79,P78,Q78))</f>
        <v>Senegal</v>
      </c>
      <c r="Q80" s="89"/>
      <c r="R80" s="43"/>
      <c r="S80" s="43"/>
      <c r="T80" s="43"/>
      <c r="U80" s="43"/>
      <c r="V80" s="43"/>
      <c r="W80" s="88" t="str">
        <f>IF(W79=X79,"Unentschieden",IF(W79&gt;X79,W78,X78))</f>
        <v>Unentschieden</v>
      </c>
      <c r="X80" s="89"/>
      <c r="Y80" s="43"/>
      <c r="Z80" s="43"/>
      <c r="AA80" s="43"/>
      <c r="AB80" s="43"/>
      <c r="AC80" s="43"/>
      <c r="AD80" s="88" t="str">
        <f>IF(AD79=AE79,"Unentschieden",IF(AD79&gt;AE79,AD78,AE78))</f>
        <v>Unentschieden</v>
      </c>
      <c r="AE80" s="89"/>
      <c r="AF80" s="43"/>
      <c r="AG80" s="43"/>
      <c r="AH80" s="43"/>
      <c r="AI80" s="43"/>
      <c r="AJ80" s="43"/>
      <c r="AK80" s="88" t="str">
        <f>IF(AK79=AL79,"Unentschieden",IF(AK79&gt;AL79,AK78,AL78))</f>
        <v>Unentschieden</v>
      </c>
      <c r="AL80" s="89"/>
      <c r="AM80" s="43"/>
      <c r="AN80" s="43"/>
      <c r="AO80" s="43"/>
      <c r="AP80" s="43"/>
    </row>
    <row r="81" spans="1:42" ht="17.399999999999999" x14ac:dyDescent="0.45">
      <c r="A81" s="43"/>
      <c r="B81" s="44">
        <f>IF(B79=C79,1,IF(B79&gt;C79,3,0))</f>
        <v>1</v>
      </c>
      <c r="C81" s="44">
        <f>IF(C79=B79,1,IF(C79&gt;B79,3,0))</f>
        <v>1</v>
      </c>
      <c r="D81" s="43"/>
      <c r="E81" s="43"/>
      <c r="F81" s="43"/>
      <c r="G81" s="43"/>
      <c r="H81" s="43"/>
      <c r="I81" s="44">
        <f>IF(I79=J79,1,IF(I79&gt;J79,3,0))</f>
        <v>1</v>
      </c>
      <c r="J81" s="44">
        <f>IF(J79=I79,1,IF(J79&gt;I79,3,0))</f>
        <v>1</v>
      </c>
      <c r="K81" s="43"/>
      <c r="L81" s="43"/>
      <c r="M81" s="43"/>
      <c r="N81" s="43"/>
      <c r="O81" s="43"/>
      <c r="P81" s="44">
        <f>IF(P79=Q79,1,IF(P79&gt;Q79,3,0))</f>
        <v>3</v>
      </c>
      <c r="Q81" s="44">
        <f>IF(Q79=P79,1,IF(Q79&gt;P79,3,0))</f>
        <v>0</v>
      </c>
      <c r="R81" s="43"/>
      <c r="S81" s="43"/>
      <c r="T81" s="43"/>
      <c r="U81" s="43"/>
      <c r="V81" s="43"/>
      <c r="W81" s="44">
        <f>IF(W79=X79,1,IF(W79&gt;X79,3,0))</f>
        <v>1</v>
      </c>
      <c r="X81" s="44">
        <f>IF(X79=W79,1,IF(X79&gt;W79,3,0))</f>
        <v>1</v>
      </c>
      <c r="Y81" s="43"/>
      <c r="Z81" s="43"/>
      <c r="AA81" s="43"/>
      <c r="AB81" s="43"/>
      <c r="AC81" s="43"/>
      <c r="AD81" s="44">
        <f>IF(AD79=AE79,1,IF(AD79&gt;AE79,3,0))</f>
        <v>1</v>
      </c>
      <c r="AE81" s="44">
        <f>IF(AE79=AD79,1,IF(AE79&gt;AD79,3,0))</f>
        <v>1</v>
      </c>
      <c r="AF81" s="43"/>
      <c r="AG81" s="43"/>
      <c r="AH81" s="43"/>
      <c r="AI81" s="43"/>
      <c r="AJ81" s="43"/>
      <c r="AK81" s="44">
        <f>IF(AK79=AL79,1,IF(AK79&gt;AL79,3,0))</f>
        <v>1</v>
      </c>
      <c r="AL81" s="44">
        <f>IF(AL79=AK79,1,IF(AL79&gt;AK79,3,0))</f>
        <v>1</v>
      </c>
      <c r="AM81" s="43"/>
      <c r="AN81" s="43"/>
      <c r="AO81" s="43"/>
      <c r="AP81" s="43"/>
    </row>
    <row r="82" spans="1:42" ht="17.399999999999999" x14ac:dyDescent="0.45">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row>
    <row r="83" spans="1:42" ht="17.399999999999999" x14ac:dyDescent="0.45">
      <c r="A83" s="43"/>
      <c r="B83" s="43" t="s">
        <v>51</v>
      </c>
      <c r="C83" s="44" t="s">
        <v>52</v>
      </c>
      <c r="D83" s="44" t="s">
        <v>53</v>
      </c>
      <c r="E83" s="44" t="s">
        <v>54</v>
      </c>
      <c r="F83" s="44" t="s">
        <v>55</v>
      </c>
      <c r="G83" s="43"/>
      <c r="H83" s="46"/>
      <c r="I83" s="43" t="s">
        <v>51</v>
      </c>
      <c r="J83" s="44" t="s">
        <v>52</v>
      </c>
      <c r="K83" s="44" t="s">
        <v>53</v>
      </c>
      <c r="L83" s="44" t="s">
        <v>54</v>
      </c>
      <c r="M83" s="44" t="s">
        <v>55</v>
      </c>
      <c r="N83" s="43"/>
      <c r="O83" s="46"/>
      <c r="P83" s="43" t="s">
        <v>51</v>
      </c>
      <c r="Q83" s="44" t="s">
        <v>52</v>
      </c>
      <c r="R83" s="44" t="s">
        <v>53</v>
      </c>
      <c r="S83" s="44" t="s">
        <v>54</v>
      </c>
      <c r="T83" s="44" t="s">
        <v>55</v>
      </c>
      <c r="U83" s="43"/>
      <c r="V83" s="46"/>
      <c r="W83" s="43" t="s">
        <v>51</v>
      </c>
      <c r="X83" s="44" t="s">
        <v>52</v>
      </c>
      <c r="Y83" s="44" t="s">
        <v>53</v>
      </c>
      <c r="Z83" s="44" t="s">
        <v>54</v>
      </c>
      <c r="AA83" s="44" t="s">
        <v>55</v>
      </c>
      <c r="AB83" s="43"/>
      <c r="AC83" s="46"/>
      <c r="AD83" s="43" t="s">
        <v>51</v>
      </c>
      <c r="AE83" s="44" t="s">
        <v>52</v>
      </c>
      <c r="AF83" s="44" t="s">
        <v>53</v>
      </c>
      <c r="AG83" s="44" t="s">
        <v>54</v>
      </c>
      <c r="AH83" s="44" t="s">
        <v>55</v>
      </c>
      <c r="AI83" s="43"/>
      <c r="AJ83" s="46"/>
      <c r="AK83" s="43" t="s">
        <v>51</v>
      </c>
      <c r="AL83" s="44" t="s">
        <v>52</v>
      </c>
      <c r="AM83" s="44" t="s">
        <v>53</v>
      </c>
      <c r="AN83" s="44" t="s">
        <v>54</v>
      </c>
      <c r="AO83" s="44" t="s">
        <v>55</v>
      </c>
      <c r="AP83" s="43"/>
    </row>
    <row r="84" spans="1:42" ht="17.399999999999999" x14ac:dyDescent="0.45">
      <c r="A84" s="47"/>
      <c r="B84" s="43" t="s">
        <v>63</v>
      </c>
      <c r="C84" s="44">
        <f>B54+B65+C76</f>
        <v>9</v>
      </c>
      <c r="D84" s="44">
        <f>B52+B63+C74</f>
        <v>9</v>
      </c>
      <c r="E84" s="44">
        <f>C52+C63+B74</f>
        <v>2</v>
      </c>
      <c r="F84" s="44">
        <f>D84-E84</f>
        <v>7</v>
      </c>
      <c r="G84" s="43"/>
      <c r="H84" s="47"/>
      <c r="I84" s="43" t="s">
        <v>65</v>
      </c>
      <c r="J84" s="44">
        <f>I54+I65+J76</f>
        <v>7</v>
      </c>
      <c r="K84" s="44">
        <f>I52+I63+J74</f>
        <v>7</v>
      </c>
      <c r="L84" s="44">
        <f>J52+J63+I74</f>
        <v>1</v>
      </c>
      <c r="M84" s="44">
        <f>K84-L84</f>
        <v>6</v>
      </c>
      <c r="N84" s="43"/>
      <c r="O84" s="48"/>
      <c r="P84" s="43" t="s">
        <v>67</v>
      </c>
      <c r="Q84" s="44">
        <f>P54+P65+Q76</f>
        <v>9</v>
      </c>
      <c r="R84" s="44">
        <f>P52+P63+Q74</f>
        <v>9</v>
      </c>
      <c r="S84" s="44">
        <f>Q52+Q63+P74</f>
        <v>3</v>
      </c>
      <c r="T84" s="44">
        <f>R84-S84</f>
        <v>6</v>
      </c>
      <c r="U84" s="43"/>
      <c r="V84" s="48"/>
      <c r="W84" s="43" t="s">
        <v>69</v>
      </c>
      <c r="X84" s="44">
        <f>W54+W65+X76</f>
        <v>9</v>
      </c>
      <c r="Y84" s="44">
        <f>W52+W63+X74</f>
        <v>7</v>
      </c>
      <c r="Z84" s="44">
        <f>X52+X63+W74</f>
        <v>1</v>
      </c>
      <c r="AA84" s="44">
        <f>Y84-Z84</f>
        <v>6</v>
      </c>
      <c r="AB84" s="43"/>
      <c r="AC84" s="48"/>
      <c r="AD84" s="43" t="s">
        <v>71</v>
      </c>
      <c r="AE84" s="44">
        <f>AD54+AD65+AE76</f>
        <v>7</v>
      </c>
      <c r="AF84" s="44">
        <f>AD52+AD63+AE74</f>
        <v>5</v>
      </c>
      <c r="AG84" s="44">
        <f>AE52+AE63+AD74</f>
        <v>1</v>
      </c>
      <c r="AH84" s="44">
        <f>AF84-AG84</f>
        <v>4</v>
      </c>
      <c r="AI84" s="43"/>
      <c r="AJ84" s="43"/>
      <c r="AK84" s="43" t="s">
        <v>73</v>
      </c>
      <c r="AL84" s="44">
        <f>AK54+AK65+AL76</f>
        <v>7</v>
      </c>
      <c r="AM84" s="44">
        <f>AK52+AK63+AL74</f>
        <v>5</v>
      </c>
      <c r="AN84" s="44">
        <f>AL52+AL63+AK74</f>
        <v>2</v>
      </c>
      <c r="AO84" s="44">
        <f>AM84-AN84</f>
        <v>3</v>
      </c>
      <c r="AP84" s="43"/>
    </row>
    <row r="85" spans="1:42" ht="17.399999999999999" x14ac:dyDescent="0.45">
      <c r="A85" s="47"/>
      <c r="B85" s="43" t="s">
        <v>64</v>
      </c>
      <c r="C85" s="44">
        <f>C54+C70+B81</f>
        <v>4</v>
      </c>
      <c r="D85" s="44">
        <f>C52+C68+B79</f>
        <v>4</v>
      </c>
      <c r="E85" s="44">
        <f>B52+B68+C79</f>
        <v>4</v>
      </c>
      <c r="F85" s="44">
        <f>D85-E85</f>
        <v>0</v>
      </c>
      <c r="G85" s="43"/>
      <c r="H85" s="47"/>
      <c r="I85" s="43" t="s">
        <v>66</v>
      </c>
      <c r="J85" s="44">
        <f>J54+J70+I81</f>
        <v>1</v>
      </c>
      <c r="K85" s="44">
        <f>J52+J68+I79</f>
        <v>1</v>
      </c>
      <c r="L85" s="44">
        <f>I52+I68+J79</f>
        <v>6</v>
      </c>
      <c r="M85" s="44">
        <f>K85-L85</f>
        <v>-5</v>
      </c>
      <c r="N85" s="43"/>
      <c r="O85" s="48"/>
      <c r="P85" s="43" t="s">
        <v>68</v>
      </c>
      <c r="Q85" s="44">
        <f>Q54+Q70+P81</f>
        <v>4</v>
      </c>
      <c r="R85" s="44">
        <f>Q52+Q68+P79</f>
        <v>4</v>
      </c>
      <c r="S85" s="44">
        <f>P52+P68+Q79</f>
        <v>3</v>
      </c>
      <c r="T85" s="44">
        <f>R85-S85</f>
        <v>1</v>
      </c>
      <c r="U85" s="43"/>
      <c r="V85" s="48"/>
      <c r="W85" s="43" t="s">
        <v>70</v>
      </c>
      <c r="X85" s="44">
        <f>X54+X70+W81</f>
        <v>4</v>
      </c>
      <c r="Y85" s="44">
        <f>X52+X68+W79</f>
        <v>2</v>
      </c>
      <c r="Z85" s="44">
        <f>W52+W68+X79</f>
        <v>3</v>
      </c>
      <c r="AA85" s="44">
        <f>Y85-Z85</f>
        <v>-1</v>
      </c>
      <c r="AB85" s="43"/>
      <c r="AC85" s="48"/>
      <c r="AD85" s="43" t="s">
        <v>72</v>
      </c>
      <c r="AE85" s="44">
        <f>AE54+AE70+AD81</f>
        <v>1</v>
      </c>
      <c r="AF85" s="44">
        <f>AE52+AE68+AD79</f>
        <v>1</v>
      </c>
      <c r="AG85" s="44">
        <f>AD52+AD68+AE79</f>
        <v>5</v>
      </c>
      <c r="AH85" s="44">
        <f>AF85-AG85</f>
        <v>-4</v>
      </c>
      <c r="AI85" s="43"/>
      <c r="AJ85" s="43"/>
      <c r="AK85" s="43" t="s">
        <v>74</v>
      </c>
      <c r="AL85" s="44">
        <f>AL54+AL70+AK81</f>
        <v>4</v>
      </c>
      <c r="AM85" s="44">
        <f>AL52+AL68+AK79</f>
        <v>4</v>
      </c>
      <c r="AN85" s="44">
        <f>AK52+AK68+AL79</f>
        <v>3</v>
      </c>
      <c r="AO85" s="44">
        <f>AM85-AN85</f>
        <v>1</v>
      </c>
      <c r="AP85" s="43"/>
    </row>
    <row r="86" spans="1:42" ht="17.399999999999999" x14ac:dyDescent="0.45">
      <c r="A86" s="49"/>
      <c r="B86" s="43" t="s">
        <v>75</v>
      </c>
      <c r="C86" s="44">
        <f>B59+C65+C81</f>
        <v>4</v>
      </c>
      <c r="D86" s="44">
        <f>B57+C63+C79</f>
        <v>3</v>
      </c>
      <c r="E86" s="44">
        <f>C57+B63+B79</f>
        <v>3</v>
      </c>
      <c r="F86" s="44">
        <f>D86-E86</f>
        <v>0</v>
      </c>
      <c r="G86" s="43"/>
      <c r="H86" s="49"/>
      <c r="I86" s="43" t="s">
        <v>77</v>
      </c>
      <c r="J86" s="44">
        <f>I59+J65+J81</f>
        <v>1</v>
      </c>
      <c r="K86" s="44">
        <f>I57+J63+J79</f>
        <v>1</v>
      </c>
      <c r="L86" s="44">
        <f>J57+I63+I79</f>
        <v>6</v>
      </c>
      <c r="M86" s="44">
        <f>K86-L86</f>
        <v>-5</v>
      </c>
      <c r="N86" s="43"/>
      <c r="O86" s="48"/>
      <c r="P86" s="43" t="s">
        <v>79</v>
      </c>
      <c r="Q86" s="44">
        <f>P59+Q65+Q81</f>
        <v>0</v>
      </c>
      <c r="R86" s="44">
        <f>P57+Q63+Q79</f>
        <v>0</v>
      </c>
      <c r="S86" s="44">
        <f>Q57+P63+P79</f>
        <v>7</v>
      </c>
      <c r="T86" s="44">
        <f>R86-S86</f>
        <v>-7</v>
      </c>
      <c r="U86" s="43"/>
      <c r="V86" s="48"/>
      <c r="W86" s="43" t="s">
        <v>81</v>
      </c>
      <c r="X86" s="44">
        <f>W59+X65+X81</f>
        <v>4</v>
      </c>
      <c r="Y86" s="44">
        <f>W57+X63+X79</f>
        <v>4</v>
      </c>
      <c r="Z86" s="44">
        <f>X57+W63+W79</f>
        <v>3</v>
      </c>
      <c r="AA86" s="44">
        <f>Y86-Z86</f>
        <v>1</v>
      </c>
      <c r="AB86" s="43"/>
      <c r="AC86" s="48"/>
      <c r="AD86" s="43" t="s">
        <v>83</v>
      </c>
      <c r="AE86" s="44">
        <f>AD59+AE65+AE81</f>
        <v>1</v>
      </c>
      <c r="AF86" s="44">
        <f>AD57+AE63+AE79</f>
        <v>1</v>
      </c>
      <c r="AG86" s="44">
        <f>AE57+AD63+AD79</f>
        <v>5</v>
      </c>
      <c r="AH86" s="44">
        <f>AF86-AG86</f>
        <v>-4</v>
      </c>
      <c r="AI86" s="43"/>
      <c r="AJ86" s="43"/>
      <c r="AK86" s="43" t="s">
        <v>85</v>
      </c>
      <c r="AL86" s="44">
        <f>AK59+AL65+AL81</f>
        <v>4</v>
      </c>
      <c r="AM86" s="44">
        <f>AK57+AL63+AL79</f>
        <v>2</v>
      </c>
      <c r="AN86" s="44">
        <f>AL57+AK63+AK79</f>
        <v>3</v>
      </c>
      <c r="AO86" s="44">
        <f>AM86-AN86</f>
        <v>-1</v>
      </c>
      <c r="AP86" s="43"/>
    </row>
    <row r="87" spans="1:42" ht="17.399999999999999" x14ac:dyDescent="0.45">
      <c r="A87" s="50"/>
      <c r="B87" s="43" t="s">
        <v>76</v>
      </c>
      <c r="C87" s="44">
        <f>C59+B70+B76</f>
        <v>0</v>
      </c>
      <c r="D87" s="44">
        <f>C57+B68+B74</f>
        <v>1</v>
      </c>
      <c r="E87" s="44">
        <f>B57+C68+C74</f>
        <v>8</v>
      </c>
      <c r="F87" s="44">
        <f>D87-E87</f>
        <v>-7</v>
      </c>
      <c r="G87" s="43"/>
      <c r="H87" s="50"/>
      <c r="I87" s="43" t="s">
        <v>78</v>
      </c>
      <c r="J87" s="44">
        <f>J59+I70+I76</f>
        <v>7</v>
      </c>
      <c r="K87" s="44">
        <f>J57+I68+I74</f>
        <v>5</v>
      </c>
      <c r="L87" s="44">
        <f>I57+J68+J74</f>
        <v>1</v>
      </c>
      <c r="M87" s="44">
        <f>K87-L87</f>
        <v>4</v>
      </c>
      <c r="N87" s="43"/>
      <c r="O87" s="48"/>
      <c r="P87" s="43" t="s">
        <v>80</v>
      </c>
      <c r="Q87" s="44">
        <f>Q59+P70+P76</f>
        <v>4</v>
      </c>
      <c r="R87" s="44">
        <f>Q57+P68+P74</f>
        <v>5</v>
      </c>
      <c r="S87" s="44">
        <f>P57+Q68+Q74</f>
        <v>5</v>
      </c>
      <c r="T87" s="44">
        <f>R87-S87</f>
        <v>0</v>
      </c>
      <c r="U87" s="43"/>
      <c r="V87" s="48"/>
      <c r="W87" s="43" t="s">
        <v>82</v>
      </c>
      <c r="X87" s="44">
        <f>X59+W70+W76</f>
        <v>0</v>
      </c>
      <c r="Y87" s="44">
        <f>X57+W68+W74</f>
        <v>0</v>
      </c>
      <c r="Z87" s="44">
        <f>W57+X68+X74</f>
        <v>6</v>
      </c>
      <c r="AA87" s="44">
        <f>Y87-Z87</f>
        <v>-6</v>
      </c>
      <c r="AB87" s="43"/>
      <c r="AC87" s="48"/>
      <c r="AD87" s="43" t="s">
        <v>84</v>
      </c>
      <c r="AE87" s="44">
        <f>AE59+AD70+AD76</f>
        <v>7</v>
      </c>
      <c r="AF87" s="44">
        <f>AE57+AD68+AD74</f>
        <v>5</v>
      </c>
      <c r="AG87" s="44">
        <f>AD57+AE68+AE74</f>
        <v>1</v>
      </c>
      <c r="AH87" s="44">
        <f>AF87-AG87</f>
        <v>4</v>
      </c>
      <c r="AI87" s="43"/>
      <c r="AJ87" s="43"/>
      <c r="AK87" s="43" t="s">
        <v>86</v>
      </c>
      <c r="AL87" s="44">
        <f>AL59+AK70+AK76</f>
        <v>1</v>
      </c>
      <c r="AM87" s="44">
        <f>AL57+AK68+AK74</f>
        <v>1</v>
      </c>
      <c r="AN87" s="44">
        <f>AK57+AL68+AL74</f>
        <v>4</v>
      </c>
      <c r="AO87" s="44">
        <f>AM87-AN87</f>
        <v>-3</v>
      </c>
      <c r="AP87" s="43"/>
    </row>
    <row r="88" spans="1:42" ht="17.399999999999999" x14ac:dyDescent="0.45">
      <c r="A88" s="43"/>
      <c r="B88" s="43"/>
      <c r="C88" s="44"/>
      <c r="D88" s="43"/>
      <c r="E88" s="43"/>
      <c r="F88" s="43"/>
      <c r="G88" s="43"/>
      <c r="H88" s="43"/>
      <c r="I88" s="43"/>
      <c r="J88" s="43"/>
      <c r="K88" s="44"/>
      <c r="L88" s="44"/>
      <c r="M88" s="44"/>
      <c r="N88" s="43"/>
      <c r="O88" s="43"/>
      <c r="P88" s="43"/>
      <c r="Q88" s="43"/>
      <c r="R88" s="44"/>
      <c r="S88" s="44"/>
      <c r="T88" s="44"/>
      <c r="U88" s="43"/>
      <c r="V88" s="43"/>
      <c r="W88" s="43"/>
      <c r="X88" s="43"/>
      <c r="Y88" s="44"/>
      <c r="Z88" s="44"/>
      <c r="AA88" s="44"/>
      <c r="AB88" s="43"/>
      <c r="AC88" s="43"/>
      <c r="AD88" s="43"/>
      <c r="AE88" s="43"/>
      <c r="AF88" s="43"/>
      <c r="AG88" s="43"/>
      <c r="AH88" s="43"/>
      <c r="AI88" s="43"/>
      <c r="AJ88" s="43"/>
      <c r="AK88" s="43"/>
      <c r="AL88" s="43"/>
      <c r="AM88" s="43"/>
      <c r="AN88" s="43"/>
      <c r="AO88" s="43"/>
      <c r="AP88" s="43"/>
    </row>
    <row r="89" spans="1:42" ht="17.399999999999999" x14ac:dyDescent="0.45">
      <c r="A89" s="43"/>
      <c r="B89" s="85" t="s">
        <v>56</v>
      </c>
      <c r="C89" s="86"/>
      <c r="D89" s="43"/>
      <c r="E89" s="43"/>
      <c r="F89" s="43"/>
      <c r="G89" s="43"/>
      <c r="H89" s="43"/>
      <c r="I89" s="85" t="s">
        <v>56</v>
      </c>
      <c r="J89" s="86"/>
      <c r="K89" s="44"/>
      <c r="L89" s="44"/>
      <c r="M89" s="44"/>
      <c r="N89" s="43"/>
      <c r="O89" s="43"/>
      <c r="P89" s="85" t="s">
        <v>56</v>
      </c>
      <c r="Q89" s="86"/>
      <c r="R89" s="44"/>
      <c r="S89" s="44"/>
      <c r="T89" s="44"/>
      <c r="U89" s="43"/>
      <c r="V89" s="43"/>
      <c r="W89" s="85" t="s">
        <v>56</v>
      </c>
      <c r="X89" s="86"/>
      <c r="Y89" s="44"/>
      <c r="Z89" s="44"/>
      <c r="AA89" s="44"/>
      <c r="AB89" s="43"/>
      <c r="AC89" s="43"/>
      <c r="AD89" s="85" t="s">
        <v>56</v>
      </c>
      <c r="AE89" s="86"/>
      <c r="AF89" s="43"/>
      <c r="AG89" s="43"/>
      <c r="AH89" s="43"/>
      <c r="AI89" s="43"/>
      <c r="AJ89" s="43"/>
      <c r="AK89" s="85" t="s">
        <v>56</v>
      </c>
      <c r="AL89" s="86"/>
      <c r="AM89" s="43"/>
      <c r="AN89" s="43"/>
      <c r="AO89" s="43"/>
      <c r="AP89" s="43"/>
    </row>
    <row r="90" spans="1:42" ht="17.399999999999999" x14ac:dyDescent="0.45">
      <c r="A90" s="51">
        <v>1</v>
      </c>
      <c r="B90" s="43" t="str" cm="1">
        <f t="array" ref="B90:B93">_xlfn.SORTBY(B84:B87,C84:C87,-1,F84:F87,-1,D84:D87,-1)</f>
        <v>Belgien</v>
      </c>
      <c r="C90" s="44" cm="1">
        <f t="array" ref="C90:C93">_xlfn.SORTBY(C84:C87,C84:C87,-1,F84:F87,-1,D84:D87,-1)</f>
        <v>9</v>
      </c>
      <c r="D90" s="44" cm="1">
        <f t="array" ref="D90:D93">_xlfn.SORTBY(D84:D87,C84:C87,-1,F84:F87,-1,D84:D87,-1)</f>
        <v>9</v>
      </c>
      <c r="E90" s="44" cm="1">
        <f t="array" ref="E90:E93">_xlfn.SORTBY(E84:E87,C84:C87,-1,F84:F87,-1,D84:D87,-1)</f>
        <v>2</v>
      </c>
      <c r="F90" s="44" cm="1">
        <f t="array" ref="F90:F93">_xlfn.SORTBY(F84:F87,C84:C87,-1,F84:F87,-1,D84:D87,-1)</f>
        <v>7</v>
      </c>
      <c r="G90" s="43"/>
      <c r="H90" s="51">
        <v>1</v>
      </c>
      <c r="I90" s="43" t="str" cm="1">
        <f t="array" ref="I90:I93">_xlfn.SORTBY(I84:I87,J84:J87,-1,M84:M87,-1,K84:K87,-1)</f>
        <v>Spanien</v>
      </c>
      <c r="J90" s="44" cm="1">
        <f t="array" ref="J90:J93">_xlfn.SORTBY(J84:J87,J84:J87,-1,M84:M87,-1,K84:K87,-1)</f>
        <v>7</v>
      </c>
      <c r="K90" s="44" cm="1">
        <f t="array" ref="K90:K93">_xlfn.SORTBY(K84:K87,J84:J87,-1,M84:M87,-1,K84:K87,-1)</f>
        <v>7</v>
      </c>
      <c r="L90" s="44" cm="1">
        <f t="array" ref="L90:L93">_xlfn.SORTBY(L84:L87,J84:J87,-1,M84:M87,-1,K84:K87,-1)</f>
        <v>1</v>
      </c>
      <c r="M90" s="44" cm="1">
        <f t="array" ref="M90:M93">_xlfn.SORTBY(M84:M87,J84:J87,-1,M84:M87,-1,K84:K87,-1)</f>
        <v>6</v>
      </c>
      <c r="N90" s="43"/>
      <c r="O90" s="51">
        <v>1</v>
      </c>
      <c r="P90" s="43" t="str" cm="1">
        <f t="array" ref="P90:P93">_xlfn.SORTBY(P84:P87,Q84:Q87,-1,T84:T87,-1,R84:R87,-1)</f>
        <v>Frankreich</v>
      </c>
      <c r="Q90" s="44" cm="1">
        <f t="array" ref="Q90:Q93">_xlfn.SORTBY(Q84:Q87,Q84:Q87,-1,T84:T87,-1,R84:R87,-1)</f>
        <v>9</v>
      </c>
      <c r="R90" s="44" cm="1">
        <f t="array" ref="R90:R93">_xlfn.SORTBY(R84:R87,Q84:Q87,-1,T84:T87,-1,R84:R87,-1)</f>
        <v>9</v>
      </c>
      <c r="S90" s="44" cm="1">
        <f t="array" ref="S90:S93">_xlfn.SORTBY(S84:S87,Q84:Q87,-1,T84:T87,-1,R84:R87,-1)</f>
        <v>3</v>
      </c>
      <c r="T90" s="44" cm="1">
        <f t="array" ref="T90:T93">_xlfn.SORTBY(T84:T87,Q84:Q87,-1,T84:T87,-1,R84:R87,-1)</f>
        <v>6</v>
      </c>
      <c r="U90" s="43"/>
      <c r="V90" s="51">
        <v>1</v>
      </c>
      <c r="W90" s="43" t="str" cm="1">
        <f t="array" ref="W90:W93">_xlfn.SORTBY(W84:W87,X84:X87,-1,AA84:AA87,-1,Y84:Y87,-1)</f>
        <v>Argentinien</v>
      </c>
      <c r="X90" s="44" cm="1">
        <f t="array" ref="X90:X93">_xlfn.SORTBY(X84:X87,X84:X87,-1,AA84:AA87,-1,Y84:Y87,-1)</f>
        <v>9</v>
      </c>
      <c r="Y90" s="44" cm="1">
        <f t="array" ref="Y90:Y93">_xlfn.SORTBY(Y84:Y87,X84:X87,-1,AA84:AA87,-1,Y84:Y87,-1)</f>
        <v>7</v>
      </c>
      <c r="Z90" s="44" cm="1">
        <f t="array" ref="Z90:Z93">_xlfn.SORTBY(Z84:Z87,X84:X87,-1,AA84:AA87,-1,Y84:Y87,-1)</f>
        <v>1</v>
      </c>
      <c r="AA90" s="44" cm="1">
        <f t="array" ref="AA90:AA93">_xlfn.SORTBY(AA84:AA87,X84:X87,-1,AA84:AA87,-1,Y84:Y87,-1)</f>
        <v>6</v>
      </c>
      <c r="AB90" s="43"/>
      <c r="AC90" s="51">
        <v>1</v>
      </c>
      <c r="AD90" s="43" t="str" cm="1">
        <f t="array" ref="AD90:AD93">_xlfn.SORTBY(AD84:AD87,AE84:AE87,-1,AH84:AH87,-1,AF84:AF87,-1)</f>
        <v>Portugal</v>
      </c>
      <c r="AE90" s="44" cm="1">
        <f t="array" ref="AE90:AE93">_xlfn.SORTBY(AE84:AE87,AE84:AE87,-1,AH84:AH87,-1,AF84:AF87,-1)</f>
        <v>7</v>
      </c>
      <c r="AF90" s="44" cm="1">
        <f t="array" ref="AF90:AF93">_xlfn.SORTBY(AF84:AF87,AE84:AE87,-1,AH84:AH87,-1,AF84:AF87,-1)</f>
        <v>5</v>
      </c>
      <c r="AG90" s="44" cm="1">
        <f t="array" ref="AG90:AG93">_xlfn.SORTBY(AG84:AG87,AE84:AE87,-1,AH84:AH87,-1,AF84:AF87,-1)</f>
        <v>1</v>
      </c>
      <c r="AH90" s="44" cm="1">
        <f t="array" ref="AH90:AH93">_xlfn.SORTBY(AH84:AH87,AE84:AE87,-1,AH84:AH87,-1,AF84:AF87,-1)</f>
        <v>4</v>
      </c>
      <c r="AI90" s="43"/>
      <c r="AJ90" s="51">
        <v>1</v>
      </c>
      <c r="AK90" s="43" t="str" cm="1">
        <f t="array" ref="AK90:AK93">_xlfn.SORTBY(AK84:AK87,AL84:AL87,-1,AO84:AO87,-1,AM84:AM87,-1)</f>
        <v>England</v>
      </c>
      <c r="AL90" s="44" cm="1">
        <f t="array" ref="AL90:AL93">_xlfn.SORTBY(AL84:AL87,AL84:AL87,-1,AO84:AO87,-1,AM84:AM87,-1)</f>
        <v>7</v>
      </c>
      <c r="AM90" s="44" cm="1">
        <f t="array" ref="AM90:AM93">_xlfn.SORTBY(AM84:AM87,AL84:AL87,-1,AO84:AO87,-1,AM84:AM87,-1)</f>
        <v>5</v>
      </c>
      <c r="AN90" s="44" cm="1">
        <f t="array" ref="AN90:AN93">_xlfn.SORTBY(AN84:AN87,AL84:AL87,-1,AO84:AO87,-1,AM84:AM87,-1)</f>
        <v>2</v>
      </c>
      <c r="AO90" s="44" cm="1">
        <f t="array" ref="AO90:AO93">_xlfn.SORTBY(AO84:AO87,AL84:AL87,-1,AO84:AO87,-1,AM84:AM87,-1)</f>
        <v>3</v>
      </c>
      <c r="AP90" s="43"/>
    </row>
    <row r="91" spans="1:42" ht="17.399999999999999" x14ac:dyDescent="0.45">
      <c r="A91" s="51">
        <v>2</v>
      </c>
      <c r="B91" s="43" t="str">
        <v>Ägypten</v>
      </c>
      <c r="C91" s="44">
        <v>4</v>
      </c>
      <c r="D91" s="44">
        <v>4</v>
      </c>
      <c r="E91" s="44">
        <v>4</v>
      </c>
      <c r="F91" s="44">
        <v>0</v>
      </c>
      <c r="G91" s="43"/>
      <c r="H91" s="51">
        <v>2</v>
      </c>
      <c r="I91" s="43" t="str">
        <v>Uruguay</v>
      </c>
      <c r="J91" s="44">
        <v>7</v>
      </c>
      <c r="K91" s="44">
        <v>5</v>
      </c>
      <c r="L91" s="44">
        <v>1</v>
      </c>
      <c r="M91" s="44">
        <v>4</v>
      </c>
      <c r="N91" s="43"/>
      <c r="O91" s="51">
        <v>2</v>
      </c>
      <c r="P91" s="43" t="str">
        <v>Senegal</v>
      </c>
      <c r="Q91" s="44">
        <v>4</v>
      </c>
      <c r="R91" s="44">
        <v>4</v>
      </c>
      <c r="S91" s="44">
        <v>3</v>
      </c>
      <c r="T91" s="44">
        <v>1</v>
      </c>
      <c r="U91" s="43"/>
      <c r="V91" s="51">
        <v>2</v>
      </c>
      <c r="W91" s="43" t="str">
        <v>Österreich</v>
      </c>
      <c r="X91" s="44">
        <v>4</v>
      </c>
      <c r="Y91" s="44">
        <v>4</v>
      </c>
      <c r="Z91" s="44">
        <v>3</v>
      </c>
      <c r="AA91" s="44">
        <v>1</v>
      </c>
      <c r="AB91" s="43"/>
      <c r="AC91" s="51">
        <v>2</v>
      </c>
      <c r="AD91" s="43" t="str">
        <v>Kolumbien</v>
      </c>
      <c r="AE91" s="44">
        <v>7</v>
      </c>
      <c r="AF91" s="44">
        <v>5</v>
      </c>
      <c r="AG91" s="44">
        <v>1</v>
      </c>
      <c r="AH91" s="44">
        <v>4</v>
      </c>
      <c r="AI91" s="43"/>
      <c r="AJ91" s="51">
        <v>2</v>
      </c>
      <c r="AK91" s="43" t="str">
        <v>Kroatien</v>
      </c>
      <c r="AL91" s="44">
        <v>4</v>
      </c>
      <c r="AM91" s="44">
        <v>4</v>
      </c>
      <c r="AN91" s="44">
        <v>3</v>
      </c>
      <c r="AO91" s="44">
        <v>1</v>
      </c>
      <c r="AP91" s="43"/>
    </row>
    <row r="92" spans="1:42" ht="17.399999999999999" x14ac:dyDescent="0.45">
      <c r="A92" s="52">
        <v>3</v>
      </c>
      <c r="B92" s="43" t="str">
        <v>Iran</v>
      </c>
      <c r="C92" s="44">
        <v>4</v>
      </c>
      <c r="D92" s="44">
        <v>3</v>
      </c>
      <c r="E92" s="44">
        <v>3</v>
      </c>
      <c r="F92" s="44">
        <v>0</v>
      </c>
      <c r="G92" s="43"/>
      <c r="H92" s="52">
        <v>3</v>
      </c>
      <c r="I92" s="43" t="str">
        <v>Kap Verde</v>
      </c>
      <c r="J92" s="44">
        <v>1</v>
      </c>
      <c r="K92" s="44">
        <v>1</v>
      </c>
      <c r="L92" s="44">
        <v>6</v>
      </c>
      <c r="M92" s="44">
        <v>-5</v>
      </c>
      <c r="N92" s="43"/>
      <c r="O92" s="52">
        <v>3</v>
      </c>
      <c r="P92" s="43" t="str">
        <v>Norwegen</v>
      </c>
      <c r="Q92" s="44">
        <v>4</v>
      </c>
      <c r="R92" s="44">
        <v>5</v>
      </c>
      <c r="S92" s="44">
        <v>5</v>
      </c>
      <c r="T92" s="44">
        <v>0</v>
      </c>
      <c r="U92" s="43"/>
      <c r="V92" s="52">
        <v>3</v>
      </c>
      <c r="W92" s="43" t="str">
        <v>Algerien</v>
      </c>
      <c r="X92" s="44">
        <v>4</v>
      </c>
      <c r="Y92" s="44">
        <v>2</v>
      </c>
      <c r="Z92" s="44">
        <v>3</v>
      </c>
      <c r="AA92" s="44">
        <v>-1</v>
      </c>
      <c r="AB92" s="43"/>
      <c r="AC92" s="52">
        <v>3</v>
      </c>
      <c r="AD92" s="43" t="str">
        <v>DR Kongo</v>
      </c>
      <c r="AE92" s="44">
        <v>1</v>
      </c>
      <c r="AF92" s="44">
        <v>1</v>
      </c>
      <c r="AG92" s="44">
        <v>5</v>
      </c>
      <c r="AH92" s="44">
        <v>-4</v>
      </c>
      <c r="AI92" s="43"/>
      <c r="AJ92" s="52">
        <v>3</v>
      </c>
      <c r="AK92" s="43" t="str">
        <v>Ghana</v>
      </c>
      <c r="AL92" s="44">
        <v>4</v>
      </c>
      <c r="AM92" s="44">
        <v>2</v>
      </c>
      <c r="AN92" s="44">
        <v>3</v>
      </c>
      <c r="AO92" s="44">
        <v>-1</v>
      </c>
      <c r="AP92" s="43"/>
    </row>
    <row r="93" spans="1:42" ht="17.399999999999999" x14ac:dyDescent="0.45">
      <c r="A93" s="53">
        <v>4</v>
      </c>
      <c r="B93" s="43" t="str">
        <v>Neuseeland</v>
      </c>
      <c r="C93" s="44">
        <v>0</v>
      </c>
      <c r="D93" s="44">
        <v>1</v>
      </c>
      <c r="E93" s="44">
        <v>8</v>
      </c>
      <c r="F93" s="44">
        <v>-7</v>
      </c>
      <c r="G93" s="43"/>
      <c r="H93" s="53">
        <v>4</v>
      </c>
      <c r="I93" s="43" t="str">
        <v>Saudi-Arabien</v>
      </c>
      <c r="J93" s="44">
        <v>1</v>
      </c>
      <c r="K93" s="44">
        <v>1</v>
      </c>
      <c r="L93" s="44">
        <v>6</v>
      </c>
      <c r="M93" s="44">
        <v>-5</v>
      </c>
      <c r="N93" s="43"/>
      <c r="O93" s="53">
        <v>4</v>
      </c>
      <c r="P93" s="43" t="str">
        <v>Irak</v>
      </c>
      <c r="Q93" s="44">
        <v>0</v>
      </c>
      <c r="R93" s="44">
        <v>0</v>
      </c>
      <c r="S93" s="44">
        <v>7</v>
      </c>
      <c r="T93" s="44">
        <v>-7</v>
      </c>
      <c r="U93" s="43"/>
      <c r="V93" s="53">
        <v>4</v>
      </c>
      <c r="W93" s="43" t="str">
        <v>Jordanien</v>
      </c>
      <c r="X93" s="44">
        <v>0</v>
      </c>
      <c r="Y93" s="44">
        <v>0</v>
      </c>
      <c r="Z93" s="44">
        <v>6</v>
      </c>
      <c r="AA93" s="44">
        <v>-6</v>
      </c>
      <c r="AB93" s="43"/>
      <c r="AC93" s="53">
        <v>4</v>
      </c>
      <c r="AD93" s="43" t="str">
        <v>Usbekistan</v>
      </c>
      <c r="AE93" s="44">
        <v>1</v>
      </c>
      <c r="AF93" s="44">
        <v>1</v>
      </c>
      <c r="AG93" s="44">
        <v>5</v>
      </c>
      <c r="AH93" s="44">
        <v>-4</v>
      </c>
      <c r="AI93" s="43"/>
      <c r="AJ93" s="53">
        <v>4</v>
      </c>
      <c r="AK93" s="43" t="str">
        <v>Panama</v>
      </c>
      <c r="AL93" s="44">
        <v>1</v>
      </c>
      <c r="AM93" s="44">
        <v>1</v>
      </c>
      <c r="AN93" s="44">
        <v>4</v>
      </c>
      <c r="AO93" s="44">
        <v>-3</v>
      </c>
      <c r="AP93" s="43"/>
    </row>
    <row r="94" spans="1:42" ht="17.399999999999999" x14ac:dyDescent="0.45">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row>
    <row r="95" spans="1:42" ht="30" x14ac:dyDescent="0.7">
      <c r="A95" s="43"/>
      <c r="B95" s="43"/>
      <c r="C95" s="43"/>
      <c r="D95" s="43"/>
      <c r="E95" s="43"/>
      <c r="F95" s="43"/>
      <c r="G95" s="43"/>
      <c r="H95" s="43"/>
      <c r="I95" s="43"/>
      <c r="J95" s="43"/>
      <c r="K95" s="43"/>
      <c r="L95" s="43"/>
      <c r="M95" s="43"/>
      <c r="N95" s="43"/>
      <c r="O95" s="43"/>
      <c r="P95" s="43"/>
      <c r="Q95" s="43"/>
      <c r="R95" s="42"/>
      <c r="S95" s="42"/>
      <c r="T95" s="42"/>
      <c r="U95" s="42" t="s">
        <v>87</v>
      </c>
      <c r="V95" s="42"/>
      <c r="W95" s="42"/>
      <c r="X95" s="43"/>
      <c r="Y95" s="43"/>
      <c r="Z95" s="43"/>
      <c r="AA95" s="43"/>
      <c r="AB95" s="43"/>
      <c r="AC95" s="43"/>
      <c r="AD95" s="43"/>
      <c r="AE95" s="43"/>
      <c r="AF95" s="43"/>
      <c r="AG95" s="43"/>
      <c r="AH95" s="43"/>
      <c r="AI95" s="43"/>
      <c r="AJ95" s="43"/>
      <c r="AK95" s="43"/>
      <c r="AL95" s="43"/>
      <c r="AM95" s="43"/>
      <c r="AN95" s="43"/>
      <c r="AO95" s="43"/>
      <c r="AP95" s="43"/>
    </row>
    <row r="96" spans="1:42" ht="30" x14ac:dyDescent="0.7">
      <c r="A96" s="43"/>
      <c r="B96" s="43"/>
      <c r="C96" s="43"/>
      <c r="D96" s="43"/>
      <c r="E96" s="43"/>
      <c r="F96" s="43"/>
      <c r="G96" s="43"/>
      <c r="H96" s="43"/>
      <c r="I96" s="43"/>
      <c r="J96" s="43"/>
      <c r="K96" s="43"/>
      <c r="L96" s="43"/>
      <c r="M96" s="43"/>
      <c r="N96" s="43"/>
      <c r="O96" s="43"/>
      <c r="P96" s="43"/>
      <c r="Q96" s="42"/>
      <c r="R96" s="42"/>
      <c r="S96" s="42"/>
      <c r="T96" s="42"/>
      <c r="U96" s="42"/>
      <c r="V96" s="42"/>
      <c r="W96" s="42"/>
      <c r="X96" s="43"/>
      <c r="Y96" s="43"/>
      <c r="Z96" s="43"/>
      <c r="AA96" s="43"/>
      <c r="AB96" s="43"/>
      <c r="AC96" s="43"/>
      <c r="AD96" s="43"/>
      <c r="AE96" s="43"/>
      <c r="AF96" s="43"/>
      <c r="AG96" s="43"/>
      <c r="AH96" s="43"/>
      <c r="AI96" s="43"/>
      <c r="AJ96" s="43"/>
      <c r="AK96" s="43"/>
      <c r="AL96" s="43"/>
      <c r="AM96" s="43"/>
      <c r="AN96" s="43"/>
      <c r="AO96" s="43"/>
      <c r="AP96" s="43"/>
    </row>
    <row r="97" spans="1:42" ht="17.399999999999999" x14ac:dyDescent="0.45">
      <c r="A97" s="43"/>
      <c r="B97" s="43"/>
      <c r="C97" s="43"/>
      <c r="D97" s="43"/>
      <c r="E97" s="43"/>
      <c r="F97" s="43"/>
      <c r="G97" s="43"/>
      <c r="H97" s="43"/>
      <c r="I97" s="43"/>
      <c r="J97" s="43"/>
      <c r="K97" s="43"/>
      <c r="L97" s="43"/>
      <c r="M97" s="43"/>
      <c r="N97" s="43"/>
      <c r="O97" s="43"/>
      <c r="P97" s="43"/>
      <c r="Q97" s="43"/>
      <c r="R97" s="90" t="s">
        <v>51</v>
      </c>
      <c r="S97" s="86"/>
      <c r="T97" s="86"/>
      <c r="U97" s="43" t="s">
        <v>52</v>
      </c>
      <c r="V97" s="43" t="s">
        <v>88</v>
      </c>
      <c r="W97" s="43" t="s">
        <v>89</v>
      </c>
      <c r="X97" s="43" t="s">
        <v>90</v>
      </c>
      <c r="Y97" s="43"/>
      <c r="Z97" s="43"/>
      <c r="AA97" s="43"/>
      <c r="AB97" s="43"/>
      <c r="AC97" s="43"/>
      <c r="AD97" s="43"/>
      <c r="AE97" s="43"/>
      <c r="AF97" s="43"/>
      <c r="AG97" s="43"/>
      <c r="AH97" s="43"/>
      <c r="AI97" s="43"/>
      <c r="AJ97" s="43"/>
      <c r="AK97" s="43"/>
      <c r="AL97" s="43"/>
      <c r="AM97" s="43"/>
      <c r="AN97" s="43"/>
      <c r="AO97" s="43"/>
      <c r="AP97" s="43"/>
    </row>
    <row r="98" spans="1:42" ht="17.399999999999999" x14ac:dyDescent="0.45">
      <c r="A98" s="43"/>
      <c r="B98" s="43"/>
      <c r="C98" s="43"/>
      <c r="D98" s="43"/>
      <c r="E98" s="43"/>
      <c r="F98" s="43"/>
      <c r="G98" s="43"/>
      <c r="H98" s="43"/>
      <c r="I98" s="43"/>
      <c r="J98" s="43"/>
      <c r="K98" s="43"/>
      <c r="L98" s="43"/>
      <c r="M98" s="43"/>
      <c r="N98" s="43"/>
      <c r="O98" s="43"/>
      <c r="P98" s="43"/>
      <c r="R98" s="90" t="str">
        <f>B92</f>
        <v>Iran</v>
      </c>
      <c r="S98" s="86"/>
      <c r="T98" s="86"/>
      <c r="U98" s="43">
        <f>C92</f>
        <v>4</v>
      </c>
      <c r="V98" s="43">
        <f>D92</f>
        <v>3</v>
      </c>
      <c r="W98" s="43">
        <f>E92</f>
        <v>3</v>
      </c>
      <c r="X98" s="43">
        <f>F92</f>
        <v>0</v>
      </c>
      <c r="Y98" s="43"/>
      <c r="Z98" s="43"/>
      <c r="AA98" s="43"/>
      <c r="AB98" s="43"/>
      <c r="AC98" s="43"/>
      <c r="AD98" s="43"/>
      <c r="AE98" s="43"/>
      <c r="AF98" s="43"/>
      <c r="AG98" s="43"/>
      <c r="AH98" s="43"/>
      <c r="AI98" s="43"/>
      <c r="AJ98" s="43"/>
      <c r="AK98" s="43"/>
      <c r="AL98" s="43"/>
      <c r="AM98" s="43"/>
      <c r="AN98" s="43"/>
      <c r="AO98" s="43"/>
      <c r="AP98" s="43"/>
    </row>
    <row r="99" spans="1:42" ht="17.399999999999999" x14ac:dyDescent="0.45">
      <c r="A99" s="43"/>
      <c r="B99" s="43"/>
      <c r="C99" s="43"/>
      <c r="D99" s="43"/>
      <c r="E99" s="43"/>
      <c r="F99" s="43"/>
      <c r="G99" s="43"/>
      <c r="H99" s="43"/>
      <c r="I99" s="43"/>
      <c r="J99" s="43"/>
      <c r="K99" s="43"/>
      <c r="L99" s="43"/>
      <c r="M99" s="43"/>
      <c r="N99" s="43"/>
      <c r="O99" s="43"/>
      <c r="P99" s="43"/>
      <c r="R99" s="90" t="str">
        <f>I92</f>
        <v>Kap Verde</v>
      </c>
      <c r="S99" s="86"/>
      <c r="T99" s="86"/>
      <c r="U99" s="43">
        <f>J92</f>
        <v>1</v>
      </c>
      <c r="V99" s="43">
        <f>K92</f>
        <v>1</v>
      </c>
      <c r="W99" s="43">
        <f>L92</f>
        <v>6</v>
      </c>
      <c r="X99" s="43">
        <f>M92</f>
        <v>-5</v>
      </c>
      <c r="Y99" s="43"/>
      <c r="Z99" s="43"/>
      <c r="AA99" s="43"/>
      <c r="AB99" s="43"/>
      <c r="AC99" s="43"/>
      <c r="AD99" s="43"/>
      <c r="AE99" s="43"/>
      <c r="AF99" s="43"/>
      <c r="AG99" s="43"/>
      <c r="AH99" s="43"/>
      <c r="AI99" s="43"/>
      <c r="AJ99" s="43"/>
      <c r="AK99" s="43"/>
      <c r="AL99" s="43"/>
      <c r="AM99" s="43"/>
      <c r="AN99" s="43"/>
      <c r="AO99" s="43"/>
      <c r="AP99" s="43"/>
    </row>
    <row r="100" spans="1:42" ht="17.399999999999999" x14ac:dyDescent="0.45">
      <c r="A100" s="43"/>
      <c r="B100" s="43"/>
      <c r="C100" s="43"/>
      <c r="D100" s="43"/>
      <c r="E100" s="43"/>
      <c r="F100" s="43"/>
      <c r="G100" s="43"/>
      <c r="H100" s="43"/>
      <c r="I100" s="43"/>
      <c r="J100" s="43"/>
      <c r="K100" s="43"/>
      <c r="L100" s="43"/>
      <c r="M100" s="43"/>
      <c r="N100" s="43"/>
      <c r="O100" s="43"/>
      <c r="P100" s="43"/>
      <c r="R100" s="90" t="str">
        <f>P92</f>
        <v>Norwegen</v>
      </c>
      <c r="S100" s="86"/>
      <c r="T100" s="86"/>
      <c r="U100" s="43">
        <f>Q92</f>
        <v>4</v>
      </c>
      <c r="V100" s="43">
        <f>R92</f>
        <v>5</v>
      </c>
      <c r="W100" s="43">
        <f>S92</f>
        <v>5</v>
      </c>
      <c r="X100" s="43">
        <f>T92</f>
        <v>0</v>
      </c>
      <c r="Y100" s="43"/>
      <c r="Z100" s="43"/>
      <c r="AA100" s="43"/>
      <c r="AB100" s="43"/>
      <c r="AC100" s="43"/>
      <c r="AD100" s="43"/>
      <c r="AE100" s="43"/>
      <c r="AF100" s="43"/>
      <c r="AG100" s="43"/>
      <c r="AH100" s="43"/>
      <c r="AI100" s="43"/>
      <c r="AJ100" s="43"/>
      <c r="AK100" s="43"/>
      <c r="AL100" s="43"/>
      <c r="AM100" s="43"/>
      <c r="AN100" s="43"/>
      <c r="AO100" s="43"/>
      <c r="AP100" s="43"/>
    </row>
    <row r="101" spans="1:42" ht="17.399999999999999" x14ac:dyDescent="0.45">
      <c r="A101" s="43"/>
      <c r="B101" s="43"/>
      <c r="C101" s="43"/>
      <c r="D101" s="43"/>
      <c r="E101" s="43"/>
      <c r="F101" s="43"/>
      <c r="G101" s="43"/>
      <c r="H101" s="43"/>
      <c r="I101" s="43"/>
      <c r="J101" s="43"/>
      <c r="K101" s="43"/>
      <c r="L101" s="43"/>
      <c r="M101" s="43"/>
      <c r="N101" s="43"/>
      <c r="O101" s="43"/>
      <c r="P101" s="43"/>
      <c r="R101" s="90" t="str">
        <f>W92</f>
        <v>Algerien</v>
      </c>
      <c r="S101" s="86"/>
      <c r="T101" s="86"/>
      <c r="U101" s="43">
        <f>X92</f>
        <v>4</v>
      </c>
      <c r="V101" s="43">
        <f>Y92</f>
        <v>2</v>
      </c>
      <c r="W101" s="43">
        <f>Z92</f>
        <v>3</v>
      </c>
      <c r="X101" s="43">
        <f>AA92</f>
        <v>-1</v>
      </c>
      <c r="Y101" s="43"/>
      <c r="Z101" s="43"/>
      <c r="AA101" s="43"/>
      <c r="AB101" s="43"/>
      <c r="AC101" s="43"/>
      <c r="AD101" s="43"/>
      <c r="AE101" s="43"/>
      <c r="AF101" s="43"/>
      <c r="AG101" s="43"/>
      <c r="AH101" s="43"/>
      <c r="AI101" s="43"/>
      <c r="AJ101" s="43"/>
      <c r="AK101" s="43"/>
      <c r="AL101" s="43"/>
      <c r="AM101" s="43"/>
      <c r="AN101" s="43"/>
      <c r="AO101" s="43"/>
      <c r="AP101" s="43"/>
    </row>
    <row r="102" spans="1:42" ht="17.399999999999999" x14ac:dyDescent="0.45">
      <c r="A102" s="43"/>
      <c r="B102" s="43"/>
      <c r="C102" s="43"/>
      <c r="D102" s="43"/>
      <c r="E102" s="43"/>
      <c r="F102" s="43"/>
      <c r="G102" s="43"/>
      <c r="H102" s="43"/>
      <c r="I102" s="43"/>
      <c r="J102" s="43"/>
      <c r="K102" s="43"/>
      <c r="L102" s="43"/>
      <c r="M102" s="43"/>
      <c r="N102" s="43"/>
      <c r="O102" s="43"/>
      <c r="P102" s="43"/>
      <c r="R102" s="90" t="str">
        <f>AD92</f>
        <v>DR Kongo</v>
      </c>
      <c r="S102" s="86"/>
      <c r="T102" s="86"/>
      <c r="U102" s="43">
        <f>AE92</f>
        <v>1</v>
      </c>
      <c r="V102" s="43">
        <f>AF92</f>
        <v>1</v>
      </c>
      <c r="W102" s="43">
        <f>AG92</f>
        <v>5</v>
      </c>
      <c r="X102" s="43">
        <f>AH92</f>
        <v>-4</v>
      </c>
      <c r="Y102" s="43"/>
      <c r="Z102" s="43"/>
      <c r="AA102" s="43"/>
      <c r="AB102" s="43"/>
      <c r="AC102" s="43"/>
      <c r="AD102" s="43"/>
      <c r="AE102" s="43"/>
      <c r="AF102" s="43"/>
      <c r="AG102" s="43"/>
      <c r="AH102" s="43"/>
      <c r="AI102" s="43"/>
      <c r="AJ102" s="43"/>
      <c r="AK102" s="43"/>
      <c r="AL102" s="43"/>
      <c r="AM102" s="43"/>
      <c r="AN102" s="43"/>
      <c r="AO102" s="43"/>
      <c r="AP102" s="43"/>
    </row>
    <row r="103" spans="1:42" ht="17.399999999999999" x14ac:dyDescent="0.45">
      <c r="A103" s="43"/>
      <c r="B103" s="43"/>
      <c r="C103" s="43"/>
      <c r="D103" s="43"/>
      <c r="E103" s="43"/>
      <c r="F103" s="43"/>
      <c r="G103" s="43"/>
      <c r="H103" s="43"/>
      <c r="I103" s="43"/>
      <c r="J103" s="43"/>
      <c r="K103" s="43"/>
      <c r="L103" s="43"/>
      <c r="M103" s="43"/>
      <c r="N103" s="43"/>
      <c r="O103" s="43"/>
      <c r="P103" s="43"/>
      <c r="R103" s="90" t="str">
        <f>AK92</f>
        <v>Ghana</v>
      </c>
      <c r="S103" s="86"/>
      <c r="T103" s="86"/>
      <c r="U103" s="43">
        <f>AL92</f>
        <v>4</v>
      </c>
      <c r="V103" s="43">
        <f>AM92</f>
        <v>2</v>
      </c>
      <c r="W103" s="43">
        <f>AN92</f>
        <v>3</v>
      </c>
      <c r="X103" s="43">
        <f>AO92</f>
        <v>-1</v>
      </c>
      <c r="Y103" s="43"/>
      <c r="Z103" s="43"/>
      <c r="AA103" s="43"/>
      <c r="AB103" s="43"/>
      <c r="AC103" s="43"/>
      <c r="AD103" s="43"/>
      <c r="AE103" s="43"/>
      <c r="AF103" s="43"/>
      <c r="AG103" s="43"/>
      <c r="AH103" s="43"/>
      <c r="AI103" s="43"/>
      <c r="AJ103" s="43"/>
      <c r="AK103" s="43"/>
      <c r="AL103" s="43"/>
      <c r="AM103" s="43"/>
      <c r="AN103" s="43"/>
      <c r="AO103" s="43"/>
      <c r="AP103" s="43"/>
    </row>
    <row r="104" spans="1:42" ht="17.399999999999999" x14ac:dyDescent="0.45">
      <c r="A104" s="43"/>
      <c r="B104" s="43"/>
      <c r="C104" s="43"/>
      <c r="D104" s="43"/>
      <c r="E104" s="43"/>
      <c r="F104" s="43"/>
      <c r="G104" s="43"/>
      <c r="H104" s="43"/>
      <c r="I104" s="43"/>
      <c r="J104" s="43"/>
      <c r="K104" s="43"/>
      <c r="L104" s="43"/>
      <c r="M104" s="43"/>
      <c r="N104" s="43"/>
      <c r="O104" s="43"/>
      <c r="P104" s="43"/>
      <c r="Q104" s="43"/>
      <c r="R104" s="90" t="str">
        <f>B45</f>
        <v>Südkorea</v>
      </c>
      <c r="S104" s="86"/>
      <c r="T104" s="86"/>
      <c r="U104" s="43">
        <f>C45</f>
        <v>4</v>
      </c>
      <c r="V104" s="43">
        <f>D45</f>
        <v>3</v>
      </c>
      <c r="W104" s="43">
        <f>E45</f>
        <v>3</v>
      </c>
      <c r="X104" s="43">
        <f>F45</f>
        <v>0</v>
      </c>
      <c r="Y104" s="43"/>
      <c r="Z104" s="43"/>
      <c r="AA104" s="43"/>
      <c r="AB104" s="43"/>
      <c r="AC104" s="43"/>
      <c r="AD104" s="43"/>
      <c r="AE104" s="43"/>
      <c r="AF104" s="43"/>
      <c r="AG104" s="43"/>
      <c r="AH104" s="43"/>
      <c r="AI104" s="43"/>
      <c r="AJ104" s="43"/>
      <c r="AK104" s="43"/>
      <c r="AL104" s="43"/>
      <c r="AM104" s="43"/>
      <c r="AN104" s="43"/>
      <c r="AO104" s="43"/>
      <c r="AP104" s="43"/>
    </row>
    <row r="105" spans="1:42" ht="17.399999999999999" x14ac:dyDescent="0.45">
      <c r="A105" s="43"/>
      <c r="B105" s="43"/>
      <c r="C105" s="43"/>
      <c r="D105" s="43"/>
      <c r="E105" s="43"/>
      <c r="F105" s="43"/>
      <c r="G105" s="43"/>
      <c r="H105" s="43"/>
      <c r="I105" s="43"/>
      <c r="J105" s="43"/>
      <c r="K105" s="43"/>
      <c r="L105" s="43"/>
      <c r="M105" s="43"/>
      <c r="N105" s="43"/>
      <c r="O105" s="43"/>
      <c r="P105" s="43"/>
      <c r="Q105" s="43"/>
      <c r="R105" s="90" t="str">
        <f>I45</f>
        <v>Katar</v>
      </c>
      <c r="S105" s="86"/>
      <c r="T105" s="86"/>
      <c r="U105" s="43">
        <f>J45</f>
        <v>3</v>
      </c>
      <c r="V105" s="43">
        <f>K45</f>
        <v>1</v>
      </c>
      <c r="W105" s="43">
        <f>L45</f>
        <v>4</v>
      </c>
      <c r="X105" s="43">
        <f>M45</f>
        <v>-3</v>
      </c>
      <c r="Y105" s="43"/>
      <c r="Z105" s="43"/>
      <c r="AA105" s="43"/>
      <c r="AB105" s="43"/>
      <c r="AC105" s="43"/>
      <c r="AD105" s="43"/>
      <c r="AE105" s="43"/>
      <c r="AF105" s="43"/>
      <c r="AG105" s="43"/>
      <c r="AH105" s="43"/>
      <c r="AI105" s="43"/>
      <c r="AJ105" s="43"/>
      <c r="AK105" s="43"/>
      <c r="AL105" s="43"/>
      <c r="AM105" s="43"/>
      <c r="AN105" s="43"/>
      <c r="AO105" s="43"/>
      <c r="AP105" s="43"/>
    </row>
    <row r="106" spans="1:42" ht="17.399999999999999" x14ac:dyDescent="0.45">
      <c r="A106" s="43"/>
      <c r="B106" s="43"/>
      <c r="C106" s="43"/>
      <c r="D106" s="43"/>
      <c r="E106" s="43"/>
      <c r="F106" s="43"/>
      <c r="G106" s="43"/>
      <c r="H106" s="43"/>
      <c r="I106" s="43"/>
      <c r="J106" s="43"/>
      <c r="K106" s="43"/>
      <c r="L106" s="43"/>
      <c r="M106" s="43"/>
      <c r="N106" s="43"/>
      <c r="O106" s="43"/>
      <c r="P106" s="43"/>
      <c r="Q106" s="43"/>
      <c r="R106" s="90" t="str">
        <f>P45</f>
        <v>Marokko</v>
      </c>
      <c r="S106" s="86"/>
      <c r="T106" s="86"/>
      <c r="U106" s="43">
        <f>Q45</f>
        <v>3</v>
      </c>
      <c r="V106" s="43">
        <f>R45</f>
        <v>2</v>
      </c>
      <c r="W106" s="43">
        <f>S45</f>
        <v>4</v>
      </c>
      <c r="X106" s="43">
        <f>T45</f>
        <v>-2</v>
      </c>
      <c r="Y106" s="43"/>
      <c r="Z106" s="43"/>
      <c r="AA106" s="43"/>
      <c r="AB106" s="43"/>
      <c r="AC106" s="43"/>
      <c r="AD106" s="43"/>
      <c r="AE106" s="43"/>
      <c r="AF106" s="43"/>
      <c r="AG106" s="43"/>
      <c r="AH106" s="43"/>
      <c r="AI106" s="43"/>
      <c r="AJ106" s="43"/>
      <c r="AK106" s="43"/>
      <c r="AL106" s="43"/>
      <c r="AM106" s="43"/>
      <c r="AN106" s="43"/>
      <c r="AO106" s="43"/>
      <c r="AP106" s="43"/>
    </row>
    <row r="107" spans="1:42" ht="17.399999999999999" x14ac:dyDescent="0.45">
      <c r="A107" s="43"/>
      <c r="B107" s="43"/>
      <c r="C107" s="43"/>
      <c r="D107" s="43"/>
      <c r="E107" s="43"/>
      <c r="F107" s="43"/>
      <c r="G107" s="43"/>
      <c r="H107" s="43"/>
      <c r="I107" s="43"/>
      <c r="J107" s="43"/>
      <c r="K107" s="43"/>
      <c r="L107" s="43"/>
      <c r="M107" s="43"/>
      <c r="N107" s="43"/>
      <c r="O107" s="43"/>
      <c r="P107" s="43"/>
      <c r="Q107" s="43"/>
      <c r="R107" s="90" t="str">
        <f>W45</f>
        <v>Paraguay</v>
      </c>
      <c r="S107" s="86"/>
      <c r="T107" s="86"/>
      <c r="U107" s="43">
        <f>X45</f>
        <v>2</v>
      </c>
      <c r="V107" s="43">
        <f>Y45</f>
        <v>3</v>
      </c>
      <c r="W107" s="43">
        <f>Z45</f>
        <v>4</v>
      </c>
      <c r="X107" s="43">
        <f>AA45</f>
        <v>-1</v>
      </c>
      <c r="Y107" s="43"/>
      <c r="Z107" s="43"/>
      <c r="AA107" s="43"/>
      <c r="AB107" s="43"/>
      <c r="AC107" s="43"/>
      <c r="AD107" s="43"/>
      <c r="AE107" s="43"/>
      <c r="AF107" s="43"/>
      <c r="AG107" s="43"/>
      <c r="AH107" s="43"/>
      <c r="AI107" s="43"/>
      <c r="AJ107" s="43"/>
      <c r="AK107" s="43"/>
      <c r="AL107" s="43"/>
      <c r="AM107" s="43"/>
      <c r="AN107" s="43"/>
      <c r="AO107" s="43"/>
      <c r="AP107" s="43"/>
    </row>
    <row r="108" spans="1:42" ht="17.399999999999999" x14ac:dyDescent="0.45">
      <c r="A108" s="43"/>
      <c r="B108" s="43"/>
      <c r="C108" s="43"/>
      <c r="D108" s="43"/>
      <c r="E108" s="43"/>
      <c r="F108" s="43"/>
      <c r="G108" s="43"/>
      <c r="H108" s="43"/>
      <c r="I108" s="43"/>
      <c r="J108" s="43"/>
      <c r="K108" s="43"/>
      <c r="L108" s="43"/>
      <c r="M108" s="43"/>
      <c r="N108" s="43"/>
      <c r="O108" s="43"/>
      <c r="P108" s="43"/>
      <c r="Q108" s="43"/>
      <c r="R108" s="90" t="str">
        <f>AD45</f>
        <v>Ecuador</v>
      </c>
      <c r="S108" s="86"/>
      <c r="T108" s="86"/>
      <c r="U108" s="43">
        <f>AE45</f>
        <v>4</v>
      </c>
      <c r="V108" s="43">
        <f>AF45</f>
        <v>3</v>
      </c>
      <c r="W108" s="43">
        <f>AG45</f>
        <v>3</v>
      </c>
      <c r="X108" s="43">
        <f>AH45</f>
        <v>0</v>
      </c>
      <c r="Y108" s="43"/>
      <c r="Z108" s="43"/>
      <c r="AA108" s="43"/>
      <c r="AB108" s="43"/>
      <c r="AC108" s="43"/>
      <c r="AD108" s="43"/>
      <c r="AE108" s="43"/>
      <c r="AF108" s="43"/>
      <c r="AG108" s="43"/>
      <c r="AH108" s="43"/>
      <c r="AI108" s="43"/>
      <c r="AJ108" s="43"/>
      <c r="AK108" s="43"/>
      <c r="AL108" s="43"/>
      <c r="AM108" s="43"/>
      <c r="AN108" s="43"/>
      <c r="AO108" s="43"/>
      <c r="AP108" s="43"/>
    </row>
    <row r="109" spans="1:42" ht="17.399999999999999" x14ac:dyDescent="0.45">
      <c r="A109" s="43"/>
      <c r="B109" s="43"/>
      <c r="C109" s="43"/>
      <c r="D109" s="43"/>
      <c r="E109" s="43"/>
      <c r="F109" s="43"/>
      <c r="G109" s="43"/>
      <c r="H109" s="43"/>
      <c r="I109" s="43"/>
      <c r="J109" s="43"/>
      <c r="K109" s="43"/>
      <c r="L109" s="43"/>
      <c r="M109" s="43"/>
      <c r="N109" s="43"/>
      <c r="O109" s="43"/>
      <c r="P109" s="43"/>
      <c r="Q109" s="43"/>
      <c r="R109" s="90" t="str">
        <f>AK45</f>
        <v>Schweden</v>
      </c>
      <c r="S109" s="86"/>
      <c r="T109" s="86"/>
      <c r="U109" s="43">
        <f>AL45</f>
        <v>4</v>
      </c>
      <c r="V109" s="43">
        <f>AM45</f>
        <v>3</v>
      </c>
      <c r="W109" s="43">
        <f>AN45</f>
        <v>3</v>
      </c>
      <c r="X109" s="43">
        <f>AO45</f>
        <v>0</v>
      </c>
      <c r="Y109" s="43"/>
      <c r="Z109" s="43"/>
      <c r="AA109" s="43"/>
      <c r="AB109" s="43"/>
      <c r="AC109" s="43"/>
      <c r="AD109" s="43"/>
      <c r="AE109" s="43"/>
      <c r="AF109" s="43"/>
      <c r="AG109" s="43"/>
      <c r="AH109" s="43"/>
      <c r="AI109" s="43"/>
      <c r="AJ109" s="43"/>
      <c r="AK109" s="43"/>
      <c r="AL109" s="43"/>
      <c r="AM109" s="43"/>
      <c r="AN109" s="43"/>
      <c r="AO109" s="43"/>
      <c r="AP109" s="43"/>
    </row>
    <row r="110" spans="1:42" ht="17.399999999999999" x14ac:dyDescent="0.45">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row>
    <row r="111" spans="1:42" ht="17.399999999999999" x14ac:dyDescent="0.45">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row>
    <row r="112" spans="1:42" ht="17.399999999999999" x14ac:dyDescent="0.45">
      <c r="A112" s="43"/>
      <c r="B112" s="43"/>
      <c r="C112" s="43"/>
      <c r="D112" s="43"/>
      <c r="E112" s="43"/>
      <c r="F112" s="43"/>
      <c r="G112" s="43"/>
      <c r="H112" s="43"/>
      <c r="I112" s="43"/>
      <c r="J112" s="43"/>
      <c r="K112" s="43"/>
      <c r="L112" s="43"/>
      <c r="M112" s="43"/>
      <c r="N112" s="43"/>
      <c r="O112" s="43"/>
      <c r="P112" s="43"/>
      <c r="Q112" s="51">
        <v>1</v>
      </c>
      <c r="R112" s="43" t="str" cm="1">
        <f t="array" ref="R112:R123">_xlfn.SORTBY(R98:R109,U98:U109,-1,X98:X109,-1,V98:V109,-1)</f>
        <v>Norwegen</v>
      </c>
      <c r="S112" s="43"/>
      <c r="T112" s="43"/>
      <c r="U112" s="43" cm="1">
        <f t="array" ref="U112:U123">_xlfn.SORTBY(U98:U109,U98:U109,-1,X98:X109,-1,V98:V109,-1)</f>
        <v>4</v>
      </c>
      <c r="V112" s="43" cm="1">
        <f t="array" ref="V112:V123">_xlfn.SORTBY(V98:V109,U98:U109,-1,X98:X109,-1,V98:V109,-1)</f>
        <v>5</v>
      </c>
      <c r="W112" s="43" cm="1">
        <f t="array" ref="W112:W123">_xlfn.SORTBY(W98:W109,U98:U109,-1,X98:X109,-1,V98:V109,-1)</f>
        <v>5</v>
      </c>
      <c r="X112" s="43" cm="1">
        <f t="array" ref="X112:X123">_xlfn.SORTBY(X98:X109,U98:U109,-1,X98:X109,-1,V98:V109,-1)</f>
        <v>0</v>
      </c>
      <c r="Y112" s="43"/>
      <c r="Z112" s="43"/>
      <c r="AA112" s="43"/>
      <c r="AB112" s="43"/>
      <c r="AC112" s="43"/>
      <c r="AD112" s="43"/>
      <c r="AE112" s="43"/>
      <c r="AF112" s="43"/>
      <c r="AG112" s="43"/>
      <c r="AH112" s="43"/>
      <c r="AI112" s="43"/>
      <c r="AJ112" s="43"/>
      <c r="AK112" s="43"/>
      <c r="AL112" s="43"/>
      <c r="AM112" s="43"/>
      <c r="AN112" s="43"/>
      <c r="AO112" s="43"/>
      <c r="AP112" s="43"/>
    </row>
    <row r="113" spans="1:42" ht="17.399999999999999" x14ac:dyDescent="0.45">
      <c r="A113" s="43"/>
      <c r="B113" s="43"/>
      <c r="C113" s="43"/>
      <c r="D113" s="43"/>
      <c r="E113" s="43"/>
      <c r="F113" s="43"/>
      <c r="G113" s="43"/>
      <c r="H113" s="43"/>
      <c r="I113" s="43"/>
      <c r="J113" s="43"/>
      <c r="K113" s="43"/>
      <c r="L113" s="43"/>
      <c r="M113" s="43"/>
      <c r="N113" s="43"/>
      <c r="O113" s="43"/>
      <c r="P113" s="43"/>
      <c r="Q113" s="51">
        <v>2</v>
      </c>
      <c r="R113" s="43" t="str">
        <v>Iran</v>
      </c>
      <c r="S113" s="43"/>
      <c r="T113" s="43"/>
      <c r="U113" s="43">
        <v>4</v>
      </c>
      <c r="V113" s="43">
        <v>3</v>
      </c>
      <c r="W113" s="43">
        <v>3</v>
      </c>
      <c r="X113" s="43">
        <v>0</v>
      </c>
      <c r="Y113" s="43"/>
      <c r="Z113" s="43"/>
      <c r="AA113" s="43"/>
      <c r="AB113" s="43"/>
      <c r="AC113" s="43"/>
      <c r="AD113" s="43"/>
      <c r="AE113" s="43"/>
      <c r="AF113" s="43"/>
      <c r="AG113" s="43"/>
      <c r="AH113" s="43"/>
      <c r="AI113" s="43"/>
      <c r="AJ113" s="43"/>
      <c r="AK113" s="43"/>
      <c r="AL113" s="43"/>
      <c r="AM113" s="43"/>
      <c r="AN113" s="43"/>
      <c r="AO113" s="43"/>
      <c r="AP113" s="43"/>
    </row>
    <row r="114" spans="1:42" ht="17.399999999999999" x14ac:dyDescent="0.45">
      <c r="A114" s="43"/>
      <c r="B114" s="43"/>
      <c r="C114" s="43"/>
      <c r="D114" s="43"/>
      <c r="E114" s="43"/>
      <c r="F114" s="43"/>
      <c r="G114" s="43"/>
      <c r="H114" s="43"/>
      <c r="I114" s="43"/>
      <c r="J114" s="43"/>
      <c r="K114" s="43"/>
      <c r="L114" s="43"/>
      <c r="M114" s="43"/>
      <c r="N114" s="43"/>
      <c r="O114" s="43"/>
      <c r="P114" s="43"/>
      <c r="Q114" s="51">
        <v>3</v>
      </c>
      <c r="R114" s="43" t="str">
        <v>Südkorea</v>
      </c>
      <c r="S114" s="43"/>
      <c r="T114" s="43"/>
      <c r="U114" s="43">
        <v>4</v>
      </c>
      <c r="V114" s="43">
        <v>3</v>
      </c>
      <c r="W114" s="43">
        <v>3</v>
      </c>
      <c r="X114" s="43">
        <v>0</v>
      </c>
      <c r="Y114" s="43"/>
      <c r="Z114" s="43"/>
      <c r="AA114" s="43"/>
      <c r="AB114" s="43"/>
      <c r="AC114" s="43"/>
      <c r="AD114" s="43"/>
      <c r="AE114" s="43"/>
      <c r="AF114" s="43"/>
      <c r="AG114" s="43"/>
      <c r="AH114" s="43"/>
      <c r="AI114" s="43"/>
      <c r="AJ114" s="43"/>
      <c r="AK114" s="43"/>
      <c r="AL114" s="43"/>
      <c r="AM114" s="43"/>
      <c r="AN114" s="43"/>
      <c r="AO114" s="43"/>
      <c r="AP114" s="43"/>
    </row>
    <row r="115" spans="1:42" ht="17.399999999999999" x14ac:dyDescent="0.45">
      <c r="A115" s="43"/>
      <c r="B115" s="43"/>
      <c r="C115" s="43"/>
      <c r="D115" s="43"/>
      <c r="E115" s="43"/>
      <c r="F115" s="43"/>
      <c r="G115" s="43"/>
      <c r="H115" s="43"/>
      <c r="I115" s="43"/>
      <c r="J115" s="43"/>
      <c r="K115" s="43"/>
      <c r="L115" s="43"/>
      <c r="M115" s="43"/>
      <c r="N115" s="43"/>
      <c r="O115" s="43"/>
      <c r="P115" s="43"/>
      <c r="Q115" s="51">
        <v>4</v>
      </c>
      <c r="R115" s="43" t="str">
        <v>Ecuador</v>
      </c>
      <c r="S115" s="43"/>
      <c r="T115" s="43"/>
      <c r="U115" s="43">
        <v>4</v>
      </c>
      <c r="V115" s="43">
        <v>3</v>
      </c>
      <c r="W115" s="43">
        <v>3</v>
      </c>
      <c r="X115" s="43">
        <v>0</v>
      </c>
      <c r="Y115" s="43"/>
      <c r="Z115" s="43"/>
      <c r="AA115" s="43"/>
      <c r="AB115" s="43"/>
      <c r="AC115" s="43"/>
      <c r="AD115" s="43"/>
      <c r="AE115" s="43"/>
      <c r="AF115" s="43"/>
      <c r="AG115" s="43"/>
      <c r="AH115" s="43"/>
      <c r="AI115" s="43"/>
      <c r="AJ115" s="43"/>
      <c r="AK115" s="43"/>
      <c r="AL115" s="43"/>
      <c r="AM115" s="43"/>
      <c r="AN115" s="43"/>
      <c r="AO115" s="43"/>
      <c r="AP115" s="43"/>
    </row>
    <row r="116" spans="1:42" ht="17.399999999999999" x14ac:dyDescent="0.45">
      <c r="A116" s="43"/>
      <c r="B116" s="43"/>
      <c r="C116" s="43"/>
      <c r="D116" s="43"/>
      <c r="E116" s="43"/>
      <c r="F116" s="43"/>
      <c r="G116" s="43"/>
      <c r="H116" s="43"/>
      <c r="I116" s="43"/>
      <c r="J116" s="43"/>
      <c r="K116" s="43"/>
      <c r="L116" s="43"/>
      <c r="M116" s="43"/>
      <c r="N116" s="43"/>
      <c r="O116" s="43"/>
      <c r="P116" s="43"/>
      <c r="Q116" s="51">
        <v>5</v>
      </c>
      <c r="R116" s="43" t="str">
        <v>Schweden</v>
      </c>
      <c r="S116" s="43"/>
      <c r="T116" s="43"/>
      <c r="U116" s="43">
        <v>4</v>
      </c>
      <c r="V116" s="43">
        <v>3</v>
      </c>
      <c r="W116" s="43">
        <v>3</v>
      </c>
      <c r="X116" s="43">
        <v>0</v>
      </c>
      <c r="Y116" s="43"/>
      <c r="Z116" s="43"/>
      <c r="AA116" s="43"/>
      <c r="AB116" s="43"/>
      <c r="AC116" s="43"/>
      <c r="AD116" s="43"/>
      <c r="AE116" s="43"/>
      <c r="AF116" s="43"/>
      <c r="AG116" s="43"/>
      <c r="AH116" s="43"/>
      <c r="AI116" s="43"/>
      <c r="AJ116" s="43"/>
      <c r="AK116" s="43"/>
      <c r="AL116" s="43"/>
      <c r="AM116" s="43"/>
      <c r="AN116" s="43"/>
      <c r="AO116" s="43"/>
      <c r="AP116" s="43"/>
    </row>
    <row r="117" spans="1:42" ht="17.399999999999999" x14ac:dyDescent="0.45">
      <c r="A117" s="43"/>
      <c r="B117" s="43"/>
      <c r="C117" s="43"/>
      <c r="D117" s="43"/>
      <c r="E117" s="43"/>
      <c r="F117" s="43"/>
      <c r="G117" s="43"/>
      <c r="H117" s="43"/>
      <c r="I117" s="43"/>
      <c r="J117" s="43"/>
      <c r="K117" s="43"/>
      <c r="L117" s="43"/>
      <c r="M117" s="43"/>
      <c r="N117" s="43"/>
      <c r="O117" s="43"/>
      <c r="P117" s="43"/>
      <c r="Q117" s="51">
        <v>6</v>
      </c>
      <c r="R117" s="43" t="str">
        <v>Algerien</v>
      </c>
      <c r="S117" s="43"/>
      <c r="T117" s="43"/>
      <c r="U117" s="43">
        <v>4</v>
      </c>
      <c r="V117" s="43">
        <v>2</v>
      </c>
      <c r="W117" s="43">
        <v>3</v>
      </c>
      <c r="X117" s="43">
        <v>-1</v>
      </c>
      <c r="Y117" s="43"/>
      <c r="Z117" s="43"/>
      <c r="AA117" s="43"/>
      <c r="AB117" s="43"/>
      <c r="AC117" s="43"/>
      <c r="AD117" s="43"/>
      <c r="AE117" s="43"/>
      <c r="AF117" s="43"/>
      <c r="AG117" s="43"/>
      <c r="AH117" s="43"/>
      <c r="AI117" s="43"/>
      <c r="AJ117" s="43"/>
      <c r="AK117" s="43"/>
      <c r="AL117" s="43"/>
      <c r="AM117" s="43"/>
      <c r="AN117" s="43"/>
      <c r="AO117" s="43"/>
      <c r="AP117" s="43"/>
    </row>
    <row r="118" spans="1:42" ht="17.399999999999999" x14ac:dyDescent="0.45">
      <c r="A118" s="43"/>
      <c r="B118" s="43"/>
      <c r="C118" s="43"/>
      <c r="D118" s="43"/>
      <c r="E118" s="43"/>
      <c r="F118" s="43"/>
      <c r="G118" s="43"/>
      <c r="H118" s="43"/>
      <c r="I118" s="43"/>
      <c r="J118" s="43"/>
      <c r="K118" s="43"/>
      <c r="L118" s="43"/>
      <c r="M118" s="43"/>
      <c r="N118" s="43"/>
      <c r="O118" s="43"/>
      <c r="P118" s="43"/>
      <c r="Q118" s="51">
        <v>7</v>
      </c>
      <c r="R118" s="43" t="str">
        <v>Ghana</v>
      </c>
      <c r="S118" s="43"/>
      <c r="T118" s="43"/>
      <c r="U118" s="43">
        <v>4</v>
      </c>
      <c r="V118" s="43">
        <v>2</v>
      </c>
      <c r="W118" s="43">
        <v>3</v>
      </c>
      <c r="X118" s="43">
        <v>-1</v>
      </c>
      <c r="Y118" s="43"/>
      <c r="Z118" s="43"/>
      <c r="AA118" s="43"/>
      <c r="AB118" s="43"/>
      <c r="AC118" s="43"/>
      <c r="AD118" s="43"/>
      <c r="AE118" s="43"/>
      <c r="AF118" s="43"/>
      <c r="AG118" s="43"/>
      <c r="AH118" s="43"/>
      <c r="AI118" s="43"/>
      <c r="AJ118" s="43"/>
      <c r="AK118" s="43"/>
      <c r="AL118" s="43"/>
      <c r="AM118" s="43"/>
      <c r="AN118" s="43"/>
      <c r="AO118" s="43"/>
      <c r="AP118" s="43"/>
    </row>
    <row r="119" spans="1:42" ht="17.399999999999999" x14ac:dyDescent="0.45">
      <c r="A119" s="43"/>
      <c r="B119" s="43"/>
      <c r="C119" s="43"/>
      <c r="D119" s="43"/>
      <c r="E119" s="43"/>
      <c r="F119" s="43"/>
      <c r="G119" s="43"/>
      <c r="H119" s="43"/>
      <c r="I119" s="43"/>
      <c r="J119" s="43"/>
      <c r="K119" s="43"/>
      <c r="L119" s="43"/>
      <c r="M119" s="43"/>
      <c r="N119" s="43"/>
      <c r="O119" s="43"/>
      <c r="P119" s="43"/>
      <c r="Q119" s="51">
        <v>8</v>
      </c>
      <c r="R119" s="43" t="str">
        <v>Marokko</v>
      </c>
      <c r="S119" s="43"/>
      <c r="T119" s="43"/>
      <c r="U119" s="43">
        <v>3</v>
      </c>
      <c r="V119" s="43">
        <v>2</v>
      </c>
      <c r="W119" s="43">
        <v>4</v>
      </c>
      <c r="X119" s="43">
        <v>-2</v>
      </c>
      <c r="Y119" s="43"/>
      <c r="Z119" s="43"/>
      <c r="AA119" s="43"/>
      <c r="AB119" s="43"/>
      <c r="AC119" s="43"/>
      <c r="AD119" s="43"/>
      <c r="AE119" s="43"/>
      <c r="AF119" s="43"/>
      <c r="AG119" s="43"/>
      <c r="AH119" s="43"/>
      <c r="AI119" s="43"/>
      <c r="AJ119" s="43"/>
      <c r="AK119" s="43"/>
      <c r="AL119" s="43"/>
      <c r="AM119" s="43"/>
      <c r="AN119" s="43"/>
      <c r="AO119" s="43"/>
      <c r="AP119" s="43"/>
    </row>
    <row r="120" spans="1:42" ht="17.399999999999999" x14ac:dyDescent="0.45">
      <c r="A120" s="43"/>
      <c r="B120" s="43"/>
      <c r="C120" s="43"/>
      <c r="D120" s="43"/>
      <c r="E120" s="43"/>
      <c r="F120" s="43"/>
      <c r="G120" s="43"/>
      <c r="H120" s="43"/>
      <c r="I120" s="43"/>
      <c r="J120" s="43"/>
      <c r="K120" s="43"/>
      <c r="L120" s="43"/>
      <c r="M120" s="43"/>
      <c r="N120" s="43"/>
      <c r="O120" s="43"/>
      <c r="P120" s="43"/>
      <c r="Q120" s="53">
        <v>9</v>
      </c>
      <c r="R120" s="43" t="str">
        <v>Katar</v>
      </c>
      <c r="S120" s="43"/>
      <c r="T120" s="43"/>
      <c r="U120" s="43">
        <v>3</v>
      </c>
      <c r="V120" s="43">
        <v>1</v>
      </c>
      <c r="W120" s="43">
        <v>4</v>
      </c>
      <c r="X120" s="43">
        <v>-3</v>
      </c>
      <c r="Y120" s="43"/>
      <c r="Z120" s="43"/>
      <c r="AA120" s="43"/>
      <c r="AB120" s="43"/>
      <c r="AC120" s="43"/>
      <c r="AD120" s="43"/>
      <c r="AE120" s="43"/>
      <c r="AF120" s="43"/>
      <c r="AG120" s="43"/>
      <c r="AH120" s="43"/>
      <c r="AI120" s="43"/>
      <c r="AJ120" s="43"/>
      <c r="AK120" s="43"/>
      <c r="AL120" s="43"/>
      <c r="AM120" s="43"/>
      <c r="AN120" s="43"/>
      <c r="AO120" s="43"/>
      <c r="AP120" s="43"/>
    </row>
    <row r="121" spans="1:42" ht="17.399999999999999" x14ac:dyDescent="0.45">
      <c r="A121" s="43"/>
      <c r="B121" s="43"/>
      <c r="C121" s="43"/>
      <c r="D121" s="43"/>
      <c r="E121" s="43"/>
      <c r="F121" s="43"/>
      <c r="G121" s="43"/>
      <c r="H121" s="43"/>
      <c r="I121" s="43"/>
      <c r="J121" s="43"/>
      <c r="K121" s="43"/>
      <c r="L121" s="43"/>
      <c r="M121" s="43"/>
      <c r="N121" s="43"/>
      <c r="O121" s="43"/>
      <c r="P121" s="43"/>
      <c r="Q121" s="53">
        <v>10</v>
      </c>
      <c r="R121" s="43" t="str">
        <v>Paraguay</v>
      </c>
      <c r="S121" s="43"/>
      <c r="T121" s="43"/>
      <c r="U121" s="43">
        <v>2</v>
      </c>
      <c r="V121" s="43">
        <v>3</v>
      </c>
      <c r="W121" s="43">
        <v>4</v>
      </c>
      <c r="X121" s="43">
        <v>-1</v>
      </c>
      <c r="Y121" s="43"/>
      <c r="Z121" s="43"/>
      <c r="AA121" s="43"/>
      <c r="AB121" s="43"/>
      <c r="AC121" s="43"/>
      <c r="AD121" s="43"/>
      <c r="AE121" s="43"/>
      <c r="AF121" s="43"/>
      <c r="AG121" s="43"/>
      <c r="AH121" s="43"/>
      <c r="AI121" s="43"/>
      <c r="AJ121" s="43"/>
      <c r="AK121" s="43"/>
      <c r="AL121" s="43"/>
      <c r="AM121" s="43"/>
      <c r="AN121" s="43"/>
      <c r="AO121" s="43"/>
      <c r="AP121" s="43"/>
    </row>
    <row r="122" spans="1:42" ht="17.399999999999999" x14ac:dyDescent="0.45">
      <c r="A122" s="43"/>
      <c r="B122" s="43"/>
      <c r="C122" s="43"/>
      <c r="D122" s="43"/>
      <c r="E122" s="43"/>
      <c r="F122" s="43"/>
      <c r="G122" s="43"/>
      <c r="H122" s="43"/>
      <c r="I122" s="43"/>
      <c r="J122" s="43"/>
      <c r="K122" s="43"/>
      <c r="L122" s="43"/>
      <c r="M122" s="43"/>
      <c r="N122" s="43"/>
      <c r="O122" s="43"/>
      <c r="P122" s="43"/>
      <c r="Q122" s="53">
        <v>11</v>
      </c>
      <c r="R122" s="43" t="str">
        <v>DR Kongo</v>
      </c>
      <c r="S122" s="43"/>
      <c r="T122" s="43"/>
      <c r="U122" s="43">
        <v>1</v>
      </c>
      <c r="V122" s="43">
        <v>1</v>
      </c>
      <c r="W122" s="43">
        <v>5</v>
      </c>
      <c r="X122" s="43">
        <v>-4</v>
      </c>
      <c r="Y122" s="43"/>
      <c r="Z122" s="43"/>
      <c r="AA122" s="43"/>
      <c r="AB122" s="43"/>
      <c r="AC122" s="43"/>
      <c r="AD122" s="43"/>
      <c r="AE122" s="43"/>
      <c r="AF122" s="43"/>
      <c r="AG122" s="43"/>
      <c r="AH122" s="43"/>
      <c r="AI122" s="43"/>
      <c r="AJ122" s="43"/>
      <c r="AK122" s="43"/>
      <c r="AL122" s="43"/>
      <c r="AM122" s="43"/>
      <c r="AN122" s="43"/>
      <c r="AO122" s="43"/>
      <c r="AP122" s="43"/>
    </row>
    <row r="123" spans="1:42" ht="17.399999999999999" x14ac:dyDescent="0.45">
      <c r="A123" s="43"/>
      <c r="B123" s="43"/>
      <c r="C123" s="43"/>
      <c r="D123" s="43"/>
      <c r="E123" s="43"/>
      <c r="F123" s="43"/>
      <c r="G123" s="43"/>
      <c r="H123" s="43"/>
      <c r="I123" s="43"/>
      <c r="J123" s="43"/>
      <c r="K123" s="43"/>
      <c r="L123" s="43"/>
      <c r="M123" s="43"/>
      <c r="N123" s="43"/>
      <c r="O123" s="43"/>
      <c r="P123" s="43"/>
      <c r="Q123" s="53">
        <v>12</v>
      </c>
      <c r="R123" s="43" t="str">
        <v>Kap Verde</v>
      </c>
      <c r="S123" s="43"/>
      <c r="T123" s="43"/>
      <c r="U123" s="43">
        <v>1</v>
      </c>
      <c r="V123" s="43">
        <v>1</v>
      </c>
      <c r="W123" s="43">
        <v>6</v>
      </c>
      <c r="X123" s="43">
        <v>-5</v>
      </c>
      <c r="Y123" s="43"/>
      <c r="Z123" s="43"/>
      <c r="AA123" s="43"/>
      <c r="AB123" s="43"/>
      <c r="AC123" s="43"/>
      <c r="AD123" s="43"/>
      <c r="AE123" s="43"/>
      <c r="AF123" s="43"/>
      <c r="AG123" s="43"/>
      <c r="AH123" s="43"/>
      <c r="AI123" s="43"/>
      <c r="AJ123" s="43"/>
      <c r="AK123" s="43"/>
      <c r="AL123" s="43"/>
      <c r="AM123" s="43"/>
      <c r="AN123" s="43"/>
      <c r="AO123" s="43"/>
      <c r="AP123" s="43"/>
    </row>
    <row r="124" spans="1:42" ht="17.399999999999999" x14ac:dyDescent="0.4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row>
    <row r="125" spans="1:42" ht="17.399999999999999" x14ac:dyDescent="0.4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row>
    <row r="126" spans="1:42" ht="17.399999999999999" x14ac:dyDescent="0.4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row>
    <row r="127" spans="1:42" ht="17.399999999999999" x14ac:dyDescent="0.4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row>
    <row r="128" spans="1:42" ht="17.399999999999999" x14ac:dyDescent="0.4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row>
    <row r="129" spans="1:42" ht="17.399999999999999" x14ac:dyDescent="0.4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row>
    <row r="130" spans="1:42" ht="17.399999999999999" x14ac:dyDescent="0.4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row>
    <row r="131" spans="1:42" ht="30" x14ac:dyDescent="0.7">
      <c r="A131" s="43"/>
      <c r="B131" s="43"/>
      <c r="C131" s="43"/>
      <c r="D131" s="43"/>
      <c r="E131" s="43"/>
      <c r="F131" s="43"/>
      <c r="G131" s="43"/>
      <c r="H131" s="43"/>
      <c r="I131" s="43"/>
      <c r="J131" s="43"/>
      <c r="K131" s="43"/>
      <c r="L131" s="43"/>
      <c r="M131" s="43"/>
      <c r="N131" s="43"/>
      <c r="O131" s="43"/>
      <c r="P131" s="43"/>
      <c r="Q131" s="42" t="s">
        <v>91</v>
      </c>
      <c r="R131" s="42"/>
      <c r="S131" s="42"/>
      <c r="T131" s="42"/>
      <c r="U131" s="42"/>
      <c r="V131" s="42"/>
      <c r="W131" s="42"/>
      <c r="X131" s="43"/>
      <c r="Y131" s="43"/>
      <c r="Z131" s="43"/>
      <c r="AA131" s="43"/>
      <c r="AB131" s="43"/>
      <c r="AC131" s="43"/>
      <c r="AD131" s="43"/>
      <c r="AE131" s="43"/>
      <c r="AF131" s="43"/>
      <c r="AG131" s="43"/>
      <c r="AH131" s="43"/>
      <c r="AI131" s="43"/>
      <c r="AJ131" s="43"/>
      <c r="AK131" s="43"/>
      <c r="AL131" s="43"/>
      <c r="AM131" s="43"/>
      <c r="AN131" s="43"/>
      <c r="AO131" s="43"/>
      <c r="AP131" s="43"/>
    </row>
    <row r="132" spans="1:42" ht="30" x14ac:dyDescent="0.7">
      <c r="A132" s="43"/>
      <c r="B132" s="43"/>
      <c r="C132" s="43"/>
      <c r="D132" s="43"/>
      <c r="E132" s="43"/>
      <c r="F132" s="43"/>
      <c r="G132" s="43"/>
      <c r="H132" s="43"/>
      <c r="I132" s="43"/>
      <c r="J132" s="43"/>
      <c r="K132" s="43"/>
      <c r="L132" s="43"/>
      <c r="M132" s="43"/>
      <c r="N132" s="43"/>
      <c r="O132" s="43"/>
      <c r="P132" s="43"/>
      <c r="Q132" s="42"/>
      <c r="R132" s="42"/>
      <c r="S132" s="42"/>
      <c r="T132" s="42"/>
      <c r="U132" s="42"/>
      <c r="V132" s="42"/>
      <c r="W132" s="42"/>
      <c r="X132" s="43"/>
      <c r="Y132" s="43"/>
      <c r="Z132" s="43"/>
      <c r="AA132" s="43"/>
      <c r="AB132" s="43"/>
      <c r="AC132" s="43"/>
      <c r="AD132" s="43"/>
      <c r="AE132" s="43"/>
      <c r="AF132" s="43"/>
      <c r="AG132" s="43"/>
      <c r="AH132" s="43"/>
      <c r="AI132" s="43"/>
      <c r="AJ132" s="43"/>
      <c r="AK132" s="43"/>
      <c r="AL132" s="43"/>
      <c r="AM132" s="43"/>
      <c r="AN132" s="43"/>
      <c r="AO132" s="43"/>
      <c r="AP132" s="43"/>
    </row>
    <row r="133" spans="1:42" ht="21" x14ac:dyDescent="0.45">
      <c r="A133" s="43"/>
      <c r="B133" s="43"/>
      <c r="C133" s="43"/>
      <c r="D133" s="43"/>
      <c r="E133" s="43"/>
      <c r="F133" s="43"/>
      <c r="G133" s="43"/>
      <c r="H133" s="43"/>
      <c r="I133" s="43"/>
      <c r="J133" s="43"/>
      <c r="K133" s="43"/>
      <c r="L133" s="43"/>
      <c r="M133" s="43"/>
      <c r="N133" s="43"/>
      <c r="O133" s="43"/>
      <c r="P133" s="43"/>
      <c r="Q133" s="54" t="s">
        <v>92</v>
      </c>
      <c r="R133" s="54"/>
      <c r="S133" s="54"/>
      <c r="T133" s="54"/>
      <c r="U133" s="54"/>
      <c r="V133" s="54"/>
      <c r="W133" s="55">
        <v>5</v>
      </c>
      <c r="X133" s="43"/>
      <c r="Y133" s="43"/>
      <c r="Z133" s="43"/>
      <c r="AA133" s="43"/>
      <c r="AB133" s="43"/>
      <c r="AC133" s="43"/>
      <c r="AD133" s="43"/>
      <c r="AE133" s="43"/>
      <c r="AF133" s="43"/>
      <c r="AG133" s="43"/>
      <c r="AH133" s="43"/>
      <c r="AI133" s="43"/>
      <c r="AJ133" s="43"/>
      <c r="AK133" s="43"/>
      <c r="AL133" s="43"/>
      <c r="AM133" s="43"/>
      <c r="AN133" s="43"/>
      <c r="AO133" s="43"/>
      <c r="AP133" s="43"/>
    </row>
    <row r="134" spans="1:42" ht="21" x14ac:dyDescent="0.45">
      <c r="A134" s="43"/>
      <c r="B134" s="43"/>
      <c r="C134" s="43"/>
      <c r="D134" s="43"/>
      <c r="E134" s="43"/>
      <c r="F134" s="43"/>
      <c r="G134" s="43"/>
      <c r="H134" s="43"/>
      <c r="I134" s="43"/>
      <c r="J134" s="43"/>
      <c r="K134" s="43"/>
      <c r="L134" s="43"/>
      <c r="M134" s="43"/>
      <c r="N134" s="43"/>
      <c r="O134" s="43"/>
      <c r="P134" s="43"/>
      <c r="Q134" s="54"/>
      <c r="R134" s="54"/>
      <c r="S134" s="54"/>
      <c r="T134" s="54"/>
      <c r="U134" s="54"/>
      <c r="V134" s="54"/>
      <c r="W134" s="55"/>
      <c r="X134" s="43"/>
      <c r="Y134" s="43"/>
      <c r="Z134" s="43"/>
      <c r="AA134" s="43"/>
      <c r="AB134" s="43"/>
      <c r="AC134" s="43"/>
      <c r="AD134" s="43"/>
      <c r="AE134" s="43"/>
      <c r="AF134" s="43"/>
      <c r="AG134" s="43"/>
      <c r="AH134" s="43"/>
      <c r="AI134" s="43"/>
      <c r="AJ134" s="43"/>
      <c r="AK134" s="43"/>
      <c r="AL134" s="43"/>
      <c r="AM134" s="43"/>
      <c r="AN134" s="43"/>
      <c r="AO134" s="43"/>
      <c r="AP134" s="43"/>
    </row>
    <row r="135" spans="1:42" ht="21" x14ac:dyDescent="0.45">
      <c r="A135" s="43"/>
      <c r="B135" s="43"/>
      <c r="C135" s="43"/>
      <c r="D135" s="43"/>
      <c r="E135" s="43"/>
      <c r="F135" s="43"/>
      <c r="G135" s="43"/>
      <c r="H135" s="43"/>
      <c r="I135" s="43"/>
      <c r="J135" s="43"/>
      <c r="K135" s="43"/>
      <c r="L135" s="43"/>
      <c r="M135" s="43"/>
      <c r="N135" s="43"/>
      <c r="O135" s="43"/>
      <c r="P135" s="43"/>
      <c r="Q135" s="54" t="s">
        <v>93</v>
      </c>
      <c r="R135" s="54"/>
      <c r="S135" s="54"/>
      <c r="T135" s="54"/>
      <c r="U135" s="54"/>
      <c r="V135" s="54"/>
      <c r="W135" s="55">
        <v>5</v>
      </c>
      <c r="X135" s="43"/>
      <c r="Y135" s="43"/>
      <c r="Z135" s="43"/>
      <c r="AA135" s="43"/>
      <c r="AB135" s="43"/>
      <c r="AC135" s="43"/>
      <c r="AD135" s="43"/>
      <c r="AE135" s="43"/>
      <c r="AF135" s="43"/>
      <c r="AG135" s="43"/>
      <c r="AH135" s="43"/>
      <c r="AI135" s="43"/>
      <c r="AJ135" s="43"/>
      <c r="AK135" s="43"/>
      <c r="AL135" s="43"/>
      <c r="AM135" s="43"/>
      <c r="AN135" s="43"/>
      <c r="AO135" s="43"/>
      <c r="AP135" s="43"/>
    </row>
    <row r="136" spans="1:42" ht="21" x14ac:dyDescent="0.45">
      <c r="A136" s="43"/>
      <c r="B136" s="43"/>
      <c r="C136" s="43"/>
      <c r="D136" s="43"/>
      <c r="E136" s="43"/>
      <c r="F136" s="43"/>
      <c r="G136" s="43"/>
      <c r="H136" s="43"/>
      <c r="I136" s="43"/>
      <c r="J136" s="43"/>
      <c r="K136" s="43"/>
      <c r="L136" s="43"/>
      <c r="M136" s="43"/>
      <c r="N136" s="43"/>
      <c r="O136" s="43"/>
      <c r="P136" s="43"/>
      <c r="Q136" s="54"/>
      <c r="R136" s="54"/>
      <c r="S136" s="54"/>
      <c r="T136" s="54"/>
      <c r="U136" s="54"/>
      <c r="V136" s="54"/>
      <c r="W136" s="55"/>
      <c r="X136" s="43"/>
      <c r="Y136" s="43"/>
      <c r="Z136" s="43"/>
      <c r="AA136" s="43"/>
      <c r="AB136" s="43"/>
      <c r="AC136" s="43"/>
      <c r="AD136" s="43"/>
      <c r="AE136" s="43"/>
      <c r="AF136" s="43"/>
      <c r="AG136" s="43"/>
      <c r="AH136" s="43"/>
      <c r="AI136" s="43"/>
      <c r="AJ136" s="43"/>
      <c r="AK136" s="43"/>
      <c r="AL136" s="43"/>
      <c r="AM136" s="43"/>
      <c r="AN136" s="43"/>
      <c r="AO136" s="43"/>
      <c r="AP136" s="43"/>
    </row>
    <row r="137" spans="1:42" ht="21" x14ac:dyDescent="0.5">
      <c r="A137" s="43"/>
      <c r="B137" s="43"/>
      <c r="C137" s="43"/>
      <c r="D137" s="43"/>
      <c r="E137" s="43"/>
      <c r="F137" s="43"/>
      <c r="G137" s="43"/>
      <c r="H137" s="43"/>
      <c r="I137" s="43"/>
      <c r="J137" s="43"/>
      <c r="K137" s="43"/>
      <c r="L137" s="43"/>
      <c r="M137" s="43"/>
      <c r="N137" s="43"/>
      <c r="O137" s="43"/>
      <c r="P137" s="43"/>
      <c r="Q137" s="56" t="s">
        <v>94</v>
      </c>
      <c r="R137" s="43"/>
      <c r="S137" s="43"/>
      <c r="T137" s="43"/>
      <c r="U137" s="43"/>
      <c r="V137" s="43"/>
      <c r="W137" s="55">
        <v>5</v>
      </c>
      <c r="X137" s="43"/>
      <c r="Y137" s="43"/>
      <c r="Z137" s="43"/>
      <c r="AA137" s="43"/>
      <c r="AB137" s="43"/>
      <c r="AC137" s="43"/>
      <c r="AD137" s="43"/>
      <c r="AE137" s="43"/>
      <c r="AF137" s="43"/>
      <c r="AG137" s="43"/>
      <c r="AH137" s="43"/>
      <c r="AI137" s="43"/>
      <c r="AJ137" s="43"/>
      <c r="AK137" s="43"/>
      <c r="AL137" s="43"/>
      <c r="AM137" s="43"/>
      <c r="AN137" s="43"/>
      <c r="AO137" s="43"/>
      <c r="AP137" s="43"/>
    </row>
    <row r="138" spans="1:42" ht="17.399999999999999" x14ac:dyDescent="0.4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row>
    <row r="139" spans="1:42" ht="21" x14ac:dyDescent="0.45">
      <c r="A139" s="43"/>
      <c r="B139" s="43"/>
      <c r="C139" s="43"/>
      <c r="D139" s="43"/>
      <c r="E139" s="43"/>
      <c r="F139" s="43"/>
      <c r="G139" s="43"/>
      <c r="H139" s="43"/>
      <c r="I139" s="43"/>
      <c r="J139" s="43"/>
      <c r="K139" s="43"/>
      <c r="L139" s="43"/>
      <c r="M139" s="43"/>
      <c r="N139" s="43"/>
      <c r="O139" s="43"/>
      <c r="P139" s="43"/>
      <c r="Q139" s="54" t="s">
        <v>95</v>
      </c>
      <c r="R139" s="54"/>
      <c r="S139" s="54"/>
      <c r="T139" s="54"/>
      <c r="U139" s="54"/>
      <c r="V139" s="54"/>
      <c r="W139" s="55">
        <v>10</v>
      </c>
      <c r="X139" s="43"/>
      <c r="Y139" s="43"/>
      <c r="Z139" s="43"/>
      <c r="AA139" s="43"/>
      <c r="AB139" s="43"/>
      <c r="AC139" s="43"/>
      <c r="AD139" s="43"/>
      <c r="AE139" s="43"/>
      <c r="AF139" s="43"/>
      <c r="AG139" s="43"/>
      <c r="AH139" s="43"/>
      <c r="AI139" s="43"/>
      <c r="AJ139" s="43"/>
      <c r="AK139" s="43"/>
      <c r="AL139" s="43"/>
      <c r="AM139" s="43"/>
      <c r="AN139" s="43"/>
      <c r="AO139" s="43"/>
      <c r="AP139" s="43"/>
    </row>
    <row r="140" spans="1:42" ht="21" x14ac:dyDescent="0.45">
      <c r="A140" s="43"/>
      <c r="B140" s="43"/>
      <c r="C140" s="43"/>
      <c r="D140" s="43"/>
      <c r="E140" s="43"/>
      <c r="F140" s="43"/>
      <c r="G140" s="43"/>
      <c r="H140" s="43"/>
      <c r="I140" s="43"/>
      <c r="J140" s="43"/>
      <c r="K140" s="43"/>
      <c r="L140" s="43"/>
      <c r="M140" s="43"/>
      <c r="N140" s="43"/>
      <c r="O140" s="43"/>
      <c r="P140" s="43"/>
      <c r="Q140" s="54"/>
      <c r="R140" s="54"/>
      <c r="S140" s="54"/>
      <c r="T140" s="54"/>
      <c r="U140" s="54"/>
      <c r="V140" s="54"/>
      <c r="W140" s="55"/>
      <c r="X140" s="43"/>
      <c r="Y140" s="43"/>
      <c r="Z140" s="43"/>
      <c r="AA140" s="43"/>
      <c r="AB140" s="43"/>
      <c r="AC140" s="43"/>
      <c r="AD140" s="43"/>
      <c r="AE140" s="43"/>
      <c r="AF140" s="43"/>
      <c r="AG140" s="43"/>
      <c r="AH140" s="43"/>
      <c r="AI140" s="43"/>
      <c r="AJ140" s="43"/>
      <c r="AK140" s="43"/>
      <c r="AL140" s="43"/>
      <c r="AM140" s="43"/>
      <c r="AN140" s="43"/>
      <c r="AO140" s="43"/>
      <c r="AP140" s="43"/>
    </row>
    <row r="141" spans="1:42" ht="21" x14ac:dyDescent="0.45">
      <c r="A141" s="43"/>
      <c r="B141" s="43"/>
      <c r="C141" s="43"/>
      <c r="D141" s="43"/>
      <c r="E141" s="43"/>
      <c r="F141" s="43"/>
      <c r="G141" s="43"/>
      <c r="H141" s="43"/>
      <c r="I141" s="43"/>
      <c r="J141" s="43"/>
      <c r="K141" s="43"/>
      <c r="L141" s="43"/>
      <c r="M141" s="43"/>
      <c r="N141" s="43"/>
      <c r="O141" s="43"/>
      <c r="P141" s="43"/>
      <c r="Q141" s="54" t="s">
        <v>96</v>
      </c>
      <c r="R141" s="54"/>
      <c r="S141" s="54"/>
      <c r="T141" s="54"/>
      <c r="U141" s="54"/>
      <c r="V141" s="54"/>
      <c r="W141" s="55">
        <v>20</v>
      </c>
      <c r="X141" s="43"/>
      <c r="Y141" s="43"/>
      <c r="Z141" s="43"/>
      <c r="AA141" s="43"/>
      <c r="AB141" s="43"/>
      <c r="AC141" s="43"/>
      <c r="AD141" s="43"/>
      <c r="AE141" s="43"/>
      <c r="AF141" s="43"/>
      <c r="AG141" s="43"/>
      <c r="AH141" s="43"/>
      <c r="AI141" s="43"/>
      <c r="AJ141" s="43"/>
      <c r="AK141" s="43"/>
      <c r="AL141" s="43"/>
      <c r="AM141" s="43"/>
      <c r="AN141" s="43"/>
      <c r="AO141" s="43"/>
      <c r="AP141" s="43"/>
    </row>
    <row r="142" spans="1:42" ht="21" x14ac:dyDescent="0.45">
      <c r="A142" s="43"/>
      <c r="B142" s="43"/>
      <c r="C142" s="43"/>
      <c r="D142" s="43"/>
      <c r="E142" s="43"/>
      <c r="F142" s="43"/>
      <c r="G142" s="43"/>
      <c r="H142" s="43"/>
      <c r="I142" s="43"/>
      <c r="J142" s="43"/>
      <c r="K142" s="43"/>
      <c r="L142" s="43"/>
      <c r="M142" s="43"/>
      <c r="N142" s="43"/>
      <c r="O142" s="43"/>
      <c r="P142" s="43"/>
      <c r="Q142" s="54"/>
      <c r="R142" s="54"/>
      <c r="S142" s="54"/>
      <c r="T142" s="54"/>
      <c r="U142" s="54"/>
      <c r="V142" s="54"/>
      <c r="W142" s="55"/>
      <c r="X142" s="43"/>
      <c r="Y142" s="43"/>
      <c r="Z142" s="43"/>
      <c r="AA142" s="43"/>
      <c r="AB142" s="43"/>
      <c r="AC142" s="43"/>
      <c r="AD142" s="43"/>
      <c r="AE142" s="43"/>
      <c r="AF142" s="43"/>
      <c r="AG142" s="43"/>
      <c r="AH142" s="43"/>
      <c r="AI142" s="43"/>
      <c r="AJ142" s="43"/>
      <c r="AK142" s="43"/>
      <c r="AL142" s="43"/>
      <c r="AM142" s="43"/>
      <c r="AN142" s="43"/>
      <c r="AO142" s="43"/>
      <c r="AP142" s="43"/>
    </row>
    <row r="143" spans="1:42" ht="21" x14ac:dyDescent="0.45">
      <c r="A143" s="43"/>
      <c r="B143" s="43"/>
      <c r="C143" s="43"/>
      <c r="D143" s="43"/>
      <c r="E143" s="43"/>
      <c r="F143" s="43"/>
      <c r="G143" s="43"/>
      <c r="H143" s="43"/>
      <c r="I143" s="43"/>
      <c r="J143" s="43"/>
      <c r="K143" s="43"/>
      <c r="L143" s="43"/>
      <c r="M143" s="43"/>
      <c r="N143" s="43"/>
      <c r="O143" s="43"/>
      <c r="P143" s="43"/>
      <c r="Q143" s="54" t="s">
        <v>97</v>
      </c>
      <c r="R143" s="54"/>
      <c r="S143" s="54"/>
      <c r="T143" s="54"/>
      <c r="U143" s="54"/>
      <c r="V143" s="54"/>
      <c r="W143" s="55">
        <v>40</v>
      </c>
      <c r="X143" s="43"/>
      <c r="Y143" s="43"/>
      <c r="Z143" s="43"/>
      <c r="AA143" s="43"/>
      <c r="AB143" s="43"/>
      <c r="AC143" s="43"/>
      <c r="AD143" s="43"/>
      <c r="AE143" s="43"/>
      <c r="AF143" s="43"/>
      <c r="AG143" s="43"/>
      <c r="AH143" s="43"/>
      <c r="AI143" s="43"/>
      <c r="AJ143" s="43"/>
      <c r="AK143" s="43"/>
      <c r="AL143" s="43"/>
      <c r="AM143" s="43"/>
      <c r="AN143" s="43"/>
      <c r="AO143" s="43"/>
      <c r="AP143" s="43"/>
    </row>
    <row r="144" spans="1:42" ht="21" x14ac:dyDescent="0.45">
      <c r="A144" s="43"/>
      <c r="B144" s="43"/>
      <c r="C144" s="43"/>
      <c r="D144" s="43"/>
      <c r="E144" s="43"/>
      <c r="F144" s="43"/>
      <c r="G144" s="43"/>
      <c r="H144" s="43"/>
      <c r="I144" s="43"/>
      <c r="J144" s="43"/>
      <c r="K144" s="43"/>
      <c r="L144" s="43"/>
      <c r="M144" s="43"/>
      <c r="N144" s="43"/>
      <c r="O144" s="43"/>
      <c r="P144" s="43"/>
      <c r="Q144" s="54"/>
      <c r="R144" s="54"/>
      <c r="S144" s="54"/>
      <c r="T144" s="54"/>
      <c r="U144" s="54"/>
      <c r="V144" s="54"/>
      <c r="W144" s="55"/>
      <c r="X144" s="43"/>
      <c r="Y144" s="43"/>
      <c r="Z144" s="43"/>
      <c r="AA144" s="43"/>
      <c r="AB144" s="43"/>
      <c r="AC144" s="43"/>
      <c r="AD144" s="43"/>
      <c r="AE144" s="43"/>
      <c r="AF144" s="43"/>
      <c r="AG144" s="43"/>
      <c r="AH144" s="43"/>
      <c r="AI144" s="43"/>
      <c r="AJ144" s="43"/>
      <c r="AK144" s="43"/>
      <c r="AL144" s="43"/>
      <c r="AM144" s="43"/>
      <c r="AN144" s="43"/>
      <c r="AO144" s="43"/>
      <c r="AP144" s="43"/>
    </row>
    <row r="145" spans="1:42" ht="21" x14ac:dyDescent="0.45">
      <c r="A145" s="43"/>
      <c r="B145" s="43"/>
      <c r="C145" s="43"/>
      <c r="D145" s="43"/>
      <c r="E145" s="43"/>
      <c r="F145" s="43"/>
      <c r="G145" s="43"/>
      <c r="H145" s="43"/>
      <c r="I145" s="43"/>
      <c r="J145" s="43"/>
      <c r="K145" s="43"/>
      <c r="L145" s="43"/>
      <c r="M145" s="43"/>
      <c r="N145" s="43"/>
      <c r="O145" s="43"/>
      <c r="P145" s="43"/>
      <c r="Q145" s="54" t="s">
        <v>98</v>
      </c>
      <c r="R145" s="54"/>
      <c r="S145" s="54"/>
      <c r="T145" s="54"/>
      <c r="U145" s="54"/>
      <c r="V145" s="54"/>
      <c r="W145" s="55">
        <v>60</v>
      </c>
      <c r="X145" s="43"/>
      <c r="Y145" s="43"/>
      <c r="Z145" s="43"/>
      <c r="AA145" s="43"/>
      <c r="AB145" s="43"/>
      <c r="AC145" s="43"/>
      <c r="AD145" s="43"/>
      <c r="AE145" s="43"/>
      <c r="AF145" s="43"/>
      <c r="AG145" s="43"/>
      <c r="AH145" s="43"/>
      <c r="AI145" s="43"/>
      <c r="AJ145" s="43"/>
      <c r="AK145" s="43"/>
      <c r="AL145" s="43"/>
      <c r="AM145" s="43"/>
      <c r="AN145" s="43"/>
      <c r="AO145" s="43"/>
      <c r="AP145" s="43"/>
    </row>
    <row r="146" spans="1:42" ht="21" x14ac:dyDescent="0.45">
      <c r="A146" s="43"/>
      <c r="B146" s="43"/>
      <c r="C146" s="43"/>
      <c r="D146" s="43"/>
      <c r="E146" s="43"/>
      <c r="F146" s="43"/>
      <c r="G146" s="43"/>
      <c r="H146" s="43"/>
      <c r="I146" s="43"/>
      <c r="J146" s="43"/>
      <c r="K146" s="43"/>
      <c r="L146" s="43"/>
      <c r="M146" s="43"/>
      <c r="N146" s="43"/>
      <c r="O146" s="43"/>
      <c r="P146" s="43"/>
      <c r="Q146" s="54"/>
      <c r="R146" s="54"/>
      <c r="S146" s="54"/>
      <c r="T146" s="54"/>
      <c r="U146" s="54"/>
      <c r="V146" s="54"/>
      <c r="W146" s="55"/>
      <c r="X146" s="43"/>
      <c r="Y146" s="43"/>
      <c r="Z146" s="43"/>
      <c r="AA146" s="43"/>
      <c r="AB146" s="43"/>
      <c r="AC146" s="43"/>
      <c r="AD146" s="43"/>
      <c r="AE146" s="43"/>
      <c r="AF146" s="43"/>
      <c r="AG146" s="43"/>
      <c r="AH146" s="43"/>
      <c r="AI146" s="43"/>
      <c r="AJ146" s="43"/>
      <c r="AK146" s="43"/>
      <c r="AL146" s="43"/>
      <c r="AM146" s="43"/>
      <c r="AN146" s="43"/>
      <c r="AO146" s="43"/>
      <c r="AP146" s="43"/>
    </row>
    <row r="147" spans="1:42" ht="21" x14ac:dyDescent="0.45">
      <c r="A147" s="43"/>
      <c r="B147" s="43"/>
      <c r="C147" s="43"/>
      <c r="D147" s="43"/>
      <c r="E147" s="43"/>
      <c r="F147" s="43"/>
      <c r="G147" s="43"/>
      <c r="H147" s="43"/>
      <c r="I147" s="43"/>
      <c r="J147" s="43"/>
      <c r="K147" s="43"/>
      <c r="L147" s="43"/>
      <c r="M147" s="43"/>
      <c r="N147" s="43"/>
      <c r="O147" s="43"/>
      <c r="P147" s="43"/>
      <c r="Q147" s="54" t="s">
        <v>99</v>
      </c>
      <c r="R147" s="43"/>
      <c r="S147" s="43"/>
      <c r="T147" s="43"/>
      <c r="U147" s="43"/>
      <c r="V147" s="43"/>
      <c r="W147" s="55">
        <v>40</v>
      </c>
      <c r="X147" s="43"/>
      <c r="Y147" s="43"/>
      <c r="Z147" s="43"/>
      <c r="AA147" s="43"/>
      <c r="AB147" s="43"/>
      <c r="AC147" s="43"/>
      <c r="AD147" s="43"/>
      <c r="AE147" s="43"/>
      <c r="AF147" s="43"/>
      <c r="AG147" s="43"/>
      <c r="AH147" s="43"/>
      <c r="AI147" s="43"/>
      <c r="AJ147" s="43"/>
      <c r="AK147" s="43"/>
      <c r="AL147" s="43"/>
      <c r="AM147" s="43"/>
      <c r="AN147" s="43"/>
      <c r="AO147" s="43"/>
      <c r="AP147" s="43"/>
    </row>
    <row r="148" spans="1:42" ht="17.399999999999999" x14ac:dyDescent="0.4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row>
    <row r="149" spans="1:42" ht="21" x14ac:dyDescent="0.45">
      <c r="A149" s="43"/>
      <c r="B149" s="43"/>
      <c r="C149" s="43"/>
      <c r="D149" s="43"/>
      <c r="E149" s="43"/>
      <c r="F149" s="43"/>
      <c r="G149" s="43"/>
      <c r="H149" s="43"/>
      <c r="I149" s="43"/>
      <c r="J149" s="43"/>
      <c r="K149" s="43"/>
      <c r="L149" s="43"/>
      <c r="M149" s="43"/>
      <c r="N149" s="43"/>
      <c r="O149" s="43"/>
      <c r="P149" s="43"/>
      <c r="Q149" s="54" t="s">
        <v>100</v>
      </c>
      <c r="R149" s="54"/>
      <c r="S149" s="54"/>
      <c r="T149" s="54"/>
      <c r="U149" s="54"/>
      <c r="V149" s="54"/>
      <c r="W149" s="55">
        <v>80</v>
      </c>
      <c r="X149" s="43"/>
      <c r="Y149" s="43"/>
      <c r="Z149" s="43"/>
      <c r="AA149" s="43"/>
      <c r="AB149" s="43"/>
      <c r="AC149" s="43"/>
      <c r="AD149" s="43"/>
      <c r="AE149" s="43"/>
      <c r="AF149" s="43"/>
      <c r="AG149" s="43"/>
      <c r="AH149" s="43"/>
      <c r="AI149" s="43"/>
      <c r="AJ149" s="43"/>
      <c r="AK149" s="43"/>
      <c r="AL149" s="43"/>
      <c r="AM149" s="43"/>
      <c r="AN149" s="43"/>
      <c r="AO149" s="43"/>
      <c r="AP149" s="43"/>
    </row>
    <row r="152" spans="1:42" ht="15" customHeight="1" x14ac:dyDescent="0.5">
      <c r="A152" s="75" t="s">
        <v>101</v>
      </c>
      <c r="B152" s="83"/>
      <c r="C152" s="83"/>
      <c r="D152" s="83"/>
      <c r="E152" s="83"/>
      <c r="F152" s="83"/>
      <c r="G152" s="83"/>
      <c r="H152" s="83"/>
    </row>
    <row r="153" spans="1:42" ht="15" customHeight="1" x14ac:dyDescent="0.45">
      <c r="A153" s="2"/>
      <c r="B153" s="2"/>
      <c r="C153" s="2"/>
      <c r="D153" s="2"/>
      <c r="E153" s="2"/>
      <c r="F153" s="2"/>
      <c r="G153" s="2"/>
      <c r="H153" s="2"/>
    </row>
    <row r="154" spans="1:42" ht="15" customHeight="1" x14ac:dyDescent="0.45">
      <c r="A154" s="23" t="s">
        <v>102</v>
      </c>
      <c r="B154" s="24">
        <f>SUM(G160:G231)</f>
        <v>215</v>
      </c>
      <c r="C154" s="2"/>
      <c r="D154" s="2"/>
      <c r="E154" s="2"/>
      <c r="F154" s="2"/>
      <c r="G154" s="2"/>
      <c r="H154" s="2"/>
    </row>
    <row r="155" spans="1:42" ht="15" customHeight="1" x14ac:dyDescent="0.45">
      <c r="A155" s="23" t="s">
        <v>103</v>
      </c>
      <c r="B155" s="24">
        <f>SUM(H160:H231)</f>
        <v>233</v>
      </c>
      <c r="C155" s="2"/>
      <c r="D155" s="2"/>
      <c r="E155" s="2"/>
      <c r="F155" s="2"/>
      <c r="G155" s="2"/>
      <c r="H155" s="2"/>
    </row>
    <row r="156" spans="1:42" ht="15" customHeight="1" x14ac:dyDescent="0.45">
      <c r="A156" s="23" t="s">
        <v>104</v>
      </c>
      <c r="B156" s="24">
        <f>SUM(E234:E265)</f>
        <v>130</v>
      </c>
      <c r="C156" s="2"/>
      <c r="D156" s="2"/>
      <c r="E156" s="2"/>
      <c r="F156" s="2"/>
      <c r="G156" s="2"/>
      <c r="H156" s="2"/>
    </row>
    <row r="157" spans="1:42" ht="15" customHeight="1" x14ac:dyDescent="0.45">
      <c r="A157" s="25" t="s">
        <v>105</v>
      </c>
      <c r="B157" s="26">
        <f>B154+B155+B156</f>
        <v>578</v>
      </c>
      <c r="C157" s="2"/>
      <c r="D157" s="2"/>
      <c r="E157" s="2"/>
      <c r="F157" s="2"/>
      <c r="G157" s="2"/>
      <c r="H157" s="2"/>
    </row>
    <row r="158" spans="1:42" ht="15" customHeight="1" x14ac:dyDescent="0.45">
      <c r="A158" s="2"/>
      <c r="B158" s="2"/>
      <c r="C158" s="2"/>
      <c r="D158" s="2"/>
      <c r="E158" s="2"/>
      <c r="F158" s="2"/>
      <c r="G158" s="2"/>
      <c r="H158" s="2"/>
    </row>
    <row r="159" spans="1:42" ht="15" customHeight="1" x14ac:dyDescent="0.3">
      <c r="A159" s="27" t="s">
        <v>106</v>
      </c>
      <c r="B159" s="27" t="s">
        <v>107</v>
      </c>
      <c r="C159" s="27" t="s">
        <v>108</v>
      </c>
      <c r="D159" s="27" t="s">
        <v>109</v>
      </c>
      <c r="E159" s="27" t="s">
        <v>110</v>
      </c>
      <c r="F159" s="27" t="s">
        <v>111</v>
      </c>
      <c r="G159" s="27" t="s">
        <v>112</v>
      </c>
      <c r="H159" s="27" t="s">
        <v>88</v>
      </c>
    </row>
    <row r="160" spans="1:42" ht="15" customHeight="1" x14ac:dyDescent="0.3">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ht="15" customHeight="1" x14ac:dyDescent="0.3">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ht="15" customHeight="1" x14ac:dyDescent="0.3">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3</v>
      </c>
    </row>
    <row r="163" spans="1:8" ht="15" customHeight="1" x14ac:dyDescent="0.3">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ht="15" customHeight="1" x14ac:dyDescent="0.3">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ht="15" customHeight="1" x14ac:dyDescent="0.3">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ht="15" customHeight="1" x14ac:dyDescent="0.3">
      <c r="A166" s="28">
        <v>7</v>
      </c>
      <c r="B166" s="29" t="s">
        <v>131</v>
      </c>
      <c r="C166" s="30" t="s">
        <v>132</v>
      </c>
      <c r="D166" s="30" t="s">
        <v>133</v>
      </c>
      <c r="E166" s="28">
        <f>Realität!I5</f>
        <v>1</v>
      </c>
      <c r="F166" s="28">
        <f>Realität!J5</f>
        <v>1</v>
      </c>
      <c r="G166" s="28">
        <f>IF(OR(I5="",Realität!I5=""),0,IF(SIGN(I5-J5)=SIGN(Realität!I5-Realität!J5),5,0))</f>
        <v>5</v>
      </c>
      <c r="H166" s="28">
        <f>IF(OR(I5="",Realität!I5=""),0,MAX(0,5-ABS(I5-Realität!I5)-ABS(J5-Realität!J5)))</f>
        <v>5</v>
      </c>
    </row>
    <row r="167" spans="1:8" ht="15" customHeight="1" x14ac:dyDescent="0.3">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ht="15" customHeight="1" x14ac:dyDescent="0.3">
      <c r="A168" s="28">
        <v>9</v>
      </c>
      <c r="B168" s="29" t="s">
        <v>137</v>
      </c>
      <c r="C168" s="30" t="s">
        <v>138</v>
      </c>
      <c r="D168" s="30" t="s">
        <v>139</v>
      </c>
      <c r="E168" s="28">
        <f>Realität!I16</f>
        <v>4</v>
      </c>
      <c r="F168" s="28">
        <f>Realität!J16</f>
        <v>1</v>
      </c>
      <c r="G168" s="28">
        <f>IF(OR(I16="",Realität!I16=""),0,IF(SIGN(I16-J16)=SIGN(Realität!I16-Realität!J16),5,0))</f>
        <v>0</v>
      </c>
      <c r="H168" s="28">
        <f>IF(OR(I16="",Realität!I16=""),0,MAX(0,5-ABS(I16-Realität!I16)-ABS(J16-Realität!J16)))</f>
        <v>2</v>
      </c>
    </row>
    <row r="169" spans="1:8" ht="15" customHeight="1" x14ac:dyDescent="0.3">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ht="15" customHeight="1" x14ac:dyDescent="0.3">
      <c r="A170" s="28">
        <v>11</v>
      </c>
      <c r="B170" s="29" t="s">
        <v>143</v>
      </c>
      <c r="C170" s="30" t="s">
        <v>144</v>
      </c>
      <c r="D170" s="30" t="s">
        <v>145</v>
      </c>
      <c r="E170" s="28">
        <f>Realität!I27</f>
        <v>3</v>
      </c>
      <c r="F170" s="28">
        <f>Realität!J27</f>
        <v>1</v>
      </c>
      <c r="G170" s="28">
        <f>IF(OR(I27="",Realität!I27=""),0,IF(SIGN(I27-J27)=SIGN(Realität!I27-Realität!J27),5,0))</f>
        <v>0</v>
      </c>
      <c r="H170" s="28">
        <f>IF(OR(I27="",Realität!I27=""),0,MAX(0,5-ABS(I27-Realität!I27)-ABS(J27-Realität!J27)))</f>
        <v>2</v>
      </c>
    </row>
    <row r="171" spans="1:8" ht="15" customHeight="1" x14ac:dyDescent="0.3">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ht="15" customHeight="1" x14ac:dyDescent="0.3">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ht="15" customHeight="1" x14ac:dyDescent="0.3">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ht="15" customHeight="1" x14ac:dyDescent="0.3">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5</v>
      </c>
    </row>
    <row r="175" spans="1:8" ht="15" customHeight="1" x14ac:dyDescent="0.3">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ht="15" customHeight="1" x14ac:dyDescent="0.3">
      <c r="A176" s="28">
        <v>17</v>
      </c>
      <c r="B176" s="29" t="s">
        <v>161</v>
      </c>
      <c r="C176" s="30" t="s">
        <v>162</v>
      </c>
      <c r="D176" s="30" t="s">
        <v>163</v>
      </c>
      <c r="E176" s="28">
        <f>Realität!P27</f>
        <v>4</v>
      </c>
      <c r="F176" s="28">
        <f>Realität!Q27</f>
        <v>2</v>
      </c>
      <c r="G176" s="28">
        <f>IF(OR(P27="",Realität!P27=""),0,IF(SIGN(P27-Q27)=SIGN(Realität!P27-Realität!Q27),5,0))</f>
        <v>0</v>
      </c>
      <c r="H176" s="28">
        <f>IF(OR(P27="",Realität!P27=""),0,MAX(0,5-ABS(P27-Realität!P27)-ABS(Q27-Realität!Q27)))</f>
        <v>1</v>
      </c>
    </row>
    <row r="177" spans="1:8" ht="15" customHeight="1" x14ac:dyDescent="0.3">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ht="15" customHeight="1" x14ac:dyDescent="0.3">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3</v>
      </c>
    </row>
    <row r="179" spans="1:8" ht="15" customHeight="1" x14ac:dyDescent="0.3">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ht="15" customHeight="1" x14ac:dyDescent="0.3">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ht="15" customHeight="1" x14ac:dyDescent="0.3">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5</v>
      </c>
    </row>
    <row r="182" spans="1:8" ht="15" customHeight="1" x14ac:dyDescent="0.3">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3</v>
      </c>
    </row>
    <row r="183" spans="1:8" ht="15" customHeight="1" x14ac:dyDescent="0.3">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2</v>
      </c>
    </row>
    <row r="184" spans="1:8" ht="15" customHeight="1" x14ac:dyDescent="0.3">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3</v>
      </c>
    </row>
    <row r="185" spans="1:8" ht="15" customHeight="1" x14ac:dyDescent="0.3">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ht="15" customHeight="1" x14ac:dyDescent="0.3">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ht="15" customHeight="1" x14ac:dyDescent="0.3">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ht="15" customHeight="1" x14ac:dyDescent="0.3">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3</v>
      </c>
    </row>
    <row r="189" spans="1:8" ht="15" customHeight="1" x14ac:dyDescent="0.3">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ht="15" customHeight="1" x14ac:dyDescent="0.3">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ht="15" customHeight="1" x14ac:dyDescent="0.3">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0</v>
      </c>
    </row>
    <row r="192" spans="1:8" ht="15" customHeight="1" x14ac:dyDescent="0.3">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ht="15" customHeight="1" x14ac:dyDescent="0.3">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ht="15" customHeight="1" x14ac:dyDescent="0.3">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ht="15" customHeight="1" x14ac:dyDescent="0.3">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ht="15" customHeight="1" x14ac:dyDescent="0.3">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ht="15" customHeight="1" x14ac:dyDescent="0.3">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3</v>
      </c>
    </row>
    <row r="198" spans="1:8" ht="15" customHeight="1" x14ac:dyDescent="0.3">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ht="15" customHeight="1" x14ac:dyDescent="0.3">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3</v>
      </c>
    </row>
    <row r="200" spans="1:8" ht="15" customHeight="1" x14ac:dyDescent="0.3">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4</v>
      </c>
    </row>
    <row r="201" spans="1:8" ht="15" customHeight="1" x14ac:dyDescent="0.3">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5</v>
      </c>
    </row>
    <row r="202" spans="1:8" ht="15" customHeight="1" x14ac:dyDescent="0.3">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ht="15" customHeight="1" x14ac:dyDescent="0.3">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ht="15" customHeight="1" x14ac:dyDescent="0.3">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ht="15" customHeight="1" x14ac:dyDescent="0.3">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ht="15" customHeight="1" x14ac:dyDescent="0.3">
      <c r="A206" s="28">
        <v>47</v>
      </c>
      <c r="B206" s="29" t="s">
        <v>251</v>
      </c>
      <c r="C206" s="30" t="s">
        <v>252</v>
      </c>
      <c r="D206" s="30" t="s">
        <v>253</v>
      </c>
      <c r="E206" s="28">
        <f>Realität!I74</f>
        <v>0</v>
      </c>
      <c r="F206" s="28">
        <f>Realität!J74</f>
        <v>1</v>
      </c>
      <c r="G206" s="28">
        <f>IF(OR(I74="",Realität!I74=""),0,IF(SIGN(I74-J74)=SIGN(Realität!I74-Realität!J74),5,0))</f>
        <v>0</v>
      </c>
      <c r="H206" s="28">
        <f>IF(OR(I74="",Realität!I74=""),0,MAX(0,5-ABS(I74-Realität!I74)-ABS(J74-Realität!J74)))</f>
        <v>4</v>
      </c>
    </row>
    <row r="207" spans="1:8" ht="15" customHeight="1" x14ac:dyDescent="0.3">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ht="15" customHeight="1" x14ac:dyDescent="0.3">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ht="15" customHeight="1" x14ac:dyDescent="0.3">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2</v>
      </c>
    </row>
    <row r="210" spans="1:8" ht="15" customHeight="1" x14ac:dyDescent="0.3">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ht="15" customHeight="1" x14ac:dyDescent="0.3">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ht="15" customHeight="1" x14ac:dyDescent="0.3">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4</v>
      </c>
    </row>
    <row r="213" spans="1:8" ht="15" customHeight="1" x14ac:dyDescent="0.3">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ht="15" customHeight="1" x14ac:dyDescent="0.3">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ht="15" customHeight="1" x14ac:dyDescent="0.3">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ht="15" customHeight="1" x14ac:dyDescent="0.3">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ht="15" customHeight="1" x14ac:dyDescent="0.3">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3</v>
      </c>
    </row>
    <row r="218" spans="1:8" ht="15" customHeight="1" x14ac:dyDescent="0.3">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ht="15" customHeight="1" x14ac:dyDescent="0.3">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ht="15" customHeight="1" x14ac:dyDescent="0.3">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ht="15" customHeight="1" x14ac:dyDescent="0.3">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ht="15" customHeight="1" x14ac:dyDescent="0.3">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ht="15" customHeight="1" x14ac:dyDescent="0.3">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ht="15" customHeight="1" x14ac:dyDescent="0.3">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3</v>
      </c>
    </row>
    <row r="225" spans="1:8" ht="15" customHeight="1" x14ac:dyDescent="0.3">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ht="15" customHeight="1" x14ac:dyDescent="0.3">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ht="15" customHeight="1" x14ac:dyDescent="0.3">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5</v>
      </c>
    </row>
    <row r="228" spans="1:8" ht="15" customHeight="1" x14ac:dyDescent="0.3">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ht="15" customHeight="1" x14ac:dyDescent="0.3">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4</v>
      </c>
    </row>
    <row r="230" spans="1:8" ht="15" customHeight="1" x14ac:dyDescent="0.3">
      <c r="A230" s="28">
        <v>71</v>
      </c>
      <c r="B230" s="29" t="s">
        <v>323</v>
      </c>
      <c r="C230" s="30" t="s">
        <v>324</v>
      </c>
      <c r="D230" s="30" t="s">
        <v>325</v>
      </c>
      <c r="E230" s="28">
        <f>Realität!AK74</f>
        <v>0</v>
      </c>
      <c r="F230" s="28">
        <f>Realität!AL74</f>
        <v>2</v>
      </c>
      <c r="G230" s="28">
        <f>IF(OR(AK74="",Realität!AK74=""),0,IF(SIGN(AK74-AL74)=SIGN(Realität!AK74-Realität!AL74),5,0))</f>
        <v>0</v>
      </c>
      <c r="H230" s="28">
        <f>IF(OR(AK74="",Realität!AK74=""),0,MAX(0,5-ABS(AK74-Realität!AK74)-ABS(AL74-Realität!AL74)))</f>
        <v>3</v>
      </c>
    </row>
    <row r="231" spans="1:8" ht="15" customHeight="1" x14ac:dyDescent="0.3">
      <c r="A231" s="28">
        <v>72</v>
      </c>
      <c r="B231" s="29" t="s">
        <v>326</v>
      </c>
      <c r="C231" s="30" t="s">
        <v>327</v>
      </c>
      <c r="D231" s="30" t="s">
        <v>328</v>
      </c>
      <c r="E231" s="28">
        <f>Realität!AK79</f>
        <v>2</v>
      </c>
      <c r="F231" s="28">
        <f>Realität!AL79</f>
        <v>1</v>
      </c>
      <c r="G231" s="28">
        <f>IF(OR(AK79="",Realität!AK79=""),0,IF(SIGN(AK79-AL79)=SIGN(Realität!AK79-Realität!AL79),5,0))</f>
        <v>0</v>
      </c>
      <c r="H231" s="28">
        <f>IF(OR(AK79="",Realität!AK79=""),0,MAX(0,5-ABS(AK79-Realität!AK79)-ABS(AL79-Realität!AL79)))</f>
        <v>4</v>
      </c>
    </row>
    <row r="232" spans="1:8" ht="15" customHeight="1" x14ac:dyDescent="0.45">
      <c r="A232" s="31" t="s">
        <v>329</v>
      </c>
      <c r="B232" s="2"/>
      <c r="C232" s="2"/>
      <c r="D232" s="2"/>
      <c r="E232" s="2"/>
      <c r="F232" s="23" t="s">
        <v>330</v>
      </c>
      <c r="G232" s="24">
        <f>SUM(G160:G231)</f>
        <v>215</v>
      </c>
      <c r="H232" s="24">
        <f>SUM(H160:H231)</f>
        <v>233</v>
      </c>
    </row>
    <row r="233" spans="1:8" ht="15" customHeight="1" x14ac:dyDescent="0.45">
      <c r="A233" s="27" t="s">
        <v>106</v>
      </c>
      <c r="B233" s="27" t="s">
        <v>331</v>
      </c>
      <c r="C233" s="27" t="s">
        <v>332</v>
      </c>
      <c r="D233" s="27" t="s">
        <v>333</v>
      </c>
      <c r="E233" s="27" t="s">
        <v>52</v>
      </c>
      <c r="F233" s="2"/>
      <c r="G233" s="2"/>
      <c r="H233" s="2"/>
    </row>
    <row r="234" spans="1:8" ht="15" customHeight="1" x14ac:dyDescent="0.45">
      <c r="A234" s="28">
        <v>1</v>
      </c>
      <c r="B234" s="29" t="s">
        <v>334</v>
      </c>
      <c r="C234" s="29" t="str">
        <f>Realität!B43</f>
        <v>Mexiko</v>
      </c>
      <c r="D234" s="29" t="str">
        <f>B43</f>
        <v>Mexiko</v>
      </c>
      <c r="E234" s="28">
        <f t="shared" ref="E234:E265" si="0">IF(OR(C234="",D234=""),0,IF(COUNTIF($C$234:$C$265,D234)&gt;0,5,0))</f>
        <v>5</v>
      </c>
      <c r="F234" s="2"/>
      <c r="G234" s="2"/>
      <c r="H234" s="2"/>
    </row>
    <row r="235" spans="1:8" ht="15" customHeight="1" x14ac:dyDescent="0.45">
      <c r="A235" s="28">
        <v>2</v>
      </c>
      <c r="B235" s="29" t="s">
        <v>335</v>
      </c>
      <c r="C235" s="29" t="str">
        <f>Realität!B44</f>
        <v>Südafrika</v>
      </c>
      <c r="D235" s="29" t="str">
        <f>B44</f>
        <v>Tschechien</v>
      </c>
      <c r="E235" s="28">
        <f t="shared" si="0"/>
        <v>0</v>
      </c>
      <c r="F235" s="2"/>
      <c r="G235" s="2"/>
      <c r="H235" s="2"/>
    </row>
    <row r="236" spans="1:8" ht="15" customHeight="1" x14ac:dyDescent="0.45">
      <c r="A236" s="28">
        <v>3</v>
      </c>
      <c r="B236" s="29" t="s">
        <v>336</v>
      </c>
      <c r="C236" s="29" t="str">
        <f>Realität!I43</f>
        <v>Schweiz</v>
      </c>
      <c r="D236" s="29" t="str">
        <f>I43</f>
        <v>Schweiz</v>
      </c>
      <c r="E236" s="28">
        <f t="shared" si="0"/>
        <v>5</v>
      </c>
      <c r="F236" s="2"/>
      <c r="G236" s="2"/>
      <c r="H236" s="2"/>
    </row>
    <row r="237" spans="1:8" ht="15" customHeight="1" x14ac:dyDescent="0.45">
      <c r="A237" s="28">
        <v>4</v>
      </c>
      <c r="B237" s="29" t="s">
        <v>337</v>
      </c>
      <c r="C237" s="29" t="str">
        <f>Realität!I44</f>
        <v>Kanada</v>
      </c>
      <c r="D237" s="29" t="str">
        <f>I44</f>
        <v>Kanada</v>
      </c>
      <c r="E237" s="28">
        <f t="shared" si="0"/>
        <v>5</v>
      </c>
      <c r="F237" s="2"/>
      <c r="G237" s="2"/>
      <c r="H237" s="2"/>
    </row>
    <row r="238" spans="1:8" ht="15" customHeight="1" x14ac:dyDescent="0.45">
      <c r="A238" s="28">
        <v>5</v>
      </c>
      <c r="B238" s="29" t="s">
        <v>338</v>
      </c>
      <c r="C238" s="29" t="str">
        <f>Realität!P43</f>
        <v>Brasilien</v>
      </c>
      <c r="D238" s="29" t="str">
        <f>P43</f>
        <v>Brasilien</v>
      </c>
      <c r="E238" s="28">
        <f t="shared" si="0"/>
        <v>5</v>
      </c>
      <c r="F238" s="2"/>
      <c r="G238" s="2"/>
      <c r="H238" s="2"/>
    </row>
    <row r="239" spans="1:8" ht="15" customHeight="1" x14ac:dyDescent="0.45">
      <c r="A239" s="28">
        <v>6</v>
      </c>
      <c r="B239" s="29" t="s">
        <v>339</v>
      </c>
      <c r="C239" s="29" t="str">
        <f>Realität!P44</f>
        <v>Marokko</v>
      </c>
      <c r="D239" s="29" t="str">
        <f>P44</f>
        <v>Schottland</v>
      </c>
      <c r="E239" s="28">
        <f t="shared" si="0"/>
        <v>0</v>
      </c>
      <c r="F239" s="2"/>
      <c r="G239" s="2"/>
      <c r="H239" s="2"/>
    </row>
    <row r="240" spans="1:8" ht="15" customHeight="1" x14ac:dyDescent="0.45">
      <c r="A240" s="28">
        <v>7</v>
      </c>
      <c r="B240" s="29" t="s">
        <v>340</v>
      </c>
      <c r="C240" s="29" t="str">
        <f>Realität!W43</f>
        <v>USA</v>
      </c>
      <c r="D240" s="29" t="str">
        <f>W43</f>
        <v>USA</v>
      </c>
      <c r="E240" s="28">
        <f t="shared" si="0"/>
        <v>5</v>
      </c>
      <c r="F240" s="2"/>
      <c r="G240" s="2"/>
      <c r="H240" s="2"/>
    </row>
    <row r="241" spans="1:8" ht="15" customHeight="1" x14ac:dyDescent="0.45">
      <c r="A241" s="28">
        <v>8</v>
      </c>
      <c r="B241" s="29" t="s">
        <v>341</v>
      </c>
      <c r="C241" s="29" t="str">
        <f>Realität!W44</f>
        <v>Australien</v>
      </c>
      <c r="D241" s="29" t="str">
        <f>W44</f>
        <v>Türkei</v>
      </c>
      <c r="E241" s="28">
        <f t="shared" si="0"/>
        <v>0</v>
      </c>
      <c r="F241" s="2"/>
      <c r="G241" s="2"/>
      <c r="H241" s="2"/>
    </row>
    <row r="242" spans="1:8" ht="15" customHeight="1" x14ac:dyDescent="0.45">
      <c r="A242" s="28">
        <v>9</v>
      </c>
      <c r="B242" s="29" t="s">
        <v>342</v>
      </c>
      <c r="C242" s="29" t="str">
        <f>Realität!AD43</f>
        <v>Deutschland</v>
      </c>
      <c r="D242" s="29" t="str">
        <f>AD43</f>
        <v>Deutschland</v>
      </c>
      <c r="E242" s="28">
        <f t="shared" si="0"/>
        <v>5</v>
      </c>
      <c r="F242" s="2"/>
      <c r="G242" s="2"/>
      <c r="H242" s="2"/>
    </row>
    <row r="243" spans="1:8" ht="15" customHeight="1" x14ac:dyDescent="0.45">
      <c r="A243" s="28">
        <v>10</v>
      </c>
      <c r="B243" s="29" t="s">
        <v>343</v>
      </c>
      <c r="C243" s="29" t="str">
        <f>Realität!AD44</f>
        <v>Elfenbeinküste</v>
      </c>
      <c r="D243" s="29" t="str">
        <f>AD44</f>
        <v>Elfenbeinküste</v>
      </c>
      <c r="E243" s="28">
        <f t="shared" si="0"/>
        <v>5</v>
      </c>
      <c r="F243" s="2"/>
      <c r="G243" s="2"/>
      <c r="H243" s="2"/>
    </row>
    <row r="244" spans="1:8" ht="15" customHeight="1" x14ac:dyDescent="0.45">
      <c r="A244" s="28">
        <v>11</v>
      </c>
      <c r="B244" s="29" t="s">
        <v>344</v>
      </c>
      <c r="C244" s="29" t="str">
        <f>Realität!AK43</f>
        <v>Niederlande</v>
      </c>
      <c r="D244" s="29" t="str">
        <f>AK43</f>
        <v>Niederlande</v>
      </c>
      <c r="E244" s="28">
        <f t="shared" si="0"/>
        <v>5</v>
      </c>
      <c r="F244" s="2"/>
      <c r="G244" s="2"/>
      <c r="H244" s="2"/>
    </row>
    <row r="245" spans="1:8" ht="15" customHeight="1" x14ac:dyDescent="0.45">
      <c r="A245" s="28">
        <v>12</v>
      </c>
      <c r="B245" s="29" t="s">
        <v>345</v>
      </c>
      <c r="C245" s="29" t="str">
        <f>Realität!AK44</f>
        <v>Japan</v>
      </c>
      <c r="D245" s="29" t="str">
        <f>AK44</f>
        <v>Japan</v>
      </c>
      <c r="E245" s="28">
        <f t="shared" si="0"/>
        <v>5</v>
      </c>
      <c r="F245" s="2"/>
      <c r="G245" s="2"/>
      <c r="H245" s="2"/>
    </row>
    <row r="246" spans="1:8" ht="15" customHeight="1" x14ac:dyDescent="0.45">
      <c r="A246" s="28">
        <v>13</v>
      </c>
      <c r="B246" s="29" t="s">
        <v>346</v>
      </c>
      <c r="C246" s="29" t="str">
        <f>Realität!B90</f>
        <v>Belgien</v>
      </c>
      <c r="D246" s="29" t="str">
        <f>B90</f>
        <v>Belgien</v>
      </c>
      <c r="E246" s="28">
        <f t="shared" si="0"/>
        <v>5</v>
      </c>
      <c r="F246" s="2"/>
      <c r="G246" s="2"/>
      <c r="H246" s="2"/>
    </row>
    <row r="247" spans="1:8" ht="15" customHeight="1" x14ac:dyDescent="0.45">
      <c r="A247" s="28">
        <v>14</v>
      </c>
      <c r="B247" s="29" t="s">
        <v>347</v>
      </c>
      <c r="C247" s="29" t="str">
        <f>Realität!B91</f>
        <v>Ägypten</v>
      </c>
      <c r="D247" s="29" t="str">
        <f>B91</f>
        <v>Ägypten</v>
      </c>
      <c r="E247" s="28">
        <f t="shared" si="0"/>
        <v>5</v>
      </c>
      <c r="F247" s="2"/>
      <c r="G247" s="2"/>
      <c r="H247" s="2"/>
    </row>
    <row r="248" spans="1:8" ht="15" customHeight="1" x14ac:dyDescent="0.45">
      <c r="A248" s="28">
        <v>15</v>
      </c>
      <c r="B248" s="29" t="s">
        <v>348</v>
      </c>
      <c r="C248" s="29" t="str">
        <f>Realität!I90</f>
        <v>Spanien</v>
      </c>
      <c r="D248" s="29" t="str">
        <f>I90</f>
        <v>Spanien</v>
      </c>
      <c r="E248" s="28">
        <f t="shared" si="0"/>
        <v>5</v>
      </c>
      <c r="F248" s="2"/>
      <c r="G248" s="2"/>
      <c r="H248" s="2"/>
    </row>
    <row r="249" spans="1:8" ht="15" customHeight="1" x14ac:dyDescent="0.45">
      <c r="A249" s="28">
        <v>16</v>
      </c>
      <c r="B249" s="29" t="s">
        <v>349</v>
      </c>
      <c r="C249" s="29" t="str">
        <f>Realität!I91</f>
        <v>Kap Verde</v>
      </c>
      <c r="D249" s="29" t="str">
        <f>I91</f>
        <v>Uruguay</v>
      </c>
      <c r="E249" s="28">
        <f t="shared" si="0"/>
        <v>0</v>
      </c>
      <c r="F249" s="2"/>
      <c r="G249" s="2"/>
      <c r="H249" s="2"/>
    </row>
    <row r="250" spans="1:8" ht="15" customHeight="1" x14ac:dyDescent="0.45">
      <c r="A250" s="28">
        <v>17</v>
      </c>
      <c r="B250" s="29" t="s">
        <v>350</v>
      </c>
      <c r="C250" s="29" t="str">
        <f>Realität!P90</f>
        <v>Frankreich</v>
      </c>
      <c r="D250" s="29" t="str">
        <f>P90</f>
        <v>Frankreich</v>
      </c>
      <c r="E250" s="28">
        <f t="shared" si="0"/>
        <v>5</v>
      </c>
      <c r="F250" s="2"/>
      <c r="G250" s="2"/>
      <c r="H250" s="2"/>
    </row>
    <row r="251" spans="1:8" ht="15" customHeight="1" x14ac:dyDescent="0.45">
      <c r="A251" s="28">
        <v>18</v>
      </c>
      <c r="B251" s="29" t="s">
        <v>351</v>
      </c>
      <c r="C251" s="29" t="str">
        <f>Realität!P91</f>
        <v>Norwegen</v>
      </c>
      <c r="D251" s="29" t="str">
        <f>P91</f>
        <v>Senegal</v>
      </c>
      <c r="E251" s="28">
        <f t="shared" si="0"/>
        <v>5</v>
      </c>
      <c r="F251" s="2"/>
      <c r="G251" s="2"/>
      <c r="H251" s="2"/>
    </row>
    <row r="252" spans="1:8" ht="15" customHeight="1" x14ac:dyDescent="0.45">
      <c r="A252" s="28">
        <v>19</v>
      </c>
      <c r="B252" s="29" t="s">
        <v>352</v>
      </c>
      <c r="C252" s="29" t="str">
        <f>Realität!W90</f>
        <v>Argentinien</v>
      </c>
      <c r="D252" s="29" t="str">
        <f>W90</f>
        <v>Argentinien</v>
      </c>
      <c r="E252" s="28">
        <f t="shared" si="0"/>
        <v>5</v>
      </c>
      <c r="F252" s="2"/>
      <c r="G252" s="2"/>
      <c r="H252" s="2"/>
    </row>
    <row r="253" spans="1:8" ht="15" customHeight="1" x14ac:dyDescent="0.45">
      <c r="A253" s="28">
        <v>20</v>
      </c>
      <c r="B253" s="29" t="s">
        <v>353</v>
      </c>
      <c r="C253" s="29" t="str">
        <f>Realität!W91</f>
        <v>Österreich</v>
      </c>
      <c r="D253" s="29" t="str">
        <f>W91</f>
        <v>Österreich</v>
      </c>
      <c r="E253" s="28">
        <f t="shared" si="0"/>
        <v>5</v>
      </c>
      <c r="F253" s="2"/>
      <c r="G253" s="2"/>
      <c r="H253" s="2"/>
    </row>
    <row r="254" spans="1:8" ht="15" customHeight="1" x14ac:dyDescent="0.45">
      <c r="A254" s="28">
        <v>21</v>
      </c>
      <c r="B254" s="29" t="s">
        <v>354</v>
      </c>
      <c r="C254" s="29" t="str">
        <f>Realität!AD90</f>
        <v>Kolumbien</v>
      </c>
      <c r="D254" s="29" t="str">
        <f>AD90</f>
        <v>Portugal</v>
      </c>
      <c r="E254" s="28">
        <f t="shared" si="0"/>
        <v>5</v>
      </c>
      <c r="F254" s="2"/>
      <c r="G254" s="2"/>
      <c r="H254" s="2"/>
    </row>
    <row r="255" spans="1:8" ht="15" customHeight="1" x14ac:dyDescent="0.45">
      <c r="A255" s="28">
        <v>22</v>
      </c>
      <c r="B255" s="29" t="s">
        <v>355</v>
      </c>
      <c r="C255" s="29" t="str">
        <f>Realität!AD91</f>
        <v>Portugal</v>
      </c>
      <c r="D255" s="29" t="str">
        <f>AD91</f>
        <v>Kolumbien</v>
      </c>
      <c r="E255" s="28">
        <f t="shared" si="0"/>
        <v>5</v>
      </c>
      <c r="F255" s="2"/>
      <c r="G255" s="2"/>
      <c r="H255" s="2"/>
    </row>
    <row r="256" spans="1:8" ht="15" customHeight="1" x14ac:dyDescent="0.45">
      <c r="A256" s="28">
        <v>23</v>
      </c>
      <c r="B256" s="29" t="s">
        <v>356</v>
      </c>
      <c r="C256" s="29" t="str">
        <f>Realität!AK90</f>
        <v>England</v>
      </c>
      <c r="D256" s="29" t="str">
        <f>AK90</f>
        <v>England</v>
      </c>
      <c r="E256" s="28">
        <f t="shared" si="0"/>
        <v>5</v>
      </c>
      <c r="F256" s="2"/>
      <c r="G256" s="2"/>
      <c r="H256" s="2"/>
    </row>
    <row r="257" spans="1:8" ht="15" customHeight="1" x14ac:dyDescent="0.45">
      <c r="A257" s="28">
        <v>24</v>
      </c>
      <c r="B257" s="29" t="s">
        <v>357</v>
      </c>
      <c r="C257" s="29" t="str">
        <f>Realität!AK91</f>
        <v>Kroatien</v>
      </c>
      <c r="D257" s="29" t="str">
        <f>AK91</f>
        <v>Kroatien</v>
      </c>
      <c r="E257" s="28">
        <f t="shared" si="0"/>
        <v>5</v>
      </c>
      <c r="F257" s="2"/>
      <c r="G257" s="2"/>
      <c r="H257" s="2"/>
    </row>
    <row r="258" spans="1:8" ht="15" customHeight="1" x14ac:dyDescent="0.45">
      <c r="A258" s="28">
        <v>25</v>
      </c>
      <c r="B258" s="29" t="s">
        <v>358</v>
      </c>
      <c r="C258" s="29" t="str">
        <f>Realität!R112</f>
        <v>DR Kongo</v>
      </c>
      <c r="D258" s="29" t="str">
        <f t="shared" ref="D258:D265" si="1">R112</f>
        <v>Norwegen</v>
      </c>
      <c r="E258" s="28">
        <f t="shared" si="0"/>
        <v>5</v>
      </c>
      <c r="F258" s="2"/>
      <c r="G258" s="2"/>
      <c r="H258" s="2"/>
    </row>
    <row r="259" spans="1:8" ht="15" customHeight="1" x14ac:dyDescent="0.45">
      <c r="A259" s="28">
        <v>26</v>
      </c>
      <c r="B259" s="29" t="s">
        <v>359</v>
      </c>
      <c r="C259" s="29" t="str">
        <f>Realität!R113</f>
        <v>Schweden</v>
      </c>
      <c r="D259" s="29" t="str">
        <f t="shared" si="1"/>
        <v>Iran</v>
      </c>
      <c r="E259" s="28">
        <f t="shared" si="0"/>
        <v>0</v>
      </c>
      <c r="F259" s="2"/>
      <c r="G259" s="2"/>
      <c r="H259" s="2"/>
    </row>
    <row r="260" spans="1:8" ht="15" customHeight="1" x14ac:dyDescent="0.45">
      <c r="A260" s="28">
        <v>27</v>
      </c>
      <c r="B260" s="29" t="s">
        <v>360</v>
      </c>
      <c r="C260" s="29" t="str">
        <f>Realität!R114</f>
        <v>Ghana</v>
      </c>
      <c r="D260" s="29" t="str">
        <f t="shared" si="1"/>
        <v>Südkorea</v>
      </c>
      <c r="E260" s="28">
        <f t="shared" si="0"/>
        <v>0</v>
      </c>
      <c r="F260" s="2"/>
      <c r="G260" s="2"/>
      <c r="H260" s="2"/>
    </row>
    <row r="261" spans="1:8" ht="15" customHeight="1" x14ac:dyDescent="0.45">
      <c r="A261" s="28">
        <v>28</v>
      </c>
      <c r="B261" s="29" t="s">
        <v>361</v>
      </c>
      <c r="C261" s="29" t="str">
        <f>Realität!R115</f>
        <v>Ecuador</v>
      </c>
      <c r="D261" s="29" t="str">
        <f t="shared" si="1"/>
        <v>Ecuador</v>
      </c>
      <c r="E261" s="28">
        <f t="shared" si="0"/>
        <v>5</v>
      </c>
      <c r="F261" s="2"/>
      <c r="G261" s="2"/>
      <c r="H261" s="2"/>
    </row>
    <row r="262" spans="1:8" ht="15" customHeight="1" x14ac:dyDescent="0.45">
      <c r="A262" s="28">
        <v>29</v>
      </c>
      <c r="B262" s="29" t="s">
        <v>362</v>
      </c>
      <c r="C262" s="29" t="str">
        <f>Realität!R116</f>
        <v>Bosnien-Herz.</v>
      </c>
      <c r="D262" s="29" t="str">
        <f t="shared" si="1"/>
        <v>Schweden</v>
      </c>
      <c r="E262" s="28">
        <f t="shared" si="0"/>
        <v>5</v>
      </c>
      <c r="F262" s="2"/>
      <c r="G262" s="2"/>
      <c r="H262" s="2"/>
    </row>
    <row r="263" spans="1:8" ht="15" customHeight="1" x14ac:dyDescent="0.45">
      <c r="A263" s="28">
        <v>30</v>
      </c>
      <c r="B263" s="29" t="s">
        <v>363</v>
      </c>
      <c r="C263" s="29" t="str">
        <f>Realität!R117</f>
        <v>Algerien</v>
      </c>
      <c r="D263" s="29" t="str">
        <f t="shared" si="1"/>
        <v>Algerien</v>
      </c>
      <c r="E263" s="28">
        <f t="shared" si="0"/>
        <v>5</v>
      </c>
      <c r="F263" s="2"/>
      <c r="G263" s="2"/>
      <c r="H263" s="2"/>
    </row>
    <row r="264" spans="1:8" ht="15" customHeight="1" x14ac:dyDescent="0.45">
      <c r="A264" s="28">
        <v>31</v>
      </c>
      <c r="B264" s="29" t="s">
        <v>364</v>
      </c>
      <c r="C264" s="29" t="str">
        <f>Realität!R118</f>
        <v>Paraguay</v>
      </c>
      <c r="D264" s="29" t="str">
        <f t="shared" si="1"/>
        <v>Ghana</v>
      </c>
      <c r="E264" s="28">
        <f t="shared" si="0"/>
        <v>5</v>
      </c>
      <c r="F264" s="2"/>
      <c r="G264" s="2"/>
      <c r="H264" s="2"/>
    </row>
    <row r="265" spans="1:8" ht="15" customHeight="1" x14ac:dyDescent="0.45">
      <c r="A265" s="28">
        <v>32</v>
      </c>
      <c r="B265" s="29" t="s">
        <v>365</v>
      </c>
      <c r="C265" s="29" t="str">
        <f>Realität!R119</f>
        <v>Senegal</v>
      </c>
      <c r="D265" s="29" t="str">
        <f t="shared" si="1"/>
        <v>Marokko</v>
      </c>
      <c r="E265" s="28">
        <f t="shared" si="0"/>
        <v>5</v>
      </c>
      <c r="F265" s="2"/>
      <c r="G265" s="2"/>
      <c r="H265" s="2"/>
    </row>
    <row r="266" spans="1:8" ht="15" customHeight="1" x14ac:dyDescent="0.45">
      <c r="A266" s="2"/>
      <c r="B266" s="2"/>
      <c r="C266" s="2"/>
      <c r="D266" s="23" t="s">
        <v>330</v>
      </c>
      <c r="E266" s="24">
        <f>SUM(E234:E265)</f>
        <v>130</v>
      </c>
      <c r="F266" s="2"/>
      <c r="G266" s="2"/>
      <c r="H266" s="2"/>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4B44-3EC8-481A-B807-E2D3C7CB3FF1}">
  <dimension ref="A1:AP266"/>
  <sheetViews>
    <sheetView topLeftCell="A143" workbookViewId="0">
      <selection activeCell="A152" sqref="A152:H266"/>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0</v>
      </c>
      <c r="K5" s="4"/>
      <c r="L5" s="4"/>
      <c r="M5" s="4"/>
      <c r="N5" s="4"/>
      <c r="O5" s="4"/>
      <c r="P5" s="38">
        <v>1</v>
      </c>
      <c r="Q5" s="38">
        <v>2</v>
      </c>
      <c r="R5" s="4"/>
      <c r="S5" s="4"/>
      <c r="T5" s="4"/>
      <c r="U5" s="4"/>
      <c r="V5" s="4"/>
      <c r="W5" s="38">
        <v>0</v>
      </c>
      <c r="X5" s="38">
        <v>2</v>
      </c>
      <c r="Y5" s="4"/>
      <c r="Z5" s="4"/>
      <c r="AA5" s="4"/>
      <c r="AB5" s="4"/>
      <c r="AC5" s="4"/>
      <c r="AD5" s="38">
        <v>3</v>
      </c>
      <c r="AE5" s="38">
        <v>0</v>
      </c>
      <c r="AF5" s="4"/>
      <c r="AG5" s="4"/>
      <c r="AH5" s="4"/>
      <c r="AI5" s="4"/>
      <c r="AJ5" s="4"/>
      <c r="AK5" s="38">
        <v>1</v>
      </c>
      <c r="AL5" s="38">
        <v>2</v>
      </c>
      <c r="AM5" s="4"/>
      <c r="AN5" s="4"/>
      <c r="AO5" s="4"/>
      <c r="AP5" s="4"/>
    </row>
    <row r="6" spans="1:42" x14ac:dyDescent="0.45">
      <c r="A6" s="4"/>
      <c r="B6" s="80" t="str">
        <f>IF(B5=C5,"Unentschieden",IF(B5&gt;C5,B4,C4))</f>
        <v>Mexiko</v>
      </c>
      <c r="C6" s="80"/>
      <c r="D6" s="4"/>
      <c r="E6" s="4"/>
      <c r="F6" s="4"/>
      <c r="G6" s="4"/>
      <c r="H6" s="4"/>
      <c r="I6" s="80" t="str">
        <f>IF(I5=J5,"Unentschieden",IF(I5&gt;J5,I4,J4))</f>
        <v>Kanada</v>
      </c>
      <c r="J6" s="80"/>
      <c r="K6" s="4"/>
      <c r="L6" s="4"/>
      <c r="M6" s="4"/>
      <c r="N6" s="4"/>
      <c r="O6" s="4"/>
      <c r="P6" s="80" t="str">
        <f>IF(P5=Q5,"Unentschieden",IF(P5&gt;Q5,P4,Q4))</f>
        <v>Marokko</v>
      </c>
      <c r="Q6" s="80"/>
      <c r="R6" s="4"/>
      <c r="S6" s="4"/>
      <c r="T6" s="4"/>
      <c r="U6" s="4"/>
      <c r="V6" s="4"/>
      <c r="W6" s="80" t="str">
        <f>IF(W5=X5,"Unentschieden",IF(W5&gt;X5,W4,X4))</f>
        <v>Paraguay</v>
      </c>
      <c r="X6" s="80"/>
      <c r="Y6" s="4"/>
      <c r="Z6" s="4"/>
      <c r="AA6" s="4"/>
      <c r="AB6" s="4"/>
      <c r="AC6" s="4"/>
      <c r="AD6" s="80" t="str">
        <f>IF(AD5=AE5,"Unentschieden",IF(AD5&gt;AE5,AD4,AE4))</f>
        <v>Deutschland</v>
      </c>
      <c r="AE6" s="80"/>
      <c r="AF6" s="4"/>
      <c r="AG6" s="4"/>
      <c r="AH6" s="4"/>
      <c r="AI6" s="4"/>
      <c r="AJ6" s="4"/>
      <c r="AK6" s="80" t="str">
        <f>IF(AK5=AL5,"Unentschieden",IF(AK5&gt;AL5,AK4,AL4))</f>
        <v>Japan</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f>IF(Q5=P5,1,IF(Q5&gt;P5,3,0))</f>
        <v>3</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0</v>
      </c>
      <c r="AL7" s="1">
        <f>IF(AL5=AK5,1,IF(AL5&gt;AK5,3,0))</f>
        <v>3</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0</v>
      </c>
      <c r="D10" s="4"/>
      <c r="E10" s="4"/>
      <c r="F10" s="4"/>
      <c r="G10" s="4"/>
      <c r="H10" s="4"/>
      <c r="I10" s="38">
        <v>0</v>
      </c>
      <c r="J10" s="38">
        <v>1</v>
      </c>
      <c r="K10" s="4"/>
      <c r="L10" s="4"/>
      <c r="M10" s="4"/>
      <c r="N10" s="4"/>
      <c r="O10" s="4"/>
      <c r="P10" s="38">
        <v>0</v>
      </c>
      <c r="Q10" s="38">
        <v>1</v>
      </c>
      <c r="R10" s="4"/>
      <c r="S10" s="4"/>
      <c r="T10" s="4"/>
      <c r="U10" s="4"/>
      <c r="V10" s="4"/>
      <c r="W10" s="38">
        <v>1</v>
      </c>
      <c r="X10" s="38">
        <v>2</v>
      </c>
      <c r="Y10" s="4"/>
      <c r="Z10" s="4"/>
      <c r="AA10" s="4"/>
      <c r="AB10" s="4"/>
      <c r="AC10" s="4"/>
      <c r="AD10" s="38">
        <v>2</v>
      </c>
      <c r="AE10" s="38">
        <v>1</v>
      </c>
      <c r="AF10" s="4"/>
      <c r="AG10" s="4"/>
      <c r="AH10" s="4"/>
      <c r="AI10" s="4"/>
      <c r="AJ10" s="4"/>
      <c r="AK10" s="38">
        <v>1</v>
      </c>
      <c r="AL10" s="38">
        <v>1</v>
      </c>
      <c r="AM10" s="4"/>
      <c r="AN10" s="4"/>
      <c r="AO10" s="4"/>
      <c r="AP10" s="4"/>
    </row>
    <row r="11" spans="1:42" x14ac:dyDescent="0.45">
      <c r="A11" s="4"/>
      <c r="B11" s="80" t="str">
        <f>IF(B10=C10,"Unentschieden",IF(B10&gt;C10,B9,C9))</f>
        <v>Unentschieden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Unentschieden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1</v>
      </c>
      <c r="D16" s="4"/>
      <c r="E16" s="4"/>
      <c r="F16" s="4"/>
      <c r="G16" s="4"/>
      <c r="H16" s="4"/>
      <c r="I16" s="38">
        <v>1</v>
      </c>
      <c r="J16" s="38">
        <v>0</v>
      </c>
      <c r="K16" s="4"/>
      <c r="L16" s="4"/>
      <c r="M16" s="4"/>
      <c r="N16" s="4"/>
      <c r="O16" s="4"/>
      <c r="P16" s="38">
        <v>0</v>
      </c>
      <c r="Q16" s="38">
        <v>2</v>
      </c>
      <c r="R16" s="4"/>
      <c r="S16" s="4"/>
      <c r="T16" s="4"/>
      <c r="U16" s="4"/>
      <c r="V16" s="4"/>
      <c r="W16" s="38">
        <v>1</v>
      </c>
      <c r="X16" s="38">
        <v>1</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80" t="str">
        <f>IF(B16=C16,"Unentschieden",IF(B16&gt;C16,B15,C15))</f>
        <v>Unentschieden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Unentschieden</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1</v>
      </c>
      <c r="C18" s="1">
        <f>IF(C16=B16,1,IF(C16&gt;B16,3,0))</f>
        <v>1</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2</v>
      </c>
      <c r="J21" s="38">
        <v>0</v>
      </c>
      <c r="K21" s="4"/>
      <c r="L21" s="4"/>
      <c r="M21" s="4"/>
      <c r="N21" s="4"/>
      <c r="O21" s="4"/>
      <c r="P21" s="38">
        <v>3</v>
      </c>
      <c r="Q21" s="38">
        <v>0</v>
      </c>
      <c r="R21" s="4"/>
      <c r="S21" s="4"/>
      <c r="T21" s="4"/>
      <c r="U21" s="4"/>
      <c r="V21" s="4"/>
      <c r="W21" s="38">
        <v>1</v>
      </c>
      <c r="X21" s="38">
        <v>1</v>
      </c>
      <c r="Y21" s="4"/>
      <c r="Z21" s="4"/>
      <c r="AA21" s="4"/>
      <c r="AB21" s="4"/>
      <c r="AC21" s="4"/>
      <c r="AD21" s="38">
        <v>2</v>
      </c>
      <c r="AE21" s="38">
        <v>0</v>
      </c>
      <c r="AF21" s="4"/>
      <c r="AG21" s="4"/>
      <c r="AH21" s="4"/>
      <c r="AI21" s="4"/>
      <c r="AJ21" s="4"/>
      <c r="AK21" s="38">
        <v>2</v>
      </c>
      <c r="AL21" s="38">
        <v>0</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2</v>
      </c>
      <c r="J27" s="38">
        <v>0</v>
      </c>
      <c r="K27" s="4"/>
      <c r="L27" s="4"/>
      <c r="M27" s="4"/>
      <c r="N27" s="4"/>
      <c r="O27" s="4"/>
      <c r="P27" s="38">
        <v>3</v>
      </c>
      <c r="Q27" s="38">
        <v>0</v>
      </c>
      <c r="R27" s="4"/>
      <c r="S27" s="4"/>
      <c r="T27" s="4"/>
      <c r="U27" s="4"/>
      <c r="V27" s="4"/>
      <c r="W27" s="38">
        <v>1</v>
      </c>
      <c r="X27" s="38">
        <v>1</v>
      </c>
      <c r="Y27" s="4"/>
      <c r="Z27" s="4"/>
      <c r="AA27" s="4"/>
      <c r="AB27" s="4"/>
      <c r="AC27" s="4"/>
      <c r="AD27" s="38">
        <v>0</v>
      </c>
      <c r="AE27" s="38">
        <v>3</v>
      </c>
      <c r="AF27" s="4"/>
      <c r="AG27" s="4"/>
      <c r="AH27" s="4"/>
      <c r="AI27" s="4"/>
      <c r="AJ27" s="4"/>
      <c r="AK27" s="38">
        <v>2</v>
      </c>
      <c r="AL27" s="38">
        <v>0</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Unentschieden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2</v>
      </c>
      <c r="D32" s="4"/>
      <c r="E32" s="4"/>
      <c r="F32" s="4"/>
      <c r="G32" s="4"/>
      <c r="H32" s="4"/>
      <c r="I32" s="38">
        <v>1</v>
      </c>
      <c r="J32" s="38">
        <v>2</v>
      </c>
      <c r="K32" s="4"/>
      <c r="L32" s="4"/>
      <c r="M32" s="4"/>
      <c r="N32" s="4"/>
      <c r="O32" s="4"/>
      <c r="P32" s="38">
        <v>0</v>
      </c>
      <c r="Q32" s="38">
        <v>2</v>
      </c>
      <c r="R32" s="4"/>
      <c r="S32" s="4"/>
      <c r="T32" s="4"/>
      <c r="U32" s="4"/>
      <c r="V32" s="4"/>
      <c r="W32" s="38">
        <v>1</v>
      </c>
      <c r="X32" s="38">
        <v>1</v>
      </c>
      <c r="Y32" s="4"/>
      <c r="Z32" s="4"/>
      <c r="AA32" s="4"/>
      <c r="AB32" s="4"/>
      <c r="AC32" s="4"/>
      <c r="AD32" s="38">
        <v>1</v>
      </c>
      <c r="AE32" s="38">
        <v>1</v>
      </c>
      <c r="AF32" s="4"/>
      <c r="AG32" s="4"/>
      <c r="AH32" s="4"/>
      <c r="AI32" s="4"/>
      <c r="AJ32" s="4"/>
      <c r="AK32" s="38">
        <v>0</v>
      </c>
      <c r="AL32" s="38">
        <v>1</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Kanada</v>
      </c>
      <c r="J33" s="80"/>
      <c r="K33" s="4"/>
      <c r="L33" s="4"/>
      <c r="M33" s="4"/>
      <c r="N33" s="4"/>
      <c r="O33" s="4"/>
      <c r="P33" s="80" t="str">
        <f>IF(P32=Q32,"Unentschieden",IF(P32&gt;Q32,P31,Q31))</f>
        <v>Brasilien</v>
      </c>
      <c r="Q33" s="80"/>
      <c r="R33" s="4"/>
      <c r="S33" s="4"/>
      <c r="T33" s="4"/>
      <c r="U33" s="4"/>
      <c r="V33" s="4"/>
      <c r="W33" s="80" t="str">
        <f>IF(W32=X32,"Unentschieden",IF(W32&gt;X32,W31,X31))</f>
        <v>Unentschieden</v>
      </c>
      <c r="X33" s="80"/>
      <c r="Y33" s="4"/>
      <c r="Z33" s="4"/>
      <c r="AA33" s="4"/>
      <c r="AB33" s="4"/>
      <c r="AC33" s="4"/>
      <c r="AD33" s="80" t="str">
        <f>IF(AD32=AE32,"Unentschieden",IF(AD32&gt;AE32,AD31,AE31))</f>
        <v>Unentschieden</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0</v>
      </c>
      <c r="J34" s="1">
        <f>IF(J32=I32,1,IF(J32&gt;I32,3,0))</f>
        <v>3</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4</v>
      </c>
      <c r="E37" s="1">
        <f>C5+C21+B32</f>
        <v>0</v>
      </c>
      <c r="F37" s="1">
        <f>D37-E37</f>
        <v>4</v>
      </c>
      <c r="G37" s="4"/>
      <c r="H37" s="37"/>
      <c r="I37" s="2" t="s">
        <v>27</v>
      </c>
      <c r="J37" s="1">
        <f>I7+I23+J34</f>
        <v>9</v>
      </c>
      <c r="K37" s="1">
        <f>I5+I21+J32</f>
        <v>5</v>
      </c>
      <c r="L37" s="1">
        <f>J5+J21+I32</f>
        <v>1</v>
      </c>
      <c r="M37" s="1">
        <f>K37-L37</f>
        <v>4</v>
      </c>
      <c r="N37" s="4"/>
      <c r="O37" s="13"/>
      <c r="P37" s="2" t="s">
        <v>29</v>
      </c>
      <c r="Q37" s="1">
        <f>P7+P23+Q34</f>
        <v>6</v>
      </c>
      <c r="R37" s="1">
        <f>P5+P21+Q32</f>
        <v>6</v>
      </c>
      <c r="S37" s="1">
        <f>Q5+Q21+P32</f>
        <v>2</v>
      </c>
      <c r="T37" s="1">
        <f>R37-S37</f>
        <v>4</v>
      </c>
      <c r="U37" s="4"/>
      <c r="V37" s="13"/>
      <c r="W37" s="2" t="s">
        <v>31</v>
      </c>
      <c r="X37" s="1">
        <f>W7+W23+X34</f>
        <v>2</v>
      </c>
      <c r="Y37" s="1">
        <f>W5+W21+X32</f>
        <v>2</v>
      </c>
      <c r="Z37" s="1">
        <f>X5+X21+W32</f>
        <v>4</v>
      </c>
      <c r="AA37" s="1">
        <f>Y37-Z37</f>
        <v>-2</v>
      </c>
      <c r="AB37" s="4"/>
      <c r="AC37" s="13"/>
      <c r="AD37" s="2" t="s">
        <v>33</v>
      </c>
      <c r="AE37" s="1">
        <f>AD7+AD23+AE34</f>
        <v>7</v>
      </c>
      <c r="AF37" s="1">
        <f>AD5+AD21+AE32</f>
        <v>6</v>
      </c>
      <c r="AG37" s="1">
        <f>AE5+AE21+AD32</f>
        <v>1</v>
      </c>
      <c r="AH37" s="1">
        <f>AF37-AG37</f>
        <v>5</v>
      </c>
      <c r="AI37" s="4"/>
      <c r="AJ37" s="4"/>
      <c r="AK37" s="2" t="s">
        <v>35</v>
      </c>
      <c r="AL37" s="1">
        <f>AK7+AK23+AL34</f>
        <v>6</v>
      </c>
      <c r="AM37" s="1">
        <f>AK5+AK21+AL32</f>
        <v>4</v>
      </c>
      <c r="AN37" s="1">
        <f>AL5+AL21+AK32</f>
        <v>2</v>
      </c>
      <c r="AO37" s="1">
        <f>AM37-AN37</f>
        <v>2</v>
      </c>
      <c r="AP37" s="4"/>
    </row>
    <row r="38" spans="1:42" x14ac:dyDescent="0.45">
      <c r="A38" s="37"/>
      <c r="B38" s="2" t="s">
        <v>26</v>
      </c>
      <c r="C38" s="1">
        <f>C7+C18+B29</f>
        <v>1</v>
      </c>
      <c r="D38" s="1">
        <f>C5+C16+B27</f>
        <v>1</v>
      </c>
      <c r="E38" s="1">
        <f>B5+B16+C27</f>
        <v>4</v>
      </c>
      <c r="F38" s="1">
        <f t="shared" ref="F38:F40" si="0">D38-E38</f>
        <v>-3</v>
      </c>
      <c r="G38" s="4"/>
      <c r="H38" s="37"/>
      <c r="I38" s="2" t="s">
        <v>28</v>
      </c>
      <c r="J38" s="1">
        <f>J7+J18+I29</f>
        <v>3</v>
      </c>
      <c r="K38" s="1">
        <f>J5+J16+I27</f>
        <v>2</v>
      </c>
      <c r="L38" s="1">
        <f>I5+I16+J27</f>
        <v>2</v>
      </c>
      <c r="M38" s="1">
        <f t="shared" ref="M38:M40" si="1">K38-L38</f>
        <v>0</v>
      </c>
      <c r="N38" s="4"/>
      <c r="O38" s="13"/>
      <c r="P38" s="2" t="s">
        <v>30</v>
      </c>
      <c r="Q38" s="1">
        <f>Q7+Q18+P29</f>
        <v>9</v>
      </c>
      <c r="R38" s="1">
        <f>Q5+Q16+P27</f>
        <v>7</v>
      </c>
      <c r="S38" s="1">
        <f>P5+P16+Q27</f>
        <v>1</v>
      </c>
      <c r="T38" s="1">
        <f t="shared" ref="T38:T40" si="2">R38-S38</f>
        <v>6</v>
      </c>
      <c r="U38" s="4"/>
      <c r="V38" s="13"/>
      <c r="W38" s="2" t="s">
        <v>32</v>
      </c>
      <c r="X38" s="1">
        <f>X7+X18+W29</f>
        <v>5</v>
      </c>
      <c r="Y38" s="1">
        <f>X5+X16+W27</f>
        <v>4</v>
      </c>
      <c r="Z38" s="1">
        <f>W5+W16+X27</f>
        <v>2</v>
      </c>
      <c r="AA38" s="1">
        <f t="shared" ref="AA38:AA40" si="3">Y38-Z38</f>
        <v>2</v>
      </c>
      <c r="AB38" s="4"/>
      <c r="AC38" s="13"/>
      <c r="AD38" s="2" t="s">
        <v>34</v>
      </c>
      <c r="AE38" s="1">
        <f>AE7+AE18+AD29</f>
        <v>0</v>
      </c>
      <c r="AF38" s="1">
        <f>AE5+AE16+AD27</f>
        <v>0</v>
      </c>
      <c r="AG38" s="1">
        <f>AD5+AD16+AE27</f>
        <v>8</v>
      </c>
      <c r="AH38" s="1">
        <f t="shared" ref="AH38:AH40" si="4">AF38-AG38</f>
        <v>-8</v>
      </c>
      <c r="AI38" s="4"/>
      <c r="AJ38" s="4"/>
      <c r="AK38" s="2" t="s">
        <v>36</v>
      </c>
      <c r="AL38" s="1">
        <f>AL7+AL18+AK29</f>
        <v>9</v>
      </c>
      <c r="AM38" s="1">
        <f>AL5+AL16+AK27</f>
        <v>6</v>
      </c>
      <c r="AN38" s="1">
        <f>AK5+AK16+AL27</f>
        <v>1</v>
      </c>
      <c r="AO38" s="1">
        <f t="shared" ref="AO38:AO40" si="5">AM38-AN38</f>
        <v>5</v>
      </c>
      <c r="AP38" s="4"/>
    </row>
    <row r="39" spans="1:42" x14ac:dyDescent="0.45">
      <c r="A39" s="36"/>
      <c r="B39" s="2" t="s">
        <v>37</v>
      </c>
      <c r="C39" s="1">
        <f>B12+C23+C29</f>
        <v>4</v>
      </c>
      <c r="D39" s="1">
        <f>B10+C21+C27</f>
        <v>2</v>
      </c>
      <c r="E39" s="1">
        <f>C10+B21+B27</f>
        <v>1</v>
      </c>
      <c r="F39" s="1">
        <f t="shared" si="0"/>
        <v>1</v>
      </c>
      <c r="G39" s="4"/>
      <c r="H39" s="36"/>
      <c r="I39" s="2" t="s">
        <v>39</v>
      </c>
      <c r="J39" s="1">
        <f>I12+J23+J29</f>
        <v>0</v>
      </c>
      <c r="K39" s="1">
        <f>I10+J21+J27</f>
        <v>0</v>
      </c>
      <c r="L39" s="1">
        <f>J10+I21+I27</f>
        <v>5</v>
      </c>
      <c r="M39" s="1">
        <f t="shared" si="1"/>
        <v>-5</v>
      </c>
      <c r="N39" s="4"/>
      <c r="O39" s="13"/>
      <c r="P39" s="2" t="s">
        <v>41</v>
      </c>
      <c r="Q39" s="1">
        <f>P12+Q23+Q29</f>
        <v>0</v>
      </c>
      <c r="R39" s="1">
        <f>P10+Q21+Q27</f>
        <v>0</v>
      </c>
      <c r="S39" s="1">
        <f>Q10+P21+P27</f>
        <v>7</v>
      </c>
      <c r="T39" s="1">
        <f t="shared" si="2"/>
        <v>-7</v>
      </c>
      <c r="U39" s="4"/>
      <c r="V39" s="13"/>
      <c r="W39" s="2" t="s">
        <v>43</v>
      </c>
      <c r="X39" s="1">
        <f>W12+X23+X29</f>
        <v>2</v>
      </c>
      <c r="Y39" s="1">
        <f>W10+X21+X27</f>
        <v>3</v>
      </c>
      <c r="Z39" s="1">
        <f>X10+W21+W27</f>
        <v>4</v>
      </c>
      <c r="AA39" s="1">
        <f t="shared" si="3"/>
        <v>-1</v>
      </c>
      <c r="AB39" s="4"/>
      <c r="AC39" s="13"/>
      <c r="AD39" s="2" t="s">
        <v>45</v>
      </c>
      <c r="AE39" s="1">
        <f>AD12+AE23+AE29</f>
        <v>6</v>
      </c>
      <c r="AF39" s="1">
        <f>AD10+AE21+AE27</f>
        <v>5</v>
      </c>
      <c r="AG39" s="1">
        <f>AE10+AD21+AD27</f>
        <v>3</v>
      </c>
      <c r="AH39" s="1">
        <f t="shared" si="4"/>
        <v>2</v>
      </c>
      <c r="AI39" s="4"/>
      <c r="AJ39" s="4"/>
      <c r="AK39" s="2" t="s">
        <v>47</v>
      </c>
      <c r="AL39" s="1">
        <f>AK12+AL23+AL29</f>
        <v>1</v>
      </c>
      <c r="AM39" s="1">
        <f>AK10+AL21+AL27</f>
        <v>1</v>
      </c>
      <c r="AN39" s="1">
        <f>AL10+AK21+AK27</f>
        <v>5</v>
      </c>
      <c r="AO39" s="1">
        <f t="shared" si="5"/>
        <v>-4</v>
      </c>
      <c r="AP39" s="4"/>
    </row>
    <row r="40" spans="1:42" x14ac:dyDescent="0.45">
      <c r="A40" s="35"/>
      <c r="B40" s="2" t="s">
        <v>38</v>
      </c>
      <c r="C40" s="1">
        <f>C12+B18+B34</f>
        <v>2</v>
      </c>
      <c r="D40" s="1">
        <f>C10+B16+B32</f>
        <v>1</v>
      </c>
      <c r="E40" s="1">
        <f>B10+C16+C32</f>
        <v>3</v>
      </c>
      <c r="F40" s="1">
        <f t="shared" si="0"/>
        <v>-2</v>
      </c>
      <c r="G40" s="4"/>
      <c r="H40" s="35"/>
      <c r="I40" s="2" t="s">
        <v>40</v>
      </c>
      <c r="J40" s="1">
        <f>J12+I18+I34</f>
        <v>6</v>
      </c>
      <c r="K40" s="1">
        <f>J10+I16+I32</f>
        <v>3</v>
      </c>
      <c r="L40" s="1">
        <f>I10+J16+J32</f>
        <v>2</v>
      </c>
      <c r="M40" s="1">
        <f t="shared" si="1"/>
        <v>1</v>
      </c>
      <c r="N40" s="4"/>
      <c r="O40" s="13"/>
      <c r="P40" s="2" t="s">
        <v>42</v>
      </c>
      <c r="Q40" s="1">
        <f>Q12+P18+P34</f>
        <v>3</v>
      </c>
      <c r="R40" s="1">
        <f>Q10+P16+P32</f>
        <v>1</v>
      </c>
      <c r="S40" s="1">
        <f>P10+Q16+Q32</f>
        <v>4</v>
      </c>
      <c r="T40" s="1">
        <f t="shared" si="2"/>
        <v>-3</v>
      </c>
      <c r="U40" s="4"/>
      <c r="V40" s="13"/>
      <c r="W40" s="2" t="s">
        <v>44</v>
      </c>
      <c r="X40" s="1">
        <f>X12+W18+W34</f>
        <v>5</v>
      </c>
      <c r="Y40" s="1">
        <f>X10+W16+W32</f>
        <v>4</v>
      </c>
      <c r="Z40" s="1">
        <f>W10+X16+X32</f>
        <v>3</v>
      </c>
      <c r="AA40" s="1">
        <f t="shared" si="3"/>
        <v>1</v>
      </c>
      <c r="AB40" s="4"/>
      <c r="AC40" s="13"/>
      <c r="AD40" s="2" t="s">
        <v>46</v>
      </c>
      <c r="AE40" s="1">
        <f>AE12+AD18+AD34</f>
        <v>4</v>
      </c>
      <c r="AF40" s="1">
        <f>AE10+AD16+AD32</f>
        <v>4</v>
      </c>
      <c r="AG40" s="1">
        <f>AD10+AE16+AE32</f>
        <v>3</v>
      </c>
      <c r="AH40" s="1">
        <f t="shared" si="4"/>
        <v>1</v>
      </c>
      <c r="AI40" s="4"/>
      <c r="AJ40" s="4"/>
      <c r="AK40" s="2" t="s">
        <v>48</v>
      </c>
      <c r="AL40" s="1">
        <f>AL12+AK18+AK34</f>
        <v>1</v>
      </c>
      <c r="AM40" s="1">
        <f>AL10+AK16+AK32</f>
        <v>1</v>
      </c>
      <c r="AN40" s="1">
        <f>AK10+AL16+AL32</f>
        <v>4</v>
      </c>
      <c r="AO40" s="1">
        <f t="shared" si="5"/>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4</v>
      </c>
      <c r="E43" s="1" cm="1">
        <f t="array" ref="E43:E46">_xlfn.SORTBY(E37:E40,C37:C40,-1,F37:F40,-1,D37:D40,-1)</f>
        <v>0</v>
      </c>
      <c r="F43" s="1" cm="1">
        <f t="array" ref="F43:F46">_xlfn.SORTBY(F37:F40,C37:C40,-1,F37:F40,-1,D37:D40,-1)</f>
        <v>4</v>
      </c>
      <c r="G43" s="4"/>
      <c r="H43" s="33">
        <v>1</v>
      </c>
      <c r="I43" s="2" t="str" cm="1">
        <f t="array" ref="I43:I46">_xlfn.SORTBY(I37:I40,J37:J40,-1,M37:M40,-1,K37:K40,-1)</f>
        <v>Kanada</v>
      </c>
      <c r="J43" s="1" cm="1">
        <f t="array" ref="J43:J46">_xlfn.SORTBY(J37:J40,J37:J40,-1,M37:M40,-1,K37:K40,-1)</f>
        <v>9</v>
      </c>
      <c r="K43" s="1" cm="1">
        <f t="array" ref="K43:K46">_xlfn.SORTBY(K37:K40,J37:J40,-1,M37:M40,-1,K37:K40,-1)</f>
        <v>5</v>
      </c>
      <c r="L43" s="1" cm="1">
        <f t="array" ref="L43:L46">_xlfn.SORTBY(L37:L40,J37:J40,-1,M37:M40,-1,K37:K40,-1)</f>
        <v>1</v>
      </c>
      <c r="M43" s="1" cm="1">
        <f t="array" ref="M43:M46">_xlfn.SORTBY(M37:M40,J37:J40,-1,M37:M40,-1,K37:K40,-1)</f>
        <v>4</v>
      </c>
      <c r="N43" s="4"/>
      <c r="O43" s="33">
        <v>1</v>
      </c>
      <c r="P43" s="2" t="str" cm="1">
        <f t="array" ref="P43:P46">_xlfn.SORTBY(P37:P40,Q37:Q40,-1,T37:T40,-1,R37:R40,-1)</f>
        <v>Marokko</v>
      </c>
      <c r="Q43" s="1" cm="1">
        <f t="array" ref="Q43:Q46">_xlfn.SORTBY(Q37:Q40,Q37:Q40,-1,T37:T40,-1,R37:R40,-1)</f>
        <v>9</v>
      </c>
      <c r="R43" s="1" cm="1">
        <f t="array" ref="R43:R46">_xlfn.SORTBY(R37:R40,Q37:Q40,-1,T37:T40,-1,R37:R40,-1)</f>
        <v>7</v>
      </c>
      <c r="S43" s="1" cm="1">
        <f t="array" ref="S43:S46">_xlfn.SORTBY(S37:S40,Q37:Q40,-1,T37:T40,-1,R37:R40,-1)</f>
        <v>1</v>
      </c>
      <c r="T43" s="1" cm="1">
        <f t="array" ref="T43:T46">_xlfn.SORTBY(T37:T40,Q37:Q40,-1,T37:T40,-1,R37:R40,-1)</f>
        <v>6</v>
      </c>
      <c r="U43" s="4"/>
      <c r="V43" s="33">
        <v>1</v>
      </c>
      <c r="W43" s="2" t="str" cm="1">
        <f t="array" ref="W43:W46">_xlfn.SORTBY(W37:W40,X37:X40,-1,AA37:AA40,-1,Y37:Y40,-1)</f>
        <v>Paraguay</v>
      </c>
      <c r="X43" s="1" cm="1">
        <f t="array" ref="X43:X46">_xlfn.SORTBY(X37:X40,X37:X40,-1,AA37:AA40,-1,Y37:Y40,-1)</f>
        <v>5</v>
      </c>
      <c r="Y43" s="1" cm="1">
        <f t="array" ref="Y43:Y46">_xlfn.SORTBY(Y37:Y40,X37:X40,-1,AA37:AA40,-1,Y37:Y40,-1)</f>
        <v>4</v>
      </c>
      <c r="Z43" s="1" cm="1">
        <f t="array" ref="Z43:Z46">_xlfn.SORTBY(Z37:Z40,X37:X40,-1,AA37:AA40,-1,Y37:Y40,-1)</f>
        <v>2</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Japan</v>
      </c>
      <c r="AL43" s="1" cm="1">
        <f t="array" ref="AL43:AL46">_xlfn.SORTBY(AL37:AL40,AL37:AL40,-1,AO37:AO40,-1,AM37:AM40,-1)</f>
        <v>9</v>
      </c>
      <c r="AM43" s="1" cm="1">
        <f t="array" ref="AM43:AM46">_xlfn.SORTBY(AM37:AM40,AL37:AL40,-1,AO37:AO40,-1,AM37:AM40,-1)</f>
        <v>6</v>
      </c>
      <c r="AN43" s="1" cm="1">
        <f t="array" ref="AN43:AN46">_xlfn.SORTBY(AN37:AN40,AL37:AL40,-1,AO37:AO40,-1,AM37:AM40,-1)</f>
        <v>1</v>
      </c>
      <c r="AO43" s="1" cm="1">
        <f t="array" ref="AO43:AO46">_xlfn.SORTBY(AO37:AO40,AL37:AL40,-1,AO37:AO40,-1,AM37:AM40,-1)</f>
        <v>5</v>
      </c>
      <c r="AP43" s="4"/>
    </row>
    <row r="44" spans="1:42" x14ac:dyDescent="0.45">
      <c r="A44" s="33">
        <v>2</v>
      </c>
      <c r="B44" s="2" t="str">
        <v>Südkorea</v>
      </c>
      <c r="C44" s="1">
        <v>4</v>
      </c>
      <c r="D44" s="1">
        <v>2</v>
      </c>
      <c r="E44" s="1">
        <v>1</v>
      </c>
      <c r="F44" s="1">
        <v>1</v>
      </c>
      <c r="G44" s="4"/>
      <c r="H44" s="33">
        <v>2</v>
      </c>
      <c r="I44" s="2" t="str">
        <v>Schweiz</v>
      </c>
      <c r="J44" s="1">
        <v>6</v>
      </c>
      <c r="K44" s="1">
        <v>3</v>
      </c>
      <c r="L44" s="1">
        <v>2</v>
      </c>
      <c r="M44" s="1">
        <v>1</v>
      </c>
      <c r="N44" s="4"/>
      <c r="O44" s="33">
        <v>2</v>
      </c>
      <c r="P44" s="2" t="str">
        <v>Brasilien</v>
      </c>
      <c r="Q44" s="1">
        <v>6</v>
      </c>
      <c r="R44" s="1">
        <v>6</v>
      </c>
      <c r="S44" s="1">
        <v>2</v>
      </c>
      <c r="T44" s="1">
        <v>4</v>
      </c>
      <c r="U44" s="4"/>
      <c r="V44" s="33">
        <v>2</v>
      </c>
      <c r="W44" s="2" t="str">
        <v>Türkei</v>
      </c>
      <c r="X44" s="1">
        <v>5</v>
      </c>
      <c r="Y44" s="1">
        <v>4</v>
      </c>
      <c r="Z44" s="1">
        <v>3</v>
      </c>
      <c r="AA44" s="1">
        <v>1</v>
      </c>
      <c r="AB44" s="4"/>
      <c r="AC44" s="33">
        <v>2</v>
      </c>
      <c r="AD44" s="2" t="str">
        <v>Elfenbeinküste</v>
      </c>
      <c r="AE44" s="1">
        <v>6</v>
      </c>
      <c r="AF44" s="1">
        <v>5</v>
      </c>
      <c r="AG44" s="1">
        <v>3</v>
      </c>
      <c r="AH44" s="1">
        <v>2</v>
      </c>
      <c r="AI44" s="4"/>
      <c r="AJ44" s="33">
        <v>2</v>
      </c>
      <c r="AK44" s="2" t="str">
        <v>Niederlande</v>
      </c>
      <c r="AL44" s="1">
        <v>6</v>
      </c>
      <c r="AM44" s="1">
        <v>4</v>
      </c>
      <c r="AN44" s="1">
        <v>2</v>
      </c>
      <c r="AO44" s="1">
        <v>2</v>
      </c>
      <c r="AP44" s="4"/>
    </row>
    <row r="45" spans="1:42" x14ac:dyDescent="0.45">
      <c r="A45" s="34">
        <v>3</v>
      </c>
      <c r="B45" s="2" t="str">
        <v>Tschechien</v>
      </c>
      <c r="C45" s="1">
        <v>2</v>
      </c>
      <c r="D45" s="1">
        <v>1</v>
      </c>
      <c r="E45" s="1">
        <v>3</v>
      </c>
      <c r="F45" s="1">
        <v>-2</v>
      </c>
      <c r="G45" s="4"/>
      <c r="H45" s="34">
        <v>3</v>
      </c>
      <c r="I45" s="2" t="str">
        <v>Bosnien-Herz.</v>
      </c>
      <c r="J45" s="1">
        <v>3</v>
      </c>
      <c r="K45" s="1">
        <v>2</v>
      </c>
      <c r="L45" s="1">
        <v>2</v>
      </c>
      <c r="M45" s="1">
        <v>0</v>
      </c>
      <c r="N45" s="4"/>
      <c r="O45" s="34">
        <v>3</v>
      </c>
      <c r="P45" s="2" t="str">
        <v>Schottland</v>
      </c>
      <c r="Q45" s="1">
        <v>3</v>
      </c>
      <c r="R45" s="1">
        <v>1</v>
      </c>
      <c r="S45" s="1">
        <v>4</v>
      </c>
      <c r="T45" s="1">
        <v>-3</v>
      </c>
      <c r="U45" s="4"/>
      <c r="V45" s="34">
        <v>3</v>
      </c>
      <c r="W45" s="2" t="str">
        <v>Australien</v>
      </c>
      <c r="X45" s="1">
        <v>2</v>
      </c>
      <c r="Y45" s="1">
        <v>3</v>
      </c>
      <c r="Z45" s="1">
        <v>4</v>
      </c>
      <c r="AA45" s="1">
        <v>-1</v>
      </c>
      <c r="AB45" s="4"/>
      <c r="AC45" s="34">
        <v>3</v>
      </c>
      <c r="AD45" s="2" t="str">
        <v>Ecuador</v>
      </c>
      <c r="AE45" s="1">
        <v>4</v>
      </c>
      <c r="AF45" s="1">
        <v>4</v>
      </c>
      <c r="AG45" s="1">
        <v>3</v>
      </c>
      <c r="AH45" s="1">
        <v>1</v>
      </c>
      <c r="AI45" s="4"/>
      <c r="AJ45" s="34">
        <v>3</v>
      </c>
      <c r="AK45" s="2" t="str">
        <v>Tunesien</v>
      </c>
      <c r="AL45" s="1">
        <v>1</v>
      </c>
      <c r="AM45" s="1">
        <v>1</v>
      </c>
      <c r="AN45" s="1">
        <v>4</v>
      </c>
      <c r="AO45" s="1">
        <v>-3</v>
      </c>
      <c r="AP45" s="4"/>
    </row>
    <row r="46" spans="1:42" x14ac:dyDescent="0.45">
      <c r="A46" s="32">
        <v>4</v>
      </c>
      <c r="B46" s="2" t="str">
        <v>Südafrika</v>
      </c>
      <c r="C46" s="1">
        <v>1</v>
      </c>
      <c r="D46" s="1">
        <v>1</v>
      </c>
      <c r="E46" s="1">
        <v>4</v>
      </c>
      <c r="F46" s="1">
        <v>-3</v>
      </c>
      <c r="G46" s="4"/>
      <c r="H46" s="32">
        <v>4</v>
      </c>
      <c r="I46" s="2" t="str">
        <v>Katar</v>
      </c>
      <c r="J46" s="1">
        <v>0</v>
      </c>
      <c r="K46" s="1">
        <v>0</v>
      </c>
      <c r="L46" s="1">
        <v>5</v>
      </c>
      <c r="M46" s="1">
        <v>-5</v>
      </c>
      <c r="N46" s="4"/>
      <c r="O46" s="32">
        <v>4</v>
      </c>
      <c r="P46" s="2" t="str">
        <v>Haiti</v>
      </c>
      <c r="Q46" s="1">
        <v>0</v>
      </c>
      <c r="R46" s="1">
        <v>0</v>
      </c>
      <c r="S46" s="1">
        <v>7</v>
      </c>
      <c r="T46" s="1">
        <v>-7</v>
      </c>
      <c r="U46" s="4"/>
      <c r="V46" s="32">
        <v>4</v>
      </c>
      <c r="W46" s="2" t="str">
        <v>USA</v>
      </c>
      <c r="X46" s="1">
        <v>2</v>
      </c>
      <c r="Y46" s="1">
        <v>2</v>
      </c>
      <c r="Z46" s="1">
        <v>4</v>
      </c>
      <c r="AA46" s="1">
        <v>-2</v>
      </c>
      <c r="AB46" s="4"/>
      <c r="AC46" s="32">
        <v>4</v>
      </c>
      <c r="AD46" s="2" t="str">
        <v>Curacao</v>
      </c>
      <c r="AE46" s="1">
        <v>0</v>
      </c>
      <c r="AF46" s="1">
        <v>0</v>
      </c>
      <c r="AG46" s="1">
        <v>8</v>
      </c>
      <c r="AH46" s="1">
        <v>-8</v>
      </c>
      <c r="AI46" s="4"/>
      <c r="AJ46" s="32">
        <v>4</v>
      </c>
      <c r="AK46" s="2" t="str">
        <v>Schweden</v>
      </c>
      <c r="AL46" s="1">
        <v>1</v>
      </c>
      <c r="AM46" s="1">
        <v>1</v>
      </c>
      <c r="AN46" s="1">
        <v>5</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3</v>
      </c>
      <c r="J52" s="38">
        <v>0</v>
      </c>
      <c r="K52" s="4"/>
      <c r="L52" s="4"/>
      <c r="M52" s="4"/>
      <c r="N52" s="4"/>
      <c r="O52" s="4"/>
      <c r="P52" s="38">
        <v>3</v>
      </c>
      <c r="Q52" s="38">
        <v>1</v>
      </c>
      <c r="R52" s="4"/>
      <c r="S52" s="4"/>
      <c r="T52" s="4"/>
      <c r="U52" s="4"/>
      <c r="V52" s="4"/>
      <c r="W52" s="38">
        <v>3</v>
      </c>
      <c r="X52" s="38">
        <v>1</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1</v>
      </c>
      <c r="D57" s="4"/>
      <c r="E57" s="4"/>
      <c r="F57" s="4"/>
      <c r="G57" s="4"/>
      <c r="H57" s="4"/>
      <c r="I57" s="38">
        <v>1</v>
      </c>
      <c r="J57" s="38">
        <v>2</v>
      </c>
      <c r="K57" s="4"/>
      <c r="L57" s="4"/>
      <c r="M57" s="4"/>
      <c r="N57" s="4"/>
      <c r="O57" s="4"/>
      <c r="P57" s="38">
        <v>1</v>
      </c>
      <c r="Q57" s="38">
        <v>1</v>
      </c>
      <c r="R57" s="4"/>
      <c r="S57" s="4"/>
      <c r="T57" s="4"/>
      <c r="U57" s="4"/>
      <c r="V57" s="4"/>
      <c r="W57" s="38">
        <v>1</v>
      </c>
      <c r="X57" s="38">
        <v>0</v>
      </c>
      <c r="Y57" s="4"/>
      <c r="Z57" s="4"/>
      <c r="AA57" s="4"/>
      <c r="AB57" s="4"/>
      <c r="AC57" s="4"/>
      <c r="AD57" s="38">
        <v>1</v>
      </c>
      <c r="AE57" s="38">
        <v>0</v>
      </c>
      <c r="AF57" s="4"/>
      <c r="AG57" s="4"/>
      <c r="AH57" s="4"/>
      <c r="AI57" s="4"/>
      <c r="AJ57" s="4"/>
      <c r="AK57" s="38">
        <v>1</v>
      </c>
      <c r="AL57" s="38">
        <v>1</v>
      </c>
      <c r="AM57" s="4"/>
      <c r="AN57" s="4"/>
      <c r="AO57" s="4"/>
      <c r="AP57" s="4"/>
    </row>
    <row r="58" spans="1:42" x14ac:dyDescent="0.45">
      <c r="A58" s="4"/>
      <c r="B58" s="80" t="str">
        <f>IF(B57=C57,"Unentschieden",IF(B57&gt;C57,B56,C56))</f>
        <v>Unentschieden</v>
      </c>
      <c r="C58" s="80"/>
      <c r="D58" s="4"/>
      <c r="E58" s="4"/>
      <c r="F58" s="4"/>
      <c r="G58" s="4"/>
      <c r="H58" s="4"/>
      <c r="I58" s="80" t="str">
        <f>IF(I57=J57,"Unentschieden",IF(I57&gt;J57,I56,J56))</f>
        <v>Uruguay</v>
      </c>
      <c r="J58" s="80"/>
      <c r="K58" s="4"/>
      <c r="L58" s="4"/>
      <c r="M58" s="4"/>
      <c r="N58" s="4"/>
      <c r="O58" s="4"/>
      <c r="P58" s="80" t="str">
        <f>IF(P57=Q57,"Unentschieden",IF(P57&gt;Q57,P56,Q56))</f>
        <v>Unentschieden</v>
      </c>
      <c r="Q58" s="80"/>
      <c r="R58" s="4"/>
      <c r="S58" s="4"/>
      <c r="T58" s="4"/>
      <c r="U58" s="4"/>
      <c r="V58" s="4"/>
      <c r="W58" s="80" t="str">
        <f>IF(W57=X57,"Unentschieden",IF(W57&gt;X57,W56,X56))</f>
        <v>Österreich</v>
      </c>
      <c r="X58" s="80"/>
      <c r="Y58" s="4"/>
      <c r="Z58" s="4"/>
      <c r="AA58" s="4"/>
      <c r="AB58" s="4"/>
      <c r="AC58" s="4"/>
      <c r="AD58" s="80" t="str">
        <f>IF(AD57=AE57,"Unentschieden",IF(AD57&gt;AE57,AD56,AE56))</f>
        <v>Usbekistan</v>
      </c>
      <c r="AE58" s="80"/>
      <c r="AF58" s="4"/>
      <c r="AG58" s="4"/>
      <c r="AH58" s="4"/>
      <c r="AI58" s="4"/>
      <c r="AJ58" s="4"/>
      <c r="AK58" s="80" t="str">
        <f>IF(AK57=AL57,"Unentschieden",IF(AK57&gt;AL57,AK56,AL56))</f>
        <v>Unentschieden</v>
      </c>
      <c r="AL58" s="80"/>
      <c r="AM58" s="4"/>
      <c r="AN58" s="4"/>
      <c r="AO58" s="4"/>
      <c r="AP58" s="4"/>
    </row>
    <row r="59" spans="1:42" x14ac:dyDescent="0.45">
      <c r="A59" s="4"/>
      <c r="B59" s="1">
        <f>IF(B57=C57,1,IF(B57&gt;C57,3,0))</f>
        <v>1</v>
      </c>
      <c r="C59" s="1">
        <f>IF(C57=B57,1,IF(C57&gt;B57,3,0))</f>
        <v>1</v>
      </c>
      <c r="D59" s="4"/>
      <c r="E59" s="4"/>
      <c r="F59" s="4"/>
      <c r="G59" s="4"/>
      <c r="H59" s="4"/>
      <c r="I59" s="1">
        <f>IF(I57=J57,1,IF(I57&gt;J57,3,0))</f>
        <v>0</v>
      </c>
      <c r="J59" s="1">
        <f>IF(J57=I57,1,IF(J57&gt;I57,3,0))</f>
        <v>3</v>
      </c>
      <c r="K59" s="4"/>
      <c r="L59" s="4"/>
      <c r="M59" s="4"/>
      <c r="N59" s="4"/>
      <c r="O59" s="4"/>
      <c r="P59" s="1">
        <f>IF(P57=Q57,1,IF(P57&gt;Q57,3,0))</f>
        <v>1</v>
      </c>
      <c r="Q59" s="1">
        <f>IF(Q57=P57,1,IF(Q57&gt;P57,3,0))</f>
        <v>1</v>
      </c>
      <c r="R59" s="4"/>
      <c r="S59" s="4"/>
      <c r="T59" s="4"/>
      <c r="U59" s="4"/>
      <c r="V59" s="4"/>
      <c r="W59" s="1">
        <f>IF(W57=X57,1,IF(W57&gt;X57,3,0))</f>
        <v>3</v>
      </c>
      <c r="X59" s="1">
        <f>IF(X57=W57,1,IF(X57&gt;W57,3,0))</f>
        <v>0</v>
      </c>
      <c r="Y59" s="4"/>
      <c r="Z59" s="4"/>
      <c r="AA59" s="4"/>
      <c r="AB59" s="4"/>
      <c r="AC59" s="4"/>
      <c r="AD59" s="1">
        <f>IF(AD57=AE57,1,IF(AD57&gt;AE57,3,0))</f>
        <v>3</v>
      </c>
      <c r="AE59" s="1">
        <f>IF(AE57=AD57,1,IF(AE57&gt;AD57,3,0))</f>
        <v>0</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3</v>
      </c>
      <c r="J63" s="38">
        <v>0</v>
      </c>
      <c r="K63" s="4"/>
      <c r="L63" s="4"/>
      <c r="M63" s="4"/>
      <c r="N63" s="4"/>
      <c r="O63" s="4"/>
      <c r="P63" s="38">
        <v>3</v>
      </c>
      <c r="Q63" s="38">
        <v>0</v>
      </c>
      <c r="R63" s="4"/>
      <c r="S63" s="4"/>
      <c r="T63" s="4"/>
      <c r="U63" s="4"/>
      <c r="V63" s="4"/>
      <c r="W63" s="38">
        <v>2</v>
      </c>
      <c r="X63" s="38">
        <v>0</v>
      </c>
      <c r="Y63" s="4"/>
      <c r="Z63" s="4"/>
      <c r="AA63" s="4"/>
      <c r="AB63" s="4"/>
      <c r="AC63" s="4"/>
      <c r="AD63" s="38">
        <v>2</v>
      </c>
      <c r="AE63" s="38">
        <v>1</v>
      </c>
      <c r="AF63" s="4"/>
      <c r="AG63" s="4"/>
      <c r="AH63" s="4"/>
      <c r="AI63" s="4"/>
      <c r="AJ63" s="4"/>
      <c r="AK63" s="38">
        <v>3</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3</v>
      </c>
      <c r="J68" s="38">
        <v>0</v>
      </c>
      <c r="K68" s="4"/>
      <c r="L68" s="4"/>
      <c r="M68" s="4"/>
      <c r="N68" s="4"/>
      <c r="O68" s="4"/>
      <c r="P68" s="38">
        <v>1</v>
      </c>
      <c r="Q68" s="38">
        <v>2</v>
      </c>
      <c r="R68" s="4"/>
      <c r="S68" s="4"/>
      <c r="T68" s="4"/>
      <c r="U68" s="4"/>
      <c r="V68" s="4"/>
      <c r="W68" s="38">
        <v>0</v>
      </c>
      <c r="X68" s="38">
        <v>3</v>
      </c>
      <c r="Y68" s="4"/>
      <c r="Z68" s="4"/>
      <c r="AA68" s="4"/>
      <c r="AB68" s="4"/>
      <c r="AC68" s="4"/>
      <c r="AD68" s="38">
        <v>2</v>
      </c>
      <c r="AE68" s="38">
        <v>0</v>
      </c>
      <c r="AF68" s="4"/>
      <c r="AG68" s="4"/>
      <c r="AH68" s="4"/>
      <c r="AI68" s="4"/>
      <c r="AJ68" s="4"/>
      <c r="AK68" s="38">
        <v>1</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Senegal</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1</v>
      </c>
      <c r="Q74" s="38">
        <v>1</v>
      </c>
      <c r="R74" s="4"/>
      <c r="S74" s="4"/>
      <c r="T74" s="4"/>
      <c r="U74" s="4"/>
      <c r="V74" s="4"/>
      <c r="W74" s="38">
        <v>0</v>
      </c>
      <c r="X74" s="38">
        <v>3</v>
      </c>
      <c r="Y74" s="4"/>
      <c r="Z74" s="4"/>
      <c r="AA74" s="4"/>
      <c r="AB74" s="4"/>
      <c r="AC74" s="4"/>
      <c r="AD74" s="38">
        <v>1</v>
      </c>
      <c r="AE74" s="38">
        <v>1</v>
      </c>
      <c r="AF74" s="4"/>
      <c r="AG74" s="4"/>
      <c r="AH74" s="4"/>
      <c r="AI74" s="4"/>
      <c r="AJ74" s="4"/>
      <c r="AK74" s="38">
        <v>0</v>
      </c>
      <c r="AL74" s="38">
        <v>2</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1</v>
      </c>
      <c r="D79" s="4"/>
      <c r="E79" s="4"/>
      <c r="F79" s="4"/>
      <c r="G79" s="4"/>
      <c r="H79" s="4"/>
      <c r="I79" s="38">
        <v>1</v>
      </c>
      <c r="J79" s="38">
        <v>1</v>
      </c>
      <c r="K79" s="4"/>
      <c r="L79" s="4"/>
      <c r="M79" s="4"/>
      <c r="N79" s="4"/>
      <c r="O79" s="4"/>
      <c r="P79" s="38">
        <v>2</v>
      </c>
      <c r="Q79" s="38">
        <v>1</v>
      </c>
      <c r="R79" s="4"/>
      <c r="S79" s="4"/>
      <c r="T79" s="4"/>
      <c r="U79" s="4"/>
      <c r="V79" s="4"/>
      <c r="W79" s="38">
        <v>1</v>
      </c>
      <c r="X79" s="38">
        <v>1</v>
      </c>
      <c r="Y79" s="4"/>
      <c r="Z79" s="4"/>
      <c r="AA79" s="4"/>
      <c r="AB79" s="4"/>
      <c r="AC79" s="4"/>
      <c r="AD79" s="38">
        <v>1</v>
      </c>
      <c r="AE79" s="38">
        <v>1</v>
      </c>
      <c r="AF79" s="4"/>
      <c r="AG79" s="4"/>
      <c r="AH79" s="4"/>
      <c r="AI79" s="4"/>
      <c r="AJ79" s="4"/>
      <c r="AK79" s="38">
        <v>2</v>
      </c>
      <c r="AL79" s="38">
        <v>0</v>
      </c>
      <c r="AM79" s="4"/>
      <c r="AN79" s="4"/>
      <c r="AO79" s="4"/>
      <c r="AP79" s="4"/>
    </row>
    <row r="80" spans="1:42" ht="17.399999999999999" customHeight="1" x14ac:dyDescent="0.45">
      <c r="A80" s="4"/>
      <c r="B80" s="80" t="str">
        <f>IF(B79=C79,"Unentschieden",IF(B79&gt;C79,B78,C78))</f>
        <v>Unentschieden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Unentschieden</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6</v>
      </c>
      <c r="E84" s="1">
        <f>C52+C63+B74</f>
        <v>0</v>
      </c>
      <c r="F84" s="1">
        <f>D84-E84</f>
        <v>6</v>
      </c>
      <c r="G84" s="4"/>
      <c r="H84" s="37"/>
      <c r="I84" s="2" t="s">
        <v>65</v>
      </c>
      <c r="J84" s="1">
        <f>I54+I65+J76</f>
        <v>9</v>
      </c>
      <c r="K84" s="1">
        <f>I52+I63+J74</f>
        <v>8</v>
      </c>
      <c r="L84" s="1">
        <f>J52+J63+I74</f>
        <v>1</v>
      </c>
      <c r="M84" s="1">
        <f>K84-L84</f>
        <v>7</v>
      </c>
      <c r="N84" s="4"/>
      <c r="O84" s="13"/>
      <c r="P84" s="2" t="s">
        <v>67</v>
      </c>
      <c r="Q84" s="1">
        <f>P54+P65+Q76</f>
        <v>7</v>
      </c>
      <c r="R84" s="1">
        <f>P52+P63+Q74</f>
        <v>7</v>
      </c>
      <c r="S84" s="1">
        <f>Q52+Q63+P74</f>
        <v>2</v>
      </c>
      <c r="T84" s="1">
        <f>R84-S84</f>
        <v>5</v>
      </c>
      <c r="U84" s="4"/>
      <c r="V84" s="13"/>
      <c r="W84" s="2" t="s">
        <v>69</v>
      </c>
      <c r="X84" s="1">
        <f>W54+W65+X76</f>
        <v>9</v>
      </c>
      <c r="Y84" s="1">
        <f>W52+W63+X74</f>
        <v>8</v>
      </c>
      <c r="Z84" s="1">
        <f>X52+X63+W74</f>
        <v>1</v>
      </c>
      <c r="AA84" s="1">
        <f>Y84-Z84</f>
        <v>7</v>
      </c>
      <c r="AB84" s="4"/>
      <c r="AC84" s="13"/>
      <c r="AD84" s="2" t="s">
        <v>71</v>
      </c>
      <c r="AE84" s="1">
        <f>AD54+AD65+AE76</f>
        <v>7</v>
      </c>
      <c r="AF84" s="1">
        <f>AD52+AD63+AE74</f>
        <v>6</v>
      </c>
      <c r="AG84" s="1">
        <f>AE52+AE63+AD74</f>
        <v>3</v>
      </c>
      <c r="AH84" s="1">
        <f>AF84-AG84</f>
        <v>3</v>
      </c>
      <c r="AI84" s="4"/>
      <c r="AJ84" s="4"/>
      <c r="AK84" s="2" t="s">
        <v>73</v>
      </c>
      <c r="AL84" s="1">
        <f>AK54+AK65+AL76</f>
        <v>9</v>
      </c>
      <c r="AM84" s="1">
        <f>AK52+AK63+AL74</f>
        <v>7</v>
      </c>
      <c r="AN84" s="1">
        <f>AL52+AL63+AK74</f>
        <v>1</v>
      </c>
      <c r="AO84" s="1">
        <f>AM84-AN84</f>
        <v>6</v>
      </c>
      <c r="AP84" s="4"/>
    </row>
    <row r="85" spans="1:42" ht="17.399999999999999" customHeight="1" x14ac:dyDescent="0.45">
      <c r="A85" s="37"/>
      <c r="B85" s="2" t="s">
        <v>64</v>
      </c>
      <c r="C85" s="1">
        <f>C54+C70+B81</f>
        <v>4</v>
      </c>
      <c r="D85" s="1">
        <f>C52+C68+B79</f>
        <v>3</v>
      </c>
      <c r="E85" s="1">
        <f>B52+B68+C79</f>
        <v>4</v>
      </c>
      <c r="F85" s="1">
        <f t="shared" ref="F85:F87" si="6">D85-E85</f>
        <v>-1</v>
      </c>
      <c r="G85" s="4"/>
      <c r="H85" s="37"/>
      <c r="I85" s="2" t="s">
        <v>66</v>
      </c>
      <c r="J85" s="1">
        <f>J54+J70+I81</f>
        <v>1</v>
      </c>
      <c r="K85" s="1">
        <f>J52+J68+I79</f>
        <v>1</v>
      </c>
      <c r="L85" s="1">
        <f>I52+I68+J79</f>
        <v>7</v>
      </c>
      <c r="M85" s="1">
        <f t="shared" ref="M85:M87" si="7">K85-L85</f>
        <v>-6</v>
      </c>
      <c r="N85" s="4"/>
      <c r="O85" s="13"/>
      <c r="P85" s="2" t="s">
        <v>68</v>
      </c>
      <c r="Q85" s="1">
        <f>Q54+Q70+P81</f>
        <v>6</v>
      </c>
      <c r="R85" s="1">
        <f>Q52+Q68+P79</f>
        <v>5</v>
      </c>
      <c r="S85" s="1">
        <f>P52+P68+Q79</f>
        <v>5</v>
      </c>
      <c r="T85" s="1">
        <f t="shared" ref="T85:T87" si="8">R85-S85</f>
        <v>0</v>
      </c>
      <c r="U85" s="4"/>
      <c r="V85" s="13"/>
      <c r="W85" s="2" t="s">
        <v>70</v>
      </c>
      <c r="X85" s="1">
        <f>X54+X70+W81</f>
        <v>4</v>
      </c>
      <c r="Y85" s="1">
        <f>X52+X68+W79</f>
        <v>5</v>
      </c>
      <c r="Z85" s="1">
        <f>W52+W68+X79</f>
        <v>4</v>
      </c>
      <c r="AA85" s="1">
        <f t="shared" ref="AA85:AA87" si="9">Y85-Z85</f>
        <v>1</v>
      </c>
      <c r="AB85" s="4"/>
      <c r="AC85" s="13"/>
      <c r="AD85" s="2" t="s">
        <v>72</v>
      </c>
      <c r="AE85" s="1">
        <f>AE54+AE70+AD81</f>
        <v>1</v>
      </c>
      <c r="AF85" s="1">
        <f>AE52+AE68+AD79</f>
        <v>2</v>
      </c>
      <c r="AG85" s="1">
        <f>AD52+AD68+AE79</f>
        <v>6</v>
      </c>
      <c r="AH85" s="1">
        <f t="shared" ref="AH85:AH87" si="10">AF85-AG85</f>
        <v>-4</v>
      </c>
      <c r="AI85" s="4"/>
      <c r="AJ85" s="4"/>
      <c r="AK85" s="2" t="s">
        <v>74</v>
      </c>
      <c r="AL85" s="1">
        <f>AL54+AL70+AK81</f>
        <v>6</v>
      </c>
      <c r="AM85" s="1">
        <f>AL52+AL68+AK79</f>
        <v>5</v>
      </c>
      <c r="AN85" s="1">
        <f>AK52+AK68+AL79</f>
        <v>3</v>
      </c>
      <c r="AO85" s="1">
        <f t="shared" ref="AO85:AO87" si="11">AM85-AN85</f>
        <v>2</v>
      </c>
      <c r="AP85" s="4"/>
    </row>
    <row r="86" spans="1:42" ht="17.399999999999999" customHeight="1" x14ac:dyDescent="0.45">
      <c r="A86" s="36"/>
      <c r="B86" s="2" t="s">
        <v>75</v>
      </c>
      <c r="C86" s="1">
        <f>B59+C65+C81</f>
        <v>2</v>
      </c>
      <c r="D86" s="1">
        <f>B57+C63+C79</f>
        <v>2</v>
      </c>
      <c r="E86" s="1">
        <f>C57+B63+B79</f>
        <v>4</v>
      </c>
      <c r="F86" s="1">
        <f t="shared" si="6"/>
        <v>-2</v>
      </c>
      <c r="G86" s="4"/>
      <c r="H86" s="36"/>
      <c r="I86" s="2" t="s">
        <v>77</v>
      </c>
      <c r="J86" s="1">
        <f>I59+J65+J81</f>
        <v>1</v>
      </c>
      <c r="K86" s="1">
        <f>I57+J63+J79</f>
        <v>2</v>
      </c>
      <c r="L86" s="1">
        <f>J57+I63+I79</f>
        <v>6</v>
      </c>
      <c r="M86" s="1">
        <f t="shared" si="7"/>
        <v>-4</v>
      </c>
      <c r="N86" s="4"/>
      <c r="O86" s="13"/>
      <c r="P86" s="2" t="s">
        <v>79</v>
      </c>
      <c r="Q86" s="1">
        <f>P59+Q65+Q81</f>
        <v>1</v>
      </c>
      <c r="R86" s="1">
        <f>P57+Q63+Q79</f>
        <v>2</v>
      </c>
      <c r="S86" s="1">
        <f>Q57+P63+P79</f>
        <v>6</v>
      </c>
      <c r="T86" s="1">
        <f t="shared" si="8"/>
        <v>-4</v>
      </c>
      <c r="U86" s="4"/>
      <c r="V86" s="13"/>
      <c r="W86" s="2" t="s">
        <v>81</v>
      </c>
      <c r="X86" s="1">
        <f>W59+X65+X81</f>
        <v>4</v>
      </c>
      <c r="Y86" s="1">
        <f>W57+X63+X79</f>
        <v>2</v>
      </c>
      <c r="Z86" s="1">
        <f>X57+W63+W79</f>
        <v>3</v>
      </c>
      <c r="AA86" s="1">
        <f t="shared" si="9"/>
        <v>-1</v>
      </c>
      <c r="AB86" s="4"/>
      <c r="AC86" s="13"/>
      <c r="AD86" s="2" t="s">
        <v>83</v>
      </c>
      <c r="AE86" s="1">
        <f>AD59+AE65+AE81</f>
        <v>4</v>
      </c>
      <c r="AF86" s="1">
        <f>AD57+AE63+AE79</f>
        <v>3</v>
      </c>
      <c r="AG86" s="1">
        <f>AE57+AD63+AD79</f>
        <v>3</v>
      </c>
      <c r="AH86" s="1">
        <f t="shared" si="10"/>
        <v>0</v>
      </c>
      <c r="AI86" s="4"/>
      <c r="AJ86" s="4"/>
      <c r="AK86" s="2" t="s">
        <v>85</v>
      </c>
      <c r="AL86" s="1">
        <f>AK59+AL65+AL81</f>
        <v>1</v>
      </c>
      <c r="AM86" s="1">
        <f>AK57+AL63+AL79</f>
        <v>1</v>
      </c>
      <c r="AN86" s="1">
        <f>AL57+AK63+AK79</f>
        <v>6</v>
      </c>
      <c r="AO86" s="1">
        <f t="shared" si="11"/>
        <v>-5</v>
      </c>
      <c r="AP86" s="4"/>
    </row>
    <row r="87" spans="1:42" x14ac:dyDescent="0.45">
      <c r="A87" s="35"/>
      <c r="B87" s="2" t="s">
        <v>76</v>
      </c>
      <c r="C87" s="1">
        <f>C59+B70+B76</f>
        <v>1</v>
      </c>
      <c r="D87" s="1">
        <f>C57+B68+B74</f>
        <v>2</v>
      </c>
      <c r="E87" s="1">
        <f>B57+C68+C74</f>
        <v>5</v>
      </c>
      <c r="F87" s="1">
        <f t="shared" si="6"/>
        <v>-3</v>
      </c>
      <c r="G87" s="4"/>
      <c r="H87" s="35"/>
      <c r="I87" s="2" t="s">
        <v>78</v>
      </c>
      <c r="J87" s="1">
        <f>J59+I70+I76</f>
        <v>6</v>
      </c>
      <c r="K87" s="1">
        <f>J57+I68+I74</f>
        <v>6</v>
      </c>
      <c r="L87" s="1">
        <f>I57+J68+J74</f>
        <v>3</v>
      </c>
      <c r="M87" s="1">
        <f t="shared" si="7"/>
        <v>3</v>
      </c>
      <c r="N87" s="4"/>
      <c r="O87" s="13"/>
      <c r="P87" s="2" t="s">
        <v>80</v>
      </c>
      <c r="Q87" s="1">
        <f>Q59+P70+P76</f>
        <v>2</v>
      </c>
      <c r="R87" s="1">
        <f>Q57+P68+P74</f>
        <v>3</v>
      </c>
      <c r="S87" s="1">
        <f>P57+Q68+Q74</f>
        <v>4</v>
      </c>
      <c r="T87" s="1">
        <f t="shared" si="8"/>
        <v>-1</v>
      </c>
      <c r="U87" s="4"/>
      <c r="V87" s="13"/>
      <c r="W87" s="2" t="s">
        <v>82</v>
      </c>
      <c r="X87" s="1">
        <f>X59+W70+W76</f>
        <v>0</v>
      </c>
      <c r="Y87" s="1">
        <f>X57+W68+W74</f>
        <v>0</v>
      </c>
      <c r="Z87" s="1">
        <f>W57+X68+X74</f>
        <v>7</v>
      </c>
      <c r="AA87" s="1">
        <f t="shared" si="9"/>
        <v>-7</v>
      </c>
      <c r="AB87" s="4"/>
      <c r="AC87" s="13"/>
      <c r="AD87" s="2" t="s">
        <v>84</v>
      </c>
      <c r="AE87" s="1">
        <f>AE59+AD70+AD76</f>
        <v>4</v>
      </c>
      <c r="AF87" s="1">
        <f>AE57+AD68+AD74</f>
        <v>3</v>
      </c>
      <c r="AG87" s="1">
        <f>AD57+AE68+AE74</f>
        <v>2</v>
      </c>
      <c r="AH87" s="1">
        <f t="shared" si="10"/>
        <v>1</v>
      </c>
      <c r="AI87" s="4"/>
      <c r="AJ87" s="4"/>
      <c r="AK87" s="2" t="s">
        <v>86</v>
      </c>
      <c r="AL87" s="1">
        <f>AL59+AK70+AK76</f>
        <v>1</v>
      </c>
      <c r="AM87" s="1">
        <f>AL57+AK68+AK74</f>
        <v>2</v>
      </c>
      <c r="AN87" s="1">
        <f>AK57+AL68+AL74</f>
        <v>5</v>
      </c>
      <c r="AO87" s="1">
        <f t="shared" si="11"/>
        <v>-3</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6</v>
      </c>
      <c r="E90" s="1" cm="1">
        <f t="array" ref="E90:E93">_xlfn.SORTBY(E84:E87,C84:C87,-1,F84:F87,-1,D84:D87,-1)</f>
        <v>0</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8</v>
      </c>
      <c r="L90" s="1" cm="1">
        <f t="array" ref="L90:L93">_xlfn.SORTBY(L84:L87,J84:J87,-1,M84:M87,-1,K84:K87,-1)</f>
        <v>1</v>
      </c>
      <c r="M90" s="1" cm="1">
        <f t="array" ref="M90:M93">_xlfn.SORTBY(M84:M87,J84:J87,-1,M84:M87,-1,K84:K87,-1)</f>
        <v>7</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2</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8</v>
      </c>
      <c r="Z90" s="1" cm="1">
        <f t="array" ref="Z90:Z93">_xlfn.SORTBY(Z84:Z87,X84:X87,-1,AA84:AA87,-1,Y84:Y87,-1)</f>
        <v>1</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6</v>
      </c>
      <c r="AG90" s="1" cm="1">
        <f t="array" ref="AG90:AG93">_xlfn.SORTBY(AG84:AG87,AE84:AE87,-1,AH84:AH87,-1,AF84:AF87,-1)</f>
        <v>3</v>
      </c>
      <c r="AH90" s="1" cm="1">
        <f t="array" ref="AH90:AH93">_xlfn.SORTBY(AH84:AH87,AE84:AE87,-1,AH84:AH87,-1,AF84:AF87,-1)</f>
        <v>3</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4</v>
      </c>
      <c r="D91" s="1">
        <v>3</v>
      </c>
      <c r="E91" s="1">
        <v>4</v>
      </c>
      <c r="F91" s="1">
        <v>-1</v>
      </c>
      <c r="G91" s="4"/>
      <c r="H91" s="33">
        <v>2</v>
      </c>
      <c r="I91" s="2" t="str">
        <v>Uruguay</v>
      </c>
      <c r="J91" s="1">
        <v>6</v>
      </c>
      <c r="K91" s="1">
        <v>6</v>
      </c>
      <c r="L91" s="1">
        <v>3</v>
      </c>
      <c r="M91" s="1">
        <v>3</v>
      </c>
      <c r="N91" s="4"/>
      <c r="O91" s="33">
        <v>2</v>
      </c>
      <c r="P91" s="2" t="str">
        <v>Senegal</v>
      </c>
      <c r="Q91" s="1">
        <v>6</v>
      </c>
      <c r="R91" s="1">
        <v>5</v>
      </c>
      <c r="S91" s="1">
        <v>5</v>
      </c>
      <c r="T91" s="1">
        <v>0</v>
      </c>
      <c r="U91" s="4"/>
      <c r="V91" s="33">
        <v>2</v>
      </c>
      <c r="W91" s="2" t="str">
        <v>Algerien</v>
      </c>
      <c r="X91" s="1">
        <v>4</v>
      </c>
      <c r="Y91" s="1">
        <v>5</v>
      </c>
      <c r="Z91" s="1">
        <v>4</v>
      </c>
      <c r="AA91" s="1">
        <v>1</v>
      </c>
      <c r="AB91" s="4"/>
      <c r="AC91" s="33">
        <v>2</v>
      </c>
      <c r="AD91" s="2" t="str">
        <v>Kolumbien</v>
      </c>
      <c r="AE91" s="1">
        <v>4</v>
      </c>
      <c r="AF91" s="1">
        <v>3</v>
      </c>
      <c r="AG91" s="1">
        <v>2</v>
      </c>
      <c r="AH91" s="1">
        <v>1</v>
      </c>
      <c r="AI91" s="4"/>
      <c r="AJ91" s="33">
        <v>2</v>
      </c>
      <c r="AK91" s="2" t="str">
        <v>Kroatien</v>
      </c>
      <c r="AL91" s="1">
        <v>6</v>
      </c>
      <c r="AM91" s="1">
        <v>5</v>
      </c>
      <c r="AN91" s="1">
        <v>3</v>
      </c>
      <c r="AO91" s="1">
        <v>2</v>
      </c>
      <c r="AP91" s="4"/>
    </row>
    <row r="92" spans="1:42" x14ac:dyDescent="0.45">
      <c r="A92" s="34">
        <v>3</v>
      </c>
      <c r="B92" s="2" t="str">
        <v>Iran</v>
      </c>
      <c r="C92" s="1">
        <v>2</v>
      </c>
      <c r="D92" s="1">
        <v>2</v>
      </c>
      <c r="E92" s="1">
        <v>4</v>
      </c>
      <c r="F92" s="1">
        <v>-2</v>
      </c>
      <c r="G92" s="4"/>
      <c r="H92" s="34">
        <v>3</v>
      </c>
      <c r="I92" s="2" t="str">
        <v>Saudi-Arabien</v>
      </c>
      <c r="J92" s="1">
        <v>1</v>
      </c>
      <c r="K92" s="1">
        <v>2</v>
      </c>
      <c r="L92" s="1">
        <v>6</v>
      </c>
      <c r="M92" s="1">
        <v>-4</v>
      </c>
      <c r="N92" s="4"/>
      <c r="O92" s="34">
        <v>3</v>
      </c>
      <c r="P92" s="2" t="str">
        <v>Norwegen</v>
      </c>
      <c r="Q92" s="1">
        <v>2</v>
      </c>
      <c r="R92" s="1">
        <v>3</v>
      </c>
      <c r="S92" s="1">
        <v>4</v>
      </c>
      <c r="T92" s="1">
        <v>-1</v>
      </c>
      <c r="U92" s="4"/>
      <c r="V92" s="34">
        <v>3</v>
      </c>
      <c r="W92" s="2" t="str">
        <v>Österreich</v>
      </c>
      <c r="X92" s="1">
        <v>4</v>
      </c>
      <c r="Y92" s="1">
        <v>2</v>
      </c>
      <c r="Z92" s="1">
        <v>3</v>
      </c>
      <c r="AA92" s="1">
        <v>-1</v>
      </c>
      <c r="AB92" s="4"/>
      <c r="AC92" s="34">
        <v>3</v>
      </c>
      <c r="AD92" s="2" t="str">
        <v>Usbekistan</v>
      </c>
      <c r="AE92" s="1">
        <v>4</v>
      </c>
      <c r="AF92" s="1">
        <v>3</v>
      </c>
      <c r="AG92" s="1">
        <v>3</v>
      </c>
      <c r="AH92" s="1">
        <v>0</v>
      </c>
      <c r="AI92" s="4"/>
      <c r="AJ92" s="34">
        <v>3</v>
      </c>
      <c r="AK92" s="2" t="str">
        <v>Panama</v>
      </c>
      <c r="AL92" s="1">
        <v>1</v>
      </c>
      <c r="AM92" s="1">
        <v>2</v>
      </c>
      <c r="AN92" s="1">
        <v>5</v>
      </c>
      <c r="AO92" s="1">
        <v>-3</v>
      </c>
      <c r="AP92" s="4"/>
    </row>
    <row r="93" spans="1:42" x14ac:dyDescent="0.45">
      <c r="A93" s="32">
        <v>4</v>
      </c>
      <c r="B93" s="2" t="str">
        <v>Neuseeland</v>
      </c>
      <c r="C93" s="1">
        <v>1</v>
      </c>
      <c r="D93" s="1">
        <v>2</v>
      </c>
      <c r="E93" s="1">
        <v>5</v>
      </c>
      <c r="F93" s="1">
        <v>-3</v>
      </c>
      <c r="G93" s="4"/>
      <c r="H93" s="32">
        <v>4</v>
      </c>
      <c r="I93" s="2" t="str">
        <v>Kap Verde</v>
      </c>
      <c r="J93" s="1">
        <v>1</v>
      </c>
      <c r="K93" s="1">
        <v>1</v>
      </c>
      <c r="L93" s="1">
        <v>7</v>
      </c>
      <c r="M93" s="1">
        <v>-6</v>
      </c>
      <c r="N93" s="4"/>
      <c r="O93" s="32">
        <v>4</v>
      </c>
      <c r="P93" s="2" t="str">
        <v>Irak</v>
      </c>
      <c r="Q93" s="1">
        <v>1</v>
      </c>
      <c r="R93" s="1">
        <v>2</v>
      </c>
      <c r="S93" s="1">
        <v>6</v>
      </c>
      <c r="T93" s="1">
        <v>-4</v>
      </c>
      <c r="U93" s="4"/>
      <c r="V93" s="32">
        <v>4</v>
      </c>
      <c r="W93" s="2" t="str">
        <v>Jordanien</v>
      </c>
      <c r="X93" s="1">
        <v>0</v>
      </c>
      <c r="Y93" s="1">
        <v>0</v>
      </c>
      <c r="Z93" s="1">
        <v>7</v>
      </c>
      <c r="AA93" s="1">
        <v>-7</v>
      </c>
      <c r="AB93" s="4"/>
      <c r="AC93" s="32">
        <v>4</v>
      </c>
      <c r="AD93" s="2" t="str">
        <v>DR Kongo</v>
      </c>
      <c r="AE93" s="1">
        <v>1</v>
      </c>
      <c r="AF93" s="1">
        <v>2</v>
      </c>
      <c r="AG93" s="1">
        <v>6</v>
      </c>
      <c r="AH93" s="1">
        <v>-4</v>
      </c>
      <c r="AI93" s="4"/>
      <c r="AJ93" s="32">
        <v>4</v>
      </c>
      <c r="AK93" s="2" t="str">
        <v>Ghana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2</v>
      </c>
      <c r="V98" s="2">
        <f>D92</f>
        <v>2</v>
      </c>
      <c r="W98" s="2">
        <f>E92</f>
        <v>4</v>
      </c>
      <c r="X98" s="2">
        <f>F92</f>
        <v>-2</v>
      </c>
    </row>
    <row r="99" spans="17:24" x14ac:dyDescent="0.45">
      <c r="Q99"/>
      <c r="R99" s="82" t="str">
        <f>I92</f>
        <v>Saudi-Arabien</v>
      </c>
      <c r="S99" s="82"/>
      <c r="T99" s="82"/>
      <c r="U99" s="2">
        <f>J92</f>
        <v>1</v>
      </c>
      <c r="V99" s="2">
        <f>K92</f>
        <v>2</v>
      </c>
      <c r="W99" s="2">
        <f>L92</f>
        <v>6</v>
      </c>
      <c r="X99" s="2">
        <f>M92</f>
        <v>-4</v>
      </c>
    </row>
    <row r="100" spans="17:24" x14ac:dyDescent="0.45">
      <c r="Q100"/>
      <c r="R100" s="82" t="str">
        <f>P92</f>
        <v>Norwegen</v>
      </c>
      <c r="S100" s="82"/>
      <c r="T100" s="82"/>
      <c r="U100" s="2">
        <f>Q92</f>
        <v>2</v>
      </c>
      <c r="V100" s="2">
        <f>R92</f>
        <v>3</v>
      </c>
      <c r="W100" s="2">
        <f>S92</f>
        <v>4</v>
      </c>
      <c r="X100" s="2">
        <f>T92</f>
        <v>-1</v>
      </c>
    </row>
    <row r="101" spans="17:24" x14ac:dyDescent="0.45">
      <c r="Q101"/>
      <c r="R101" s="82" t="str">
        <f>W92</f>
        <v>Österreich</v>
      </c>
      <c r="S101" s="82"/>
      <c r="T101" s="82"/>
      <c r="U101" s="2">
        <f>X92</f>
        <v>4</v>
      </c>
      <c r="V101" s="2">
        <f>Y92</f>
        <v>2</v>
      </c>
      <c r="W101" s="2">
        <f>Z92</f>
        <v>3</v>
      </c>
      <c r="X101" s="2">
        <f>AA92</f>
        <v>-1</v>
      </c>
    </row>
    <row r="102" spans="17:24" x14ac:dyDescent="0.45">
      <c r="Q102"/>
      <c r="R102" s="82" t="str">
        <f>AD92</f>
        <v>Usbekistan</v>
      </c>
      <c r="S102" s="82"/>
      <c r="T102" s="82"/>
      <c r="U102" s="2">
        <f>AE92</f>
        <v>4</v>
      </c>
      <c r="V102" s="2">
        <f>AF92</f>
        <v>3</v>
      </c>
      <c r="W102" s="2">
        <f>AG92</f>
        <v>3</v>
      </c>
      <c r="X102" s="2">
        <f t="shared" ref="X102" si="12">AH92</f>
        <v>0</v>
      </c>
    </row>
    <row r="103" spans="17:24" x14ac:dyDescent="0.45">
      <c r="Q103"/>
      <c r="R103" s="82" t="str">
        <f>AK92</f>
        <v>Panama</v>
      </c>
      <c r="S103" s="82"/>
      <c r="T103" s="82"/>
      <c r="U103" s="2">
        <f>AL92</f>
        <v>1</v>
      </c>
      <c r="V103" s="2">
        <f t="shared" ref="V103:X103" si="13">AM92</f>
        <v>2</v>
      </c>
      <c r="W103" s="2">
        <f t="shared" si="13"/>
        <v>5</v>
      </c>
      <c r="X103" s="2">
        <f t="shared" si="13"/>
        <v>-3</v>
      </c>
    </row>
    <row r="104" spans="17:24" x14ac:dyDescent="0.45">
      <c r="R104" s="82" t="str">
        <f>B45</f>
        <v>Tschechien</v>
      </c>
      <c r="S104" s="82"/>
      <c r="T104" s="82"/>
      <c r="U104" s="2">
        <f>C45</f>
        <v>2</v>
      </c>
      <c r="V104" s="2">
        <f t="shared" ref="V104:X104" si="14">D45</f>
        <v>1</v>
      </c>
      <c r="W104" s="2">
        <f t="shared" si="14"/>
        <v>3</v>
      </c>
      <c r="X104" s="2">
        <f t="shared" si="14"/>
        <v>-2</v>
      </c>
    </row>
    <row r="105" spans="17:24" x14ac:dyDescent="0.45">
      <c r="R105" s="82" t="str">
        <f>I45</f>
        <v>Bosnien-Herz.</v>
      </c>
      <c r="S105" s="82"/>
      <c r="T105" s="82"/>
      <c r="U105" s="2">
        <f>J45</f>
        <v>3</v>
      </c>
      <c r="V105" s="2">
        <f t="shared" ref="V105:X105" si="15">K45</f>
        <v>2</v>
      </c>
      <c r="W105" s="2">
        <f t="shared" si="15"/>
        <v>2</v>
      </c>
      <c r="X105" s="2">
        <f t="shared" si="15"/>
        <v>0</v>
      </c>
    </row>
    <row r="106" spans="17:24" x14ac:dyDescent="0.45">
      <c r="R106" s="82" t="str">
        <f>P45</f>
        <v>Schottland</v>
      </c>
      <c r="S106" s="82"/>
      <c r="T106" s="82"/>
      <c r="U106" s="2">
        <f>Q45</f>
        <v>3</v>
      </c>
      <c r="V106" s="2">
        <f t="shared" ref="V106:X106" si="16">R45</f>
        <v>1</v>
      </c>
      <c r="W106" s="2">
        <f t="shared" si="16"/>
        <v>4</v>
      </c>
      <c r="X106" s="2">
        <f t="shared" si="16"/>
        <v>-3</v>
      </c>
    </row>
    <row r="107" spans="17:24" x14ac:dyDescent="0.45">
      <c r="R107" s="82" t="str">
        <f>W45</f>
        <v>Australien</v>
      </c>
      <c r="S107" s="82"/>
      <c r="T107" s="82"/>
      <c r="U107" s="2">
        <f>X45</f>
        <v>2</v>
      </c>
      <c r="V107" s="2">
        <f t="shared" ref="V107:W107" si="17">Y45</f>
        <v>3</v>
      </c>
      <c r="W107" s="2">
        <f t="shared" si="17"/>
        <v>4</v>
      </c>
      <c r="X107" s="2">
        <f>AA45</f>
        <v>-1</v>
      </c>
    </row>
    <row r="108" spans="17:24" x14ac:dyDescent="0.45">
      <c r="R108" s="82" t="str">
        <f>AD45</f>
        <v>Ecuador</v>
      </c>
      <c r="S108" s="82"/>
      <c r="T108" s="82"/>
      <c r="U108" s="2">
        <f>AE45</f>
        <v>4</v>
      </c>
      <c r="V108" s="2">
        <f t="shared" ref="V108:X108" si="18">AF45</f>
        <v>4</v>
      </c>
      <c r="W108" s="2">
        <f t="shared" si="18"/>
        <v>3</v>
      </c>
      <c r="X108" s="2">
        <f t="shared" si="18"/>
        <v>1</v>
      </c>
    </row>
    <row r="109" spans="17:24" x14ac:dyDescent="0.45">
      <c r="R109" s="82" t="str">
        <f>AK45</f>
        <v>Tunesien</v>
      </c>
      <c r="S109" s="82"/>
      <c r="T109" s="82"/>
      <c r="U109" s="2">
        <f>AL45</f>
        <v>1</v>
      </c>
      <c r="V109" s="2">
        <f t="shared" ref="V109:W109" si="19">AM45</f>
        <v>1</v>
      </c>
      <c r="W109" s="2">
        <f t="shared" si="19"/>
        <v>4</v>
      </c>
      <c r="X109" s="2">
        <f>AO45</f>
        <v>-3</v>
      </c>
    </row>
    <row r="112" spans="17:24" x14ac:dyDescent="0.45">
      <c r="Q112" s="33">
        <v>1</v>
      </c>
      <c r="R112" s="2" t="str" cm="1">
        <f t="array" ref="R112:R123">_xlfn.SORTBY(R98:R109,U98:U109,-1,X98:X109,-1,V98:V109,-1)</f>
        <v>Ecuador</v>
      </c>
      <c r="U112" s="2" cm="1">
        <f t="array" ref="U112:U123">_xlfn.SORTBY(U98:U109,U98:U109,-1,X98:X109,-1,V98:V109,-1)</f>
        <v>4</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Usbekistan</v>
      </c>
      <c r="U113" s="2">
        <v>4</v>
      </c>
      <c r="V113" s="2">
        <v>3</v>
      </c>
      <c r="W113" s="2">
        <v>3</v>
      </c>
      <c r="X113" s="2">
        <v>0</v>
      </c>
    </row>
    <row r="114" spans="17:24" x14ac:dyDescent="0.45">
      <c r="Q114" s="33">
        <v>3</v>
      </c>
      <c r="R114" s="2" t="str">
        <v>Österreich</v>
      </c>
      <c r="U114" s="2">
        <v>4</v>
      </c>
      <c r="V114" s="2">
        <v>2</v>
      </c>
      <c r="W114" s="2">
        <v>3</v>
      </c>
      <c r="X114" s="2">
        <v>-1</v>
      </c>
    </row>
    <row r="115" spans="17:24" x14ac:dyDescent="0.45">
      <c r="Q115" s="33">
        <v>4</v>
      </c>
      <c r="R115" s="2" t="str">
        <v>Bosnien-Herz.</v>
      </c>
      <c r="U115" s="2">
        <v>3</v>
      </c>
      <c r="V115" s="2">
        <v>2</v>
      </c>
      <c r="W115" s="2">
        <v>2</v>
      </c>
      <c r="X115" s="2">
        <v>0</v>
      </c>
    </row>
    <row r="116" spans="17:24" x14ac:dyDescent="0.45">
      <c r="Q116" s="33">
        <v>5</v>
      </c>
      <c r="R116" s="2" t="str">
        <v>Schottland</v>
      </c>
      <c r="U116" s="2">
        <v>3</v>
      </c>
      <c r="V116" s="2">
        <v>1</v>
      </c>
      <c r="W116" s="2">
        <v>4</v>
      </c>
      <c r="X116" s="2">
        <v>-3</v>
      </c>
    </row>
    <row r="117" spans="17:24" x14ac:dyDescent="0.45">
      <c r="Q117" s="33">
        <v>6</v>
      </c>
      <c r="R117" s="2" t="str">
        <v>Norwegen</v>
      </c>
      <c r="U117" s="2">
        <v>2</v>
      </c>
      <c r="V117" s="2">
        <v>3</v>
      </c>
      <c r="W117" s="2">
        <v>4</v>
      </c>
      <c r="X117" s="2">
        <v>-1</v>
      </c>
    </row>
    <row r="118" spans="17:24" x14ac:dyDescent="0.45">
      <c r="Q118" s="33">
        <v>7</v>
      </c>
      <c r="R118" s="2" t="str">
        <v>Australien</v>
      </c>
      <c r="U118" s="2">
        <v>2</v>
      </c>
      <c r="V118" s="2">
        <v>3</v>
      </c>
      <c r="W118" s="2">
        <v>4</v>
      </c>
      <c r="X118" s="2">
        <v>-1</v>
      </c>
    </row>
    <row r="119" spans="17:24" x14ac:dyDescent="0.45">
      <c r="Q119" s="33">
        <v>8</v>
      </c>
      <c r="R119" s="2" t="str">
        <v>Iran</v>
      </c>
      <c r="U119" s="2">
        <v>2</v>
      </c>
      <c r="V119" s="2">
        <v>2</v>
      </c>
      <c r="W119" s="2">
        <v>4</v>
      </c>
      <c r="X119" s="2">
        <v>-2</v>
      </c>
    </row>
    <row r="120" spans="17:24" x14ac:dyDescent="0.45">
      <c r="Q120" s="32">
        <v>9</v>
      </c>
      <c r="R120" s="2" t="str">
        <v>Tschechien</v>
      </c>
      <c r="U120" s="2">
        <v>2</v>
      </c>
      <c r="V120" s="2">
        <v>1</v>
      </c>
      <c r="W120" s="2">
        <v>3</v>
      </c>
      <c r="X120" s="2">
        <v>-2</v>
      </c>
    </row>
    <row r="121" spans="17:24" x14ac:dyDescent="0.45">
      <c r="Q121" s="32">
        <v>10</v>
      </c>
      <c r="R121" s="2" t="str">
        <v>Panama</v>
      </c>
      <c r="U121" s="2">
        <v>1</v>
      </c>
      <c r="V121" s="2">
        <v>2</v>
      </c>
      <c r="W121" s="2">
        <v>5</v>
      </c>
      <c r="X121" s="2">
        <v>-3</v>
      </c>
    </row>
    <row r="122" spans="17:24" x14ac:dyDescent="0.45">
      <c r="Q122" s="32">
        <v>11</v>
      </c>
      <c r="R122" s="2" t="str">
        <v>Tunesien</v>
      </c>
      <c r="U122" s="2">
        <v>1</v>
      </c>
      <c r="V122" s="2">
        <v>1</v>
      </c>
      <c r="W122" s="2">
        <v>4</v>
      </c>
      <c r="X122" s="2">
        <v>-3</v>
      </c>
    </row>
    <row r="123" spans="17:24" x14ac:dyDescent="0.45">
      <c r="Q123" s="32">
        <v>12</v>
      </c>
      <c r="R123" s="2" t="str">
        <v>Saudi-Arabien</v>
      </c>
      <c r="U123" s="2">
        <v>1</v>
      </c>
      <c r="V123" s="2">
        <v>2</v>
      </c>
      <c r="W123" s="2">
        <v>6</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215</v>
      </c>
    </row>
    <row r="155" spans="1:23" x14ac:dyDescent="0.45">
      <c r="A155" s="23" t="s">
        <v>103</v>
      </c>
      <c r="B155" s="24">
        <f>SUM(H160:H231)</f>
        <v>218</v>
      </c>
    </row>
    <row r="156" spans="1:23" x14ac:dyDescent="0.45">
      <c r="A156" s="23" t="s">
        <v>104</v>
      </c>
      <c r="B156" s="24">
        <f>SUM(E234:E265)</f>
        <v>130</v>
      </c>
    </row>
    <row r="157" spans="1:23" x14ac:dyDescent="0.45">
      <c r="A157" s="25" t="s">
        <v>105</v>
      </c>
      <c r="B157" s="26">
        <f>B154+B155+B156</f>
        <v>563</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2</v>
      </c>
    </row>
    <row r="162" spans="1:8" x14ac:dyDescent="0.45">
      <c r="A162" s="28">
        <v>3</v>
      </c>
      <c r="B162" s="29" t="s">
        <v>119</v>
      </c>
      <c r="C162" s="30" t="s">
        <v>120</v>
      </c>
      <c r="D162" s="30" t="s">
        <v>121</v>
      </c>
      <c r="E162" s="28">
        <f>Realität!B16</f>
        <v>1</v>
      </c>
      <c r="F162" s="28">
        <f>Realität!C16</f>
        <v>1</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5</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4</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4</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1</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3</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2</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3</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2</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4</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1</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3</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2</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5</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4</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5</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4</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5</v>
      </c>
    </row>
    <row r="209" spans="1:8" x14ac:dyDescent="0.45">
      <c r="A209" s="28">
        <v>50</v>
      </c>
      <c r="B209" s="29" t="s">
        <v>260</v>
      </c>
      <c r="C209" s="30" t="s">
        <v>261</v>
      </c>
      <c r="D209" s="30" t="s">
        <v>262</v>
      </c>
      <c r="E209" s="28">
        <f>Realität!P57</f>
        <v>1</v>
      </c>
      <c r="F209" s="28">
        <f>Realität!Q57</f>
        <v>4</v>
      </c>
      <c r="G209" s="28">
        <f>IF(OR(P57="",Realität!P57=""),0,IF(SIGN(P57-Q57)=SIGN(Realität!P57-Realität!Q57),5,0))</f>
        <v>0</v>
      </c>
      <c r="H209" s="28">
        <f>IF(OR(P57="",Realität!P57=""),0,MAX(0,5-ABS(P57-Realität!P57)-ABS(Q57-Realität!Q57)))</f>
        <v>2</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2</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1</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2</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5</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3</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0</v>
      </c>
      <c r="H221" s="28">
        <f>IF(OR(AD57="",Realität!AD57=""),0,MAX(0,5-ABS(AD57-Realität!AD57)-ABS(AE57-Realität!AE57)))</f>
        <v>2</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1</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3</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2</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215</v>
      </c>
      <c r="H232" s="24">
        <f>SUM(H160:H231)</f>
        <v>218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Kanada</v>
      </c>
      <c r="E236" s="28">
        <f t="shared" si="20"/>
        <v>5</v>
      </c>
    </row>
    <row r="237" spans="1:8" x14ac:dyDescent="0.45">
      <c r="A237" s="28">
        <v>4</v>
      </c>
      <c r="B237" s="29" t="s">
        <v>337</v>
      </c>
      <c r="C237" s="29" t="str">
        <f>Realität!I44</f>
        <v>Kanada</v>
      </c>
      <c r="D237" s="29" t="str">
        <f>I44</f>
        <v>Schweiz</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Paraguay</v>
      </c>
      <c r="E240" s="28">
        <f t="shared" si="20"/>
        <v>5</v>
      </c>
    </row>
    <row r="241" spans="1:5" x14ac:dyDescent="0.45">
      <c r="A241" s="28">
        <v>8</v>
      </c>
      <c r="B241" s="29" t="s">
        <v>341</v>
      </c>
      <c r="C241" s="29" t="str">
        <f>Realität!W44</f>
        <v>Australien</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Elfenbeinküste</v>
      </c>
      <c r="E243" s="28">
        <f t="shared" si="20"/>
        <v>5</v>
      </c>
    </row>
    <row r="244" spans="1:5" x14ac:dyDescent="0.45">
      <c r="A244" s="28">
        <v>11</v>
      </c>
      <c r="B244" s="29" t="s">
        <v>344</v>
      </c>
      <c r="C244" s="29" t="str">
        <f>Realität!AK43</f>
        <v>Niederlande</v>
      </c>
      <c r="D244" s="29" t="str">
        <f>AK43</f>
        <v>Japan</v>
      </c>
      <c r="E244" s="28">
        <f t="shared" si="20"/>
        <v>5</v>
      </c>
    </row>
    <row r="245" spans="1:5" x14ac:dyDescent="0.45">
      <c r="A245" s="28">
        <v>12</v>
      </c>
      <c r="B245" s="29" t="s">
        <v>345</v>
      </c>
      <c r="C245" s="29" t="str">
        <f>Realität!AK44</f>
        <v>Japan</v>
      </c>
      <c r="D245" s="29" t="str">
        <f>AK44</f>
        <v>Niederlande</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Algerien</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Ecuador</v>
      </c>
      <c r="E258" s="28">
        <f t="shared" si="20"/>
        <v>5</v>
      </c>
    </row>
    <row r="259" spans="1:5" x14ac:dyDescent="0.45">
      <c r="A259" s="28">
        <v>26</v>
      </c>
      <c r="B259" s="29" t="s">
        <v>359</v>
      </c>
      <c r="C259" s="29" t="str">
        <f>Realität!R113</f>
        <v>Schweden</v>
      </c>
      <c r="D259" s="29" t="str">
        <f t="shared" si="21"/>
        <v>Usbekistan</v>
      </c>
      <c r="E259" s="28">
        <f t="shared" si="20"/>
        <v>0</v>
      </c>
    </row>
    <row r="260" spans="1:5" x14ac:dyDescent="0.45">
      <c r="A260" s="28">
        <v>27</v>
      </c>
      <c r="B260" s="29" t="s">
        <v>360</v>
      </c>
      <c r="C260" s="29" t="str">
        <f>Realität!R114</f>
        <v>Ghana</v>
      </c>
      <c r="D260" s="29" t="str">
        <f t="shared" si="21"/>
        <v>Österreich</v>
      </c>
      <c r="E260" s="28">
        <f t="shared" si="20"/>
        <v>5</v>
      </c>
    </row>
    <row r="261" spans="1:5" x14ac:dyDescent="0.45">
      <c r="A261" s="28">
        <v>28</v>
      </c>
      <c r="B261" s="29" t="s">
        <v>361</v>
      </c>
      <c r="C261" s="29" t="str">
        <f>Realität!R115</f>
        <v>Ecuador</v>
      </c>
      <c r="D261" s="29" t="str">
        <f t="shared" si="21"/>
        <v>Bosnien-Herz.</v>
      </c>
      <c r="E261" s="28">
        <f t="shared" si="20"/>
        <v>5</v>
      </c>
    </row>
    <row r="262" spans="1:5" x14ac:dyDescent="0.45">
      <c r="A262" s="28">
        <v>29</v>
      </c>
      <c r="B262" s="29" t="s">
        <v>362</v>
      </c>
      <c r="C262" s="29" t="str">
        <f>Realität!R116</f>
        <v>Bosnien-Herz.</v>
      </c>
      <c r="D262" s="29" t="str">
        <f t="shared" si="21"/>
        <v>Schottland</v>
      </c>
      <c r="E262" s="28">
        <f t="shared" si="20"/>
        <v>0</v>
      </c>
    </row>
    <row r="263" spans="1:5" x14ac:dyDescent="0.45">
      <c r="A263" s="28">
        <v>30</v>
      </c>
      <c r="B263" s="29" t="s">
        <v>363</v>
      </c>
      <c r="C263" s="29" t="str">
        <f>Realität!R117</f>
        <v>Algerien</v>
      </c>
      <c r="D263" s="29" t="str">
        <f t="shared" si="21"/>
        <v>Norwegen</v>
      </c>
      <c r="E263" s="28">
        <f t="shared" si="20"/>
        <v>5</v>
      </c>
    </row>
    <row r="264" spans="1:5" x14ac:dyDescent="0.45">
      <c r="A264" s="28">
        <v>31</v>
      </c>
      <c r="B264" s="29" t="s">
        <v>364</v>
      </c>
      <c r="C264" s="29" t="str">
        <f>Realität!R118</f>
        <v>Paraguay</v>
      </c>
      <c r="D264" s="29" t="str">
        <f t="shared" si="21"/>
        <v>Australien</v>
      </c>
      <c r="E264" s="28">
        <f t="shared" si="20"/>
        <v>5</v>
      </c>
    </row>
    <row r="265" spans="1:5" x14ac:dyDescent="0.45">
      <c r="A265" s="28">
        <v>32</v>
      </c>
      <c r="B265" s="29" t="s">
        <v>365</v>
      </c>
      <c r="C265" s="29" t="str">
        <f>Realität!R119</f>
        <v>Senegal</v>
      </c>
      <c r="D265" s="29" t="str">
        <f t="shared" si="21"/>
        <v>Iran</v>
      </c>
      <c r="E265" s="28">
        <f t="shared" si="20"/>
        <v>0</v>
      </c>
    </row>
    <row r="266" spans="1:5" x14ac:dyDescent="0.45">
      <c r="D266" s="23" t="s">
        <v>330</v>
      </c>
      <c r="E266" s="24">
        <f>SUM(E234:E265)</f>
        <v>130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65EB-ADFC-40FA-A875-4ACDEB256FC1}">
  <dimension ref="A1:AP266"/>
  <sheetViews>
    <sheetView topLeftCell="A137" workbookViewId="0">
      <selection activeCell="A152" sqref="A152:H266"/>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1</v>
      </c>
      <c r="K5" s="4"/>
      <c r="L5" s="4"/>
      <c r="M5" s="4"/>
      <c r="N5" s="4"/>
      <c r="O5" s="4"/>
      <c r="P5" s="38">
        <v>1</v>
      </c>
      <c r="Q5" s="38">
        <v>1</v>
      </c>
      <c r="R5" s="4"/>
      <c r="S5" s="4"/>
      <c r="T5" s="4"/>
      <c r="U5" s="4"/>
      <c r="V5" s="4"/>
      <c r="W5" s="38">
        <v>1</v>
      </c>
      <c r="X5" s="38">
        <v>1</v>
      </c>
      <c r="Y5" s="4"/>
      <c r="Z5" s="4"/>
      <c r="AA5" s="4"/>
      <c r="AB5" s="4"/>
      <c r="AC5" s="4"/>
      <c r="AD5" s="38">
        <v>4</v>
      </c>
      <c r="AE5" s="38">
        <v>0</v>
      </c>
      <c r="AF5" s="4"/>
      <c r="AG5" s="4"/>
      <c r="AH5" s="4"/>
      <c r="AI5" s="4"/>
      <c r="AJ5" s="4"/>
      <c r="AK5" s="38">
        <v>1</v>
      </c>
      <c r="AL5" s="38">
        <v>1</v>
      </c>
      <c r="AM5" s="4"/>
      <c r="AN5" s="4"/>
      <c r="AO5" s="4"/>
      <c r="AP5" s="4"/>
    </row>
    <row r="6" spans="1:42" x14ac:dyDescent="0.45">
      <c r="A6" s="4"/>
      <c r="B6" s="80" t="str">
        <f>IF(B5=C5,"Unentschieden",IF(B5&gt;C5,B4,C4))</f>
        <v>Mexiko</v>
      </c>
      <c r="C6" s="80"/>
      <c r="D6" s="4"/>
      <c r="E6" s="4"/>
      <c r="F6" s="4"/>
      <c r="G6" s="4"/>
      <c r="H6" s="4"/>
      <c r="I6" s="80" t="str">
        <f>IF(I5=J5,"Unentschieden",IF(I5&gt;J5,I4,J4))</f>
        <v>Unentschieden</v>
      </c>
      <c r="J6" s="80"/>
      <c r="K6" s="4"/>
      <c r="L6" s="4"/>
      <c r="M6" s="4"/>
      <c r="N6" s="4"/>
      <c r="O6" s="4"/>
      <c r="P6" s="80" t="str">
        <f>IF(P5=Q5,"Unentschieden",IF(P5&gt;Q5,P4,Q4))</f>
        <v>Unentschieden</v>
      </c>
      <c r="Q6" s="80"/>
      <c r="R6" s="4"/>
      <c r="S6" s="4"/>
      <c r="T6" s="4"/>
      <c r="U6" s="4"/>
      <c r="V6" s="4"/>
      <c r="W6" s="80" t="str">
        <f>IF(W5=X5,"Unentschieden",IF(W5&gt;X5,W4,X4))</f>
        <v>Unentschieden</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1</v>
      </c>
      <c r="X7" s="1">
        <f>IF(X5=W5,1,IF(X5&gt;W5,3,0))</f>
        <v>1</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3</v>
      </c>
      <c r="K10" s="4"/>
      <c r="L10" s="4"/>
      <c r="M10" s="4"/>
      <c r="N10" s="4"/>
      <c r="O10" s="4"/>
      <c r="P10" s="38">
        <v>0</v>
      </c>
      <c r="Q10" s="38">
        <v>2</v>
      </c>
      <c r="R10" s="4"/>
      <c r="S10" s="4"/>
      <c r="T10" s="4"/>
      <c r="U10" s="4"/>
      <c r="V10" s="4"/>
      <c r="W10" s="38">
        <v>0</v>
      </c>
      <c r="X10" s="38">
        <v>2</v>
      </c>
      <c r="Y10" s="4"/>
      <c r="Z10" s="4"/>
      <c r="AA10" s="4"/>
      <c r="AB10" s="4"/>
      <c r="AC10" s="4"/>
      <c r="AD10" s="38">
        <v>1</v>
      </c>
      <c r="AE10" s="38">
        <v>1</v>
      </c>
      <c r="AF10" s="4"/>
      <c r="AG10" s="4"/>
      <c r="AH10" s="4"/>
      <c r="AI10" s="4"/>
      <c r="AJ10" s="4"/>
      <c r="AK10" s="38">
        <v>1</v>
      </c>
      <c r="AL10" s="38">
        <v>0</v>
      </c>
      <c r="AM10" s="4"/>
      <c r="AN10" s="4"/>
      <c r="AO10" s="4"/>
      <c r="AP10" s="4"/>
    </row>
    <row r="11" spans="1:42" x14ac:dyDescent="0.45">
      <c r="A11" s="4"/>
      <c r="B11" s="80" t="str">
        <f>IF(B10=C10,"Unentschieden",IF(B10&gt;C10,B9,C9))</f>
        <v>Unentschieden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Unentschieden</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1</v>
      </c>
      <c r="J16" s="38">
        <v>1</v>
      </c>
      <c r="K16" s="4"/>
      <c r="L16" s="4"/>
      <c r="M16" s="4"/>
      <c r="N16" s="4"/>
      <c r="O16" s="4"/>
      <c r="P16" s="38">
        <v>0</v>
      </c>
      <c r="Q16" s="38">
        <v>0</v>
      </c>
      <c r="R16" s="4"/>
      <c r="S16" s="4"/>
      <c r="T16" s="4"/>
      <c r="U16" s="4"/>
      <c r="V16" s="4"/>
      <c r="W16" s="38">
        <v>2</v>
      </c>
      <c r="X16" s="38">
        <v>1</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Unentschieden</v>
      </c>
      <c r="J17" s="80"/>
      <c r="K17" s="4"/>
      <c r="L17" s="4"/>
      <c r="M17" s="4"/>
      <c r="N17" s="4"/>
      <c r="O17" s="4"/>
      <c r="P17" s="80" t="str">
        <f>IF(P16=Q16,"Unentschieden",IF(P16&gt;Q16,P15,Q15))</f>
        <v>Unentschieden</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1</v>
      </c>
      <c r="J18" s="1">
        <f>IF(J16=I16,1,IF(J16&gt;I16,3,0))</f>
        <v>1</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3</v>
      </c>
      <c r="C21" s="38">
        <v>2</v>
      </c>
      <c r="D21" s="4"/>
      <c r="E21" s="4"/>
      <c r="F21" s="4"/>
      <c r="G21" s="4"/>
      <c r="H21" s="4"/>
      <c r="I21" s="38">
        <v>2</v>
      </c>
      <c r="J21" s="38">
        <v>1</v>
      </c>
      <c r="K21" s="4"/>
      <c r="L21" s="4"/>
      <c r="M21" s="4"/>
      <c r="N21" s="4"/>
      <c r="O21" s="4"/>
      <c r="P21" s="38">
        <v>5</v>
      </c>
      <c r="Q21" s="38">
        <v>0</v>
      </c>
      <c r="R21" s="4"/>
      <c r="S21" s="4"/>
      <c r="T21" s="4"/>
      <c r="U21" s="4"/>
      <c r="V21" s="4"/>
      <c r="W21" s="38">
        <v>3</v>
      </c>
      <c r="X21" s="38">
        <v>1</v>
      </c>
      <c r="Y21" s="4"/>
      <c r="Z21" s="4"/>
      <c r="AA21" s="4"/>
      <c r="AB21" s="4"/>
      <c r="AC21" s="4"/>
      <c r="AD21" s="38">
        <v>1</v>
      </c>
      <c r="AE21" s="38">
        <v>1</v>
      </c>
      <c r="AF21" s="4"/>
      <c r="AG21" s="4"/>
      <c r="AH21" s="4"/>
      <c r="AI21" s="4"/>
      <c r="AJ21" s="4"/>
      <c r="AK21" s="38">
        <v>1</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USA</v>
      </c>
      <c r="X22" s="80"/>
      <c r="Y22" s="4"/>
      <c r="Z22" s="4"/>
      <c r="AA22" s="4"/>
      <c r="AB22" s="4"/>
      <c r="AC22" s="4"/>
      <c r="AD22" s="80" t="str">
        <f>IF(AD21=AE21,"Unentschieden",IF(AD21&gt;AE21,AD20,AE20))</f>
        <v>Unentschieden</v>
      </c>
      <c r="AE22" s="80"/>
      <c r="AF22" s="4"/>
      <c r="AG22" s="4"/>
      <c r="AH22" s="4"/>
      <c r="AI22" s="4"/>
      <c r="AJ22" s="4"/>
      <c r="AK22" s="80" t="str">
        <f>IF(AK21=AL21,"Unentschieden",IF(AK21&gt;AL21,AK20,AL20))</f>
        <v>Unentschieden</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1</v>
      </c>
      <c r="AE23" s="1">
        <f>IF(AE21=AD21,1,IF(AE21&gt;AD21,3,0))</f>
        <v>1</v>
      </c>
      <c r="AF23" s="4"/>
      <c r="AG23" s="4"/>
      <c r="AH23" s="4"/>
      <c r="AI23" s="4"/>
      <c r="AJ23" s="4"/>
      <c r="AK23" s="1">
        <f>IF(AK21=AL21,1,IF(AK21&gt;AL21,3,0))</f>
        <v>1</v>
      </c>
      <c r="AL23" s="1">
        <f>IF(AL21=AK21,1,IF(AL21&gt;AK21,3,0))</f>
        <v>1</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1</v>
      </c>
      <c r="C27" s="38">
        <v>0</v>
      </c>
      <c r="D27" s="4"/>
      <c r="E27" s="4"/>
      <c r="F27" s="4"/>
      <c r="G27" s="4"/>
      <c r="H27" s="4"/>
      <c r="I27" s="38">
        <v>2</v>
      </c>
      <c r="J27" s="38">
        <v>1</v>
      </c>
      <c r="K27" s="4"/>
      <c r="L27" s="4"/>
      <c r="M27" s="4"/>
      <c r="N27" s="4"/>
      <c r="O27" s="4"/>
      <c r="P27" s="38">
        <v>4</v>
      </c>
      <c r="Q27" s="38">
        <v>1</v>
      </c>
      <c r="R27" s="4"/>
      <c r="S27" s="4"/>
      <c r="T27" s="4"/>
      <c r="U27" s="4"/>
      <c r="V27" s="4"/>
      <c r="W27" s="38">
        <v>2</v>
      </c>
      <c r="X27" s="38">
        <v>1</v>
      </c>
      <c r="Y27" s="4"/>
      <c r="Z27" s="4"/>
      <c r="AA27" s="4"/>
      <c r="AB27" s="4"/>
      <c r="AC27" s="4"/>
      <c r="AD27" s="38">
        <v>0</v>
      </c>
      <c r="AE27" s="38">
        <v>2</v>
      </c>
      <c r="AF27" s="4"/>
      <c r="AG27" s="4"/>
      <c r="AH27" s="4"/>
      <c r="AI27" s="4"/>
      <c r="AJ27" s="4"/>
      <c r="AK27" s="38">
        <v>1</v>
      </c>
      <c r="AL27" s="38">
        <v>1</v>
      </c>
      <c r="AM27" s="4"/>
      <c r="AN27" s="4"/>
      <c r="AO27" s="4"/>
      <c r="AP27" s="4"/>
    </row>
    <row r="28" spans="1:42" x14ac:dyDescent="0.45">
      <c r="A28" s="4"/>
      <c r="B28" s="80" t="str">
        <f>IF(B27=C27,"Unentschieden",IF(B27&gt;C27,B26,C26))</f>
        <v>Südafrika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Paraguay</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Unentschieden</v>
      </c>
      <c r="AL28" s="80"/>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1</v>
      </c>
      <c r="Q32" s="38">
        <v>2</v>
      </c>
      <c r="R32" s="4"/>
      <c r="S32" s="4"/>
      <c r="T32" s="4"/>
      <c r="U32" s="4"/>
      <c r="V32" s="4"/>
      <c r="W32" s="38">
        <v>2</v>
      </c>
      <c r="X32" s="38">
        <v>2</v>
      </c>
      <c r="Y32" s="4"/>
      <c r="Z32" s="4"/>
      <c r="AA32" s="4"/>
      <c r="AB32" s="4"/>
      <c r="AC32" s="4"/>
      <c r="AD32" s="38">
        <v>1</v>
      </c>
      <c r="AE32" s="38">
        <v>2</v>
      </c>
      <c r="AF32" s="4"/>
      <c r="AG32" s="4"/>
      <c r="AH32" s="4"/>
      <c r="AI32" s="4"/>
      <c r="AJ32" s="4"/>
      <c r="AK32" s="38">
        <v>0</v>
      </c>
      <c r="AL32" s="38">
        <v>2</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Unentschieden</v>
      </c>
      <c r="J33" s="80"/>
      <c r="K33" s="4"/>
      <c r="L33" s="4"/>
      <c r="M33" s="4"/>
      <c r="N33" s="4"/>
      <c r="O33" s="4"/>
      <c r="P33" s="80" t="str">
        <f>IF(P32=Q32,"Unentschieden",IF(P32&gt;Q32,P31,Q31))</f>
        <v>Brasilien</v>
      </c>
      <c r="Q33" s="80"/>
      <c r="R33" s="4"/>
      <c r="S33" s="4"/>
      <c r="T33" s="4"/>
      <c r="U33" s="4"/>
      <c r="V33" s="4"/>
      <c r="W33" s="80" t="str">
        <f>IF(W32=X32,"Unentschieden",IF(W32&gt;X32,W31,X31))</f>
        <v>Unentschieden</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5</v>
      </c>
      <c r="K37" s="1">
        <f>I5+I21+J32</f>
        <v>4</v>
      </c>
      <c r="L37" s="1">
        <f>J5+J21+I32</f>
        <v>3</v>
      </c>
      <c r="M37" s="1">
        <f>K37-L37</f>
        <v>1</v>
      </c>
      <c r="N37" s="4"/>
      <c r="O37" s="13"/>
      <c r="P37" s="2" t="s">
        <v>29</v>
      </c>
      <c r="Q37" s="1">
        <f>P7+P23+Q34</f>
        <v>7</v>
      </c>
      <c r="R37" s="1">
        <f>P5+P21+Q32</f>
        <v>8</v>
      </c>
      <c r="S37" s="1">
        <f>Q5+Q21+P32</f>
        <v>2</v>
      </c>
      <c r="T37" s="1">
        <f>R37-S37</f>
        <v>6</v>
      </c>
      <c r="U37" s="4"/>
      <c r="V37" s="13"/>
      <c r="W37" s="2" t="s">
        <v>31</v>
      </c>
      <c r="X37" s="1">
        <f>W7+W23+X34</f>
        <v>5</v>
      </c>
      <c r="Y37" s="1">
        <f>W5+W21+X32</f>
        <v>6</v>
      </c>
      <c r="Z37" s="1">
        <f>X5+X21+W32</f>
        <v>4</v>
      </c>
      <c r="AA37" s="1">
        <f>Y37-Z37</f>
        <v>2</v>
      </c>
      <c r="AB37" s="4"/>
      <c r="AC37" s="13"/>
      <c r="AD37" s="2" t="s">
        <v>33</v>
      </c>
      <c r="AE37" s="1">
        <f>AD7+AD23+AE34</f>
        <v>7</v>
      </c>
      <c r="AF37" s="1">
        <f>AD5+AD21+AE32</f>
        <v>7</v>
      </c>
      <c r="AG37" s="1">
        <f>AE5+AE21+AD32</f>
        <v>2</v>
      </c>
      <c r="AH37" s="1">
        <f>AF37-AG37</f>
        <v>5</v>
      </c>
      <c r="AI37" s="4"/>
      <c r="AJ37" s="4"/>
      <c r="AK37" s="2" t="s">
        <v>35</v>
      </c>
      <c r="AL37" s="1">
        <f>AK7+AK23+AL34</f>
        <v>5</v>
      </c>
      <c r="AM37" s="1">
        <f>AK5+AK21+AL32</f>
        <v>4</v>
      </c>
      <c r="AN37" s="1">
        <f>AL5+AL21+AK32</f>
        <v>2</v>
      </c>
      <c r="AO37" s="1">
        <f>AM37-AN37</f>
        <v>2</v>
      </c>
      <c r="AP37" s="4"/>
    </row>
    <row r="38" spans="1:42" x14ac:dyDescent="0.45">
      <c r="A38" s="37"/>
      <c r="B38" s="2" t="s">
        <v>26</v>
      </c>
      <c r="C38" s="1">
        <f>C7+C18+B29</f>
        <v>3</v>
      </c>
      <c r="D38" s="1">
        <f>C5+C16+B27</f>
        <v>1</v>
      </c>
      <c r="E38" s="1">
        <f>B5+B16+C27</f>
        <v>3</v>
      </c>
      <c r="F38" s="1">
        <f t="shared" ref="F38:F40" si="0">D38-E38</f>
        <v>-2</v>
      </c>
      <c r="G38" s="4"/>
      <c r="H38" s="37"/>
      <c r="I38" s="2" t="s">
        <v>28</v>
      </c>
      <c r="J38" s="1">
        <f>J7+J18+I29</f>
        <v>5</v>
      </c>
      <c r="K38" s="1">
        <f>J5+J16+I27</f>
        <v>4</v>
      </c>
      <c r="L38" s="1">
        <f>I5+I16+J27</f>
        <v>3</v>
      </c>
      <c r="M38" s="1">
        <f t="shared" ref="M38:M40" si="1">K38-L38</f>
        <v>1</v>
      </c>
      <c r="N38" s="4"/>
      <c r="O38" s="13"/>
      <c r="P38" s="2" t="s">
        <v>30</v>
      </c>
      <c r="Q38" s="1">
        <f>Q7+Q18+P29</f>
        <v>5</v>
      </c>
      <c r="R38" s="1">
        <f>Q5+Q16+P27</f>
        <v>5</v>
      </c>
      <c r="S38" s="1">
        <f>P5+P16+Q27</f>
        <v>2</v>
      </c>
      <c r="T38" s="1">
        <f t="shared" ref="T38:T40" si="2">R38-S38</f>
        <v>3</v>
      </c>
      <c r="U38" s="4"/>
      <c r="V38" s="13"/>
      <c r="W38" s="2" t="s">
        <v>32</v>
      </c>
      <c r="X38" s="1">
        <f>X7+X18+W29</f>
        <v>4</v>
      </c>
      <c r="Y38" s="1">
        <f>X5+X16+W27</f>
        <v>4</v>
      </c>
      <c r="Z38" s="1">
        <f>W5+W16+X27</f>
        <v>4</v>
      </c>
      <c r="AA38" s="1">
        <f t="shared" ref="AA38:AA40" si="3">Y38-Z38</f>
        <v>0</v>
      </c>
      <c r="AB38" s="4"/>
      <c r="AC38" s="13"/>
      <c r="AD38" s="2" t="s">
        <v>34</v>
      </c>
      <c r="AE38" s="1">
        <f>AE7+AE18+AD29</f>
        <v>0</v>
      </c>
      <c r="AF38" s="1">
        <f>AE5+AE16+AD27</f>
        <v>0</v>
      </c>
      <c r="AG38" s="1">
        <f>AD5+AD16+AE27</f>
        <v>8</v>
      </c>
      <c r="AH38" s="1">
        <f t="shared" ref="AH38:AH40" si="4">AF38-AG38</f>
        <v>-8</v>
      </c>
      <c r="AI38" s="4"/>
      <c r="AJ38" s="4"/>
      <c r="AK38" s="2" t="s">
        <v>36</v>
      </c>
      <c r="AL38" s="1">
        <f>AL7+AL18+AK29</f>
        <v>5</v>
      </c>
      <c r="AM38" s="1">
        <f>AL5+AL16+AK27</f>
        <v>4</v>
      </c>
      <c r="AN38" s="1">
        <f>AK5+AK16+AL27</f>
        <v>2</v>
      </c>
      <c r="AO38" s="1">
        <f t="shared" ref="AO38:AO40" si="5">AM38-AN38</f>
        <v>2</v>
      </c>
      <c r="AP38" s="4"/>
    </row>
    <row r="39" spans="1:42" x14ac:dyDescent="0.45">
      <c r="A39" s="36"/>
      <c r="B39" s="2" t="s">
        <v>37</v>
      </c>
      <c r="C39" s="1">
        <f>B12+C23+C29</f>
        <v>1</v>
      </c>
      <c r="D39" s="1">
        <f>B10+C21+C27</f>
        <v>3</v>
      </c>
      <c r="E39" s="1">
        <f>C10+B21+B27</f>
        <v>5</v>
      </c>
      <c r="F39" s="1">
        <f t="shared" si="0"/>
        <v>-2</v>
      </c>
      <c r="G39" s="4"/>
      <c r="H39" s="36"/>
      <c r="I39" s="2" t="s">
        <v>39</v>
      </c>
      <c r="J39" s="1">
        <f>I12+J23+J29</f>
        <v>0</v>
      </c>
      <c r="K39" s="1">
        <f>I10+J21+J27</f>
        <v>2</v>
      </c>
      <c r="L39" s="1">
        <f>J10+I21+I27</f>
        <v>7</v>
      </c>
      <c r="M39" s="1">
        <f t="shared" si="1"/>
        <v>-5</v>
      </c>
      <c r="N39" s="4"/>
      <c r="O39" s="13"/>
      <c r="P39" s="2" t="s">
        <v>41</v>
      </c>
      <c r="Q39" s="1">
        <f>P12+Q23+Q29</f>
        <v>0</v>
      </c>
      <c r="R39" s="1">
        <f>P10+Q21+Q27</f>
        <v>1</v>
      </c>
      <c r="S39" s="1">
        <f>Q10+P21+P27</f>
        <v>11</v>
      </c>
      <c r="T39" s="1">
        <f t="shared" si="2"/>
        <v>-10</v>
      </c>
      <c r="U39" s="4"/>
      <c r="V39" s="13"/>
      <c r="W39" s="2" t="s">
        <v>43</v>
      </c>
      <c r="X39" s="1">
        <f>W12+X23+X29</f>
        <v>0</v>
      </c>
      <c r="Y39" s="1">
        <f>W10+X21+X27</f>
        <v>2</v>
      </c>
      <c r="Z39" s="1">
        <f>X10+W21+W27</f>
        <v>7</v>
      </c>
      <c r="AA39" s="1">
        <f t="shared" si="3"/>
        <v>-5</v>
      </c>
      <c r="AB39" s="4"/>
      <c r="AC39" s="13"/>
      <c r="AD39" s="2" t="s">
        <v>45</v>
      </c>
      <c r="AE39" s="1">
        <f>AD12+AE23+AE29</f>
        <v>5</v>
      </c>
      <c r="AF39" s="1">
        <f>AD10+AE21+AE27</f>
        <v>4</v>
      </c>
      <c r="AG39" s="1">
        <f>AE10+AD21+AD27</f>
        <v>2</v>
      </c>
      <c r="AH39" s="1">
        <f t="shared" si="4"/>
        <v>2</v>
      </c>
      <c r="AI39" s="4"/>
      <c r="AJ39" s="4"/>
      <c r="AK39" s="2" t="s">
        <v>47</v>
      </c>
      <c r="AL39" s="1">
        <f>AK12+AL23+AL29</f>
        <v>5</v>
      </c>
      <c r="AM39" s="1">
        <f>AK10+AL21+AL27</f>
        <v>3</v>
      </c>
      <c r="AN39" s="1">
        <f>AL10+AK21+AK27</f>
        <v>2</v>
      </c>
      <c r="AO39" s="1">
        <f t="shared" si="5"/>
        <v>1</v>
      </c>
      <c r="AP39" s="4"/>
    </row>
    <row r="40" spans="1:42" x14ac:dyDescent="0.45">
      <c r="A40" s="35"/>
      <c r="B40" s="2" t="s">
        <v>38</v>
      </c>
      <c r="C40" s="1">
        <f>C12+B18+B34</f>
        <v>5</v>
      </c>
      <c r="D40" s="1">
        <f>C10+B16+B32</f>
        <v>3</v>
      </c>
      <c r="E40" s="1">
        <f>B10+C16+C32</f>
        <v>2</v>
      </c>
      <c r="F40" s="1">
        <f t="shared" si="0"/>
        <v>1</v>
      </c>
      <c r="G40" s="4"/>
      <c r="H40" s="35"/>
      <c r="I40" s="2" t="s">
        <v>40</v>
      </c>
      <c r="J40" s="1">
        <f>J12+I18+I34</f>
        <v>5</v>
      </c>
      <c r="K40" s="1">
        <f>J10+I16+I32</f>
        <v>5</v>
      </c>
      <c r="L40" s="1">
        <f>I10+J16+J32</f>
        <v>2</v>
      </c>
      <c r="M40" s="1">
        <f t="shared" si="1"/>
        <v>3</v>
      </c>
      <c r="N40" s="4"/>
      <c r="O40" s="13"/>
      <c r="P40" s="2" t="s">
        <v>42</v>
      </c>
      <c r="Q40" s="1">
        <f>Q12+P18+P34</f>
        <v>4</v>
      </c>
      <c r="R40" s="1">
        <f>Q10+P16+P32</f>
        <v>3</v>
      </c>
      <c r="S40" s="1">
        <f>P10+Q16+Q32</f>
        <v>2</v>
      </c>
      <c r="T40" s="1">
        <f t="shared" si="2"/>
        <v>1</v>
      </c>
      <c r="U40" s="4"/>
      <c r="V40" s="13"/>
      <c r="W40" s="2" t="s">
        <v>44</v>
      </c>
      <c r="X40" s="1">
        <f>X12+W18+W34</f>
        <v>7</v>
      </c>
      <c r="Y40" s="1">
        <f>X10+W16+W32</f>
        <v>6</v>
      </c>
      <c r="Z40" s="1">
        <f>W10+X16+X32</f>
        <v>3</v>
      </c>
      <c r="AA40" s="1">
        <f t="shared" si="3"/>
        <v>3</v>
      </c>
      <c r="AB40" s="4"/>
      <c r="AC40" s="13"/>
      <c r="AD40" s="2" t="s">
        <v>46</v>
      </c>
      <c r="AE40" s="1">
        <f>AE12+AD18+AD34</f>
        <v>4</v>
      </c>
      <c r="AF40" s="1">
        <f>AE10+AD16+AD32</f>
        <v>4</v>
      </c>
      <c r="AG40" s="1">
        <f>AD10+AE16+AE32</f>
        <v>3</v>
      </c>
      <c r="AH40" s="1">
        <f t="shared" si="4"/>
        <v>1</v>
      </c>
      <c r="AI40" s="4"/>
      <c r="AJ40" s="4"/>
      <c r="AK40" s="2" t="s">
        <v>48</v>
      </c>
      <c r="AL40" s="1">
        <f>AL12+AK18+AK34</f>
        <v>0</v>
      </c>
      <c r="AM40" s="1">
        <f>AL10+AK16+AK32</f>
        <v>0</v>
      </c>
      <c r="AN40" s="1">
        <f>AK10+AL16+AL32</f>
        <v>5</v>
      </c>
      <c r="AO40" s="1">
        <f t="shared" si="5"/>
        <v>-5</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6</v>
      </c>
      <c r="E43" s="1" cm="1">
        <f t="array" ref="E43:E46">_xlfn.SORTBY(E37:E40,C37:C40,-1,F37:F40,-1,D37:D40,-1)</f>
        <v>3</v>
      </c>
      <c r="F43" s="1" cm="1">
        <f t="array" ref="F43:F46">_xlfn.SORTBY(F37:F40,C37:C40,-1,F37:F40,-1,D37:D40,-1)</f>
        <v>3</v>
      </c>
      <c r="G43" s="4"/>
      <c r="H43" s="33">
        <v>1</v>
      </c>
      <c r="I43" s="2" t="str" cm="1">
        <f t="array" ref="I43:I46">_xlfn.SORTBY(I37:I40,J37:J40,-1,M37:M40,-1,K37:K40,-1)</f>
        <v>Schweiz</v>
      </c>
      <c r="J43" s="1" cm="1">
        <f t="array" ref="J43:J46">_xlfn.SORTBY(J37:J40,J37:J40,-1,M37:M40,-1,K37:K40,-1)</f>
        <v>5</v>
      </c>
      <c r="K43" s="1" cm="1">
        <f t="array" ref="K43:K46">_xlfn.SORTBY(K37:K40,J37:J40,-1,M37:M40,-1,K37:K40,-1)</f>
        <v>5</v>
      </c>
      <c r="L43" s="1" cm="1">
        <f t="array" ref="L43:L46">_xlfn.SORTBY(L37:L40,J37:J40,-1,M37:M40,-1,K37:K40,-1)</f>
        <v>2</v>
      </c>
      <c r="M43" s="1" cm="1">
        <f t="array" ref="M43:M46">_xlfn.SORTBY(M37:M40,J37:J40,-1,M37:M40,-1,K37:K40,-1)</f>
        <v>3</v>
      </c>
      <c r="N43" s="4"/>
      <c r="O43" s="33">
        <v>1</v>
      </c>
      <c r="P43" s="2" t="str" cm="1">
        <f t="array" ref="P43:P46">_xlfn.SORTBY(P37:P40,Q37:Q40,-1,T37:T40,-1,R37:R40,-1)</f>
        <v>Brasilien</v>
      </c>
      <c r="Q43" s="1" cm="1">
        <f t="array" ref="Q43:Q46">_xlfn.SORTBY(Q37:Q40,Q37:Q40,-1,T37:T40,-1,R37:R40,-1)</f>
        <v>7</v>
      </c>
      <c r="R43" s="1" cm="1">
        <f t="array" ref="R43:R46">_xlfn.SORTBY(R37:R40,Q37:Q40,-1,T37:T40,-1,R37:R40,-1)</f>
        <v>8</v>
      </c>
      <c r="S43" s="1" cm="1">
        <f t="array" ref="S43:S46">_xlfn.SORTBY(S37:S40,Q37:Q40,-1,T37:T40,-1,R37:R40,-1)</f>
        <v>2</v>
      </c>
      <c r="T43" s="1" cm="1">
        <f t="array" ref="T43:T46">_xlfn.SORTBY(T37:T40,Q37:Q40,-1,T37:T40,-1,R37:R40,-1)</f>
        <v>6</v>
      </c>
      <c r="U43" s="4"/>
      <c r="V43" s="33">
        <v>1</v>
      </c>
      <c r="W43" s="2" t="str" cm="1">
        <f t="array" ref="W43:W46">_xlfn.SORTBY(W37:W40,X37:X40,-1,AA37:AA40,-1,Y37:Y40,-1)</f>
        <v>Türkei</v>
      </c>
      <c r="X43" s="1" cm="1">
        <f t="array" ref="X43:X46">_xlfn.SORTBY(X37:X40,X37:X40,-1,AA37:AA40,-1,Y37:Y40,-1)</f>
        <v>7</v>
      </c>
      <c r="Y43" s="1" cm="1">
        <f t="array" ref="Y43:Y46">_xlfn.SORTBY(Y37:Y40,X37:X40,-1,AA37:AA40,-1,Y37:Y40,-1)</f>
        <v>6</v>
      </c>
      <c r="Z43" s="1" cm="1">
        <f t="array" ref="Z43:Z46">_xlfn.SORTBY(Z37:Z40,X37:X40,-1,AA37:AA40,-1,Y37:Y40,-1)</f>
        <v>3</v>
      </c>
      <c r="AA43" s="1" cm="1">
        <f t="array" ref="AA43:AA46">_xlfn.SORTBY(AA37:AA40,X37:X40,-1,AA37:AA40,-1,Y37:Y40,-1)</f>
        <v>3</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7</v>
      </c>
      <c r="AG43" s="1" cm="1">
        <f t="array" ref="AG43:AG46">_xlfn.SORTBY(AG37:AG40,AE37:AE40,-1,AH37:AH40,-1,AF37:AF40,-1)</f>
        <v>2</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5</v>
      </c>
      <c r="AM43" s="1" cm="1">
        <f t="array" ref="AM43:AM46">_xlfn.SORTBY(AM37:AM40,AL37:AL40,-1,AO37:AO40,-1,AM37:AM40,-1)</f>
        <v>4</v>
      </c>
      <c r="AN43" s="1" cm="1">
        <f t="array" ref="AN43:AN46">_xlfn.SORTBY(AN37:AN40,AL37:AL40,-1,AO37:AO40,-1,AM37:AM40,-1)</f>
        <v>2</v>
      </c>
      <c r="AO43" s="1" cm="1">
        <f t="array" ref="AO43:AO46">_xlfn.SORTBY(AO37:AO40,AL37:AL40,-1,AO37:AO40,-1,AM37:AM40,-1)</f>
        <v>2</v>
      </c>
      <c r="AP43" s="4"/>
    </row>
    <row r="44" spans="1:42" x14ac:dyDescent="0.45">
      <c r="A44" s="33">
        <v>2</v>
      </c>
      <c r="B44" s="2" t="str">
        <v>Tschechien</v>
      </c>
      <c r="C44" s="1">
        <v>5</v>
      </c>
      <c r="D44" s="1">
        <v>3</v>
      </c>
      <c r="E44" s="1">
        <v>2</v>
      </c>
      <c r="F44" s="1">
        <v>1</v>
      </c>
      <c r="G44" s="4"/>
      <c r="H44" s="33">
        <v>2</v>
      </c>
      <c r="I44" s="2" t="str">
        <v>Kanada</v>
      </c>
      <c r="J44" s="1">
        <v>5</v>
      </c>
      <c r="K44" s="1">
        <v>4</v>
      </c>
      <c r="L44" s="1">
        <v>3</v>
      </c>
      <c r="M44" s="1">
        <v>1</v>
      </c>
      <c r="N44" s="4"/>
      <c r="O44" s="33">
        <v>2</v>
      </c>
      <c r="P44" s="2" t="str">
        <v>Marokko</v>
      </c>
      <c r="Q44" s="1">
        <v>5</v>
      </c>
      <c r="R44" s="1">
        <v>5</v>
      </c>
      <c r="S44" s="1">
        <v>2</v>
      </c>
      <c r="T44" s="1">
        <v>3</v>
      </c>
      <c r="U44" s="4"/>
      <c r="V44" s="33">
        <v>2</v>
      </c>
      <c r="W44" s="2" t="str">
        <v>USA</v>
      </c>
      <c r="X44" s="1">
        <v>5</v>
      </c>
      <c r="Y44" s="1">
        <v>6</v>
      </c>
      <c r="Z44" s="1">
        <v>4</v>
      </c>
      <c r="AA44" s="1">
        <v>2</v>
      </c>
      <c r="AB44" s="4"/>
      <c r="AC44" s="33">
        <v>2</v>
      </c>
      <c r="AD44" s="2" t="str">
        <v>Elfenbeinküste</v>
      </c>
      <c r="AE44" s="1">
        <v>5</v>
      </c>
      <c r="AF44" s="1">
        <v>4</v>
      </c>
      <c r="AG44" s="1">
        <v>2</v>
      </c>
      <c r="AH44" s="1">
        <v>2</v>
      </c>
      <c r="AI44" s="4"/>
      <c r="AJ44" s="33">
        <v>2</v>
      </c>
      <c r="AK44" s="2" t="str">
        <v>Japan</v>
      </c>
      <c r="AL44" s="1">
        <v>5</v>
      </c>
      <c r="AM44" s="1">
        <v>4</v>
      </c>
      <c r="AN44" s="1">
        <v>2</v>
      </c>
      <c r="AO44" s="1">
        <v>2</v>
      </c>
      <c r="AP44" s="4"/>
    </row>
    <row r="45" spans="1:42" x14ac:dyDescent="0.45">
      <c r="A45" s="34">
        <v>3</v>
      </c>
      <c r="B45" s="2" t="str">
        <v>Südafrika</v>
      </c>
      <c r="C45" s="1">
        <v>3</v>
      </c>
      <c r="D45" s="1">
        <v>1</v>
      </c>
      <c r="E45" s="1">
        <v>3</v>
      </c>
      <c r="F45" s="1">
        <v>-2</v>
      </c>
      <c r="G45" s="4"/>
      <c r="H45" s="34">
        <v>3</v>
      </c>
      <c r="I45" s="2" t="str">
        <v>Bosnien-Herz.</v>
      </c>
      <c r="J45" s="1">
        <v>5</v>
      </c>
      <c r="K45" s="1">
        <v>4</v>
      </c>
      <c r="L45" s="1">
        <v>3</v>
      </c>
      <c r="M45" s="1">
        <v>1</v>
      </c>
      <c r="N45" s="4"/>
      <c r="O45" s="34">
        <v>3</v>
      </c>
      <c r="P45" s="2" t="str">
        <v>Schottland</v>
      </c>
      <c r="Q45" s="1">
        <v>4</v>
      </c>
      <c r="R45" s="1">
        <v>3</v>
      </c>
      <c r="S45" s="1">
        <v>2</v>
      </c>
      <c r="T45" s="1">
        <v>1</v>
      </c>
      <c r="U45" s="4"/>
      <c r="V45" s="34">
        <v>3</v>
      </c>
      <c r="W45" s="2" t="str">
        <v>Paraguay</v>
      </c>
      <c r="X45" s="1">
        <v>4</v>
      </c>
      <c r="Y45" s="1">
        <v>4</v>
      </c>
      <c r="Z45" s="1">
        <v>4</v>
      </c>
      <c r="AA45" s="1">
        <v>0</v>
      </c>
      <c r="AB45" s="4"/>
      <c r="AC45" s="34">
        <v>3</v>
      </c>
      <c r="AD45" s="2" t="str">
        <v>Ecuador</v>
      </c>
      <c r="AE45" s="1">
        <v>4</v>
      </c>
      <c r="AF45" s="1">
        <v>4</v>
      </c>
      <c r="AG45" s="1">
        <v>3</v>
      </c>
      <c r="AH45" s="1">
        <v>1</v>
      </c>
      <c r="AI45" s="4"/>
      <c r="AJ45" s="34">
        <v>3</v>
      </c>
      <c r="AK45" s="2" t="str">
        <v>Schweden</v>
      </c>
      <c r="AL45" s="1">
        <v>5</v>
      </c>
      <c r="AM45" s="1">
        <v>3</v>
      </c>
      <c r="AN45" s="1">
        <v>2</v>
      </c>
      <c r="AO45" s="1">
        <v>1</v>
      </c>
      <c r="AP45" s="4"/>
    </row>
    <row r="46" spans="1:42" x14ac:dyDescent="0.45">
      <c r="A46" s="32">
        <v>4</v>
      </c>
      <c r="B46" s="2" t="str">
        <v>Südkorea</v>
      </c>
      <c r="C46" s="1">
        <v>1</v>
      </c>
      <c r="D46" s="1">
        <v>3</v>
      </c>
      <c r="E46" s="1">
        <v>5</v>
      </c>
      <c r="F46" s="1">
        <v>-2</v>
      </c>
      <c r="G46" s="4"/>
      <c r="H46" s="32">
        <v>4</v>
      </c>
      <c r="I46" s="2" t="str">
        <v>Katar</v>
      </c>
      <c r="J46" s="1">
        <v>0</v>
      </c>
      <c r="K46" s="1">
        <v>2</v>
      </c>
      <c r="L46" s="1">
        <v>7</v>
      </c>
      <c r="M46" s="1">
        <v>-5</v>
      </c>
      <c r="N46" s="4"/>
      <c r="O46" s="32">
        <v>4</v>
      </c>
      <c r="P46" s="2" t="str">
        <v>Haiti</v>
      </c>
      <c r="Q46" s="1">
        <v>0</v>
      </c>
      <c r="R46" s="1">
        <v>1</v>
      </c>
      <c r="S46" s="1">
        <v>11</v>
      </c>
      <c r="T46" s="1">
        <v>-10</v>
      </c>
      <c r="U46" s="4"/>
      <c r="V46" s="32">
        <v>4</v>
      </c>
      <c r="W46" s="2" t="str">
        <v>Australien</v>
      </c>
      <c r="X46" s="1">
        <v>0</v>
      </c>
      <c r="Y46" s="1">
        <v>2</v>
      </c>
      <c r="Z46" s="1">
        <v>7</v>
      </c>
      <c r="AA46" s="1">
        <v>-5</v>
      </c>
      <c r="AB46" s="4"/>
      <c r="AC46" s="32">
        <v>4</v>
      </c>
      <c r="AD46" s="2" t="str">
        <v>Curacao</v>
      </c>
      <c r="AE46" s="1">
        <v>0</v>
      </c>
      <c r="AF46" s="1">
        <v>0</v>
      </c>
      <c r="AG46" s="1">
        <v>8</v>
      </c>
      <c r="AH46" s="1">
        <v>-8</v>
      </c>
      <c r="AI46" s="4"/>
      <c r="AJ46" s="32">
        <v>4</v>
      </c>
      <c r="AK46" s="2" t="str">
        <v>Tunesien</v>
      </c>
      <c r="AL46" s="1">
        <v>0</v>
      </c>
      <c r="AM46" s="1">
        <v>0</v>
      </c>
      <c r="AN46" s="1">
        <v>5</v>
      </c>
      <c r="AO46" s="1">
        <v>-5</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1</v>
      </c>
      <c r="C52" s="38">
        <v>2</v>
      </c>
      <c r="D52" s="4"/>
      <c r="E52" s="4"/>
      <c r="F52" s="4"/>
      <c r="G52" s="4"/>
      <c r="H52" s="4"/>
      <c r="I52" s="38">
        <v>7</v>
      </c>
      <c r="J52" s="38">
        <v>1</v>
      </c>
      <c r="K52" s="4"/>
      <c r="L52" s="4"/>
      <c r="M52" s="4"/>
      <c r="N52" s="4"/>
      <c r="O52" s="4"/>
      <c r="P52" s="38">
        <v>2</v>
      </c>
      <c r="Q52" s="38">
        <v>1</v>
      </c>
      <c r="R52" s="4"/>
      <c r="S52" s="4"/>
      <c r="T52" s="4"/>
      <c r="U52" s="4"/>
      <c r="V52" s="4"/>
      <c r="W52" s="38">
        <v>0</v>
      </c>
      <c r="X52" s="38">
        <v>0</v>
      </c>
      <c r="Y52" s="4"/>
      <c r="Z52" s="4"/>
      <c r="AA52" s="4"/>
      <c r="AB52" s="4"/>
      <c r="AC52" s="4"/>
      <c r="AD52" s="38">
        <v>4</v>
      </c>
      <c r="AE52" s="38">
        <v>0</v>
      </c>
      <c r="AF52" s="4"/>
      <c r="AG52" s="4"/>
      <c r="AH52" s="4"/>
      <c r="AI52" s="4"/>
      <c r="AJ52" s="4"/>
      <c r="AK52" s="38">
        <v>2</v>
      </c>
      <c r="AL52" s="38">
        <v>0</v>
      </c>
      <c r="AM52" s="4"/>
      <c r="AN52" s="4"/>
      <c r="AO52" s="4"/>
      <c r="AP52" s="4"/>
    </row>
    <row r="53" spans="1:42" x14ac:dyDescent="0.45">
      <c r="A53" s="4"/>
      <c r="B53" s="80" t="str">
        <f>IF(B52=C52,"Unentschieden",IF(B52&gt;C52,B51,C51))</f>
        <v>Ägypten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Unentschieden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0</v>
      </c>
      <c r="C54" s="1">
        <f>IF(C52=B52,1,IF(C52&gt;B52,3,0))</f>
        <v>3</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1</v>
      </c>
      <c r="X54" s="1">
        <f>IF(X52=W52,1,IF(X52&gt;W52,3,0))</f>
        <v>1</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0</v>
      </c>
      <c r="J57" s="38">
        <v>3</v>
      </c>
      <c r="K57" s="4"/>
      <c r="L57" s="4"/>
      <c r="M57" s="4"/>
      <c r="N57" s="4"/>
      <c r="O57" s="4"/>
      <c r="P57" s="38">
        <v>1</v>
      </c>
      <c r="Q57" s="38">
        <v>3</v>
      </c>
      <c r="R57" s="4"/>
      <c r="S57" s="4"/>
      <c r="T57" s="4"/>
      <c r="U57" s="4"/>
      <c r="V57" s="4"/>
      <c r="W57" s="38">
        <v>2</v>
      </c>
      <c r="X57" s="38">
        <v>0</v>
      </c>
      <c r="Y57" s="4"/>
      <c r="Z57" s="4"/>
      <c r="AA57" s="4"/>
      <c r="AB57" s="4"/>
      <c r="AC57" s="4"/>
      <c r="AD57" s="38">
        <v>1</v>
      </c>
      <c r="AE57" s="38">
        <v>2</v>
      </c>
      <c r="AF57" s="4"/>
      <c r="AG57" s="4"/>
      <c r="AH57" s="4"/>
      <c r="AI57" s="4"/>
      <c r="AJ57" s="4"/>
      <c r="AK57" s="38">
        <v>2</v>
      </c>
      <c r="AL57" s="38">
        <v>1</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4</v>
      </c>
      <c r="J63" s="38">
        <v>0</v>
      </c>
      <c r="K63" s="4"/>
      <c r="L63" s="4"/>
      <c r="M63" s="4"/>
      <c r="N63" s="4"/>
      <c r="O63" s="4"/>
      <c r="P63" s="38">
        <v>3</v>
      </c>
      <c r="Q63" s="38">
        <v>0</v>
      </c>
      <c r="R63" s="4"/>
      <c r="S63" s="4"/>
      <c r="T63" s="4"/>
      <c r="U63" s="4"/>
      <c r="V63" s="4"/>
      <c r="W63" s="38">
        <v>3</v>
      </c>
      <c r="X63" s="38">
        <v>0</v>
      </c>
      <c r="Y63" s="4"/>
      <c r="Z63" s="4"/>
      <c r="AA63" s="4"/>
      <c r="AB63" s="4"/>
      <c r="AC63" s="4"/>
      <c r="AD63" s="38">
        <v>2</v>
      </c>
      <c r="AE63" s="38">
        <v>0</v>
      </c>
      <c r="AF63" s="4"/>
      <c r="AG63" s="4"/>
      <c r="AH63" s="4"/>
      <c r="AI63" s="4"/>
      <c r="AJ63" s="4"/>
      <c r="AK63" s="38">
        <v>2</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2</v>
      </c>
      <c r="D68" s="4"/>
      <c r="E68" s="4"/>
      <c r="F68" s="4"/>
      <c r="G68" s="4"/>
      <c r="H68" s="4"/>
      <c r="I68" s="38">
        <v>2</v>
      </c>
      <c r="J68" s="38">
        <v>0</v>
      </c>
      <c r="K68" s="4"/>
      <c r="L68" s="4"/>
      <c r="M68" s="4"/>
      <c r="N68" s="4"/>
      <c r="O68" s="4"/>
      <c r="P68" s="38">
        <v>1</v>
      </c>
      <c r="Q68" s="38">
        <v>1</v>
      </c>
      <c r="R68" s="4"/>
      <c r="S68" s="4"/>
      <c r="T68" s="4"/>
      <c r="U68" s="4"/>
      <c r="V68" s="4"/>
      <c r="W68" s="38">
        <v>0</v>
      </c>
      <c r="X68" s="38">
        <v>1</v>
      </c>
      <c r="Y68" s="4"/>
      <c r="Z68" s="4"/>
      <c r="AA68" s="4"/>
      <c r="AB68" s="4"/>
      <c r="AC68" s="4"/>
      <c r="AD68" s="38">
        <v>2</v>
      </c>
      <c r="AE68" s="38">
        <v>1</v>
      </c>
      <c r="AF68" s="4"/>
      <c r="AG68" s="4"/>
      <c r="AH68" s="4"/>
      <c r="AI68" s="4"/>
      <c r="AJ68" s="4"/>
      <c r="AK68" s="38">
        <v>0</v>
      </c>
      <c r="AL68" s="38">
        <v>1</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4</v>
      </c>
      <c r="D74" s="4"/>
      <c r="E74" s="4"/>
      <c r="F74" s="4"/>
      <c r="G74" s="4"/>
      <c r="H74" s="4"/>
      <c r="I74" s="38">
        <v>1</v>
      </c>
      <c r="J74" s="38">
        <v>1</v>
      </c>
      <c r="K74" s="4"/>
      <c r="L74" s="4"/>
      <c r="M74" s="4"/>
      <c r="N74" s="4"/>
      <c r="O74" s="4"/>
      <c r="P74" s="38">
        <v>2</v>
      </c>
      <c r="Q74" s="38">
        <v>2</v>
      </c>
      <c r="R74" s="4"/>
      <c r="S74" s="4"/>
      <c r="T74" s="4"/>
      <c r="U74" s="4"/>
      <c r="V74" s="4"/>
      <c r="W74" s="38">
        <v>0</v>
      </c>
      <c r="X74" s="38">
        <v>4</v>
      </c>
      <c r="Y74" s="4"/>
      <c r="Z74" s="4"/>
      <c r="AA74" s="4"/>
      <c r="AB74" s="4"/>
      <c r="AC74" s="4"/>
      <c r="AD74" s="38">
        <v>1</v>
      </c>
      <c r="AE74" s="38">
        <v>2</v>
      </c>
      <c r="AF74" s="4"/>
      <c r="AG74" s="4"/>
      <c r="AH74" s="4"/>
      <c r="AI74" s="4"/>
      <c r="AJ74" s="4"/>
      <c r="AK74" s="38">
        <v>0</v>
      </c>
      <c r="AL74" s="38">
        <v>4</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Unentschieden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1</v>
      </c>
      <c r="J76" s="1">
        <f>IF(J74=I74,1,IF(J74&gt;I74,3,0))</f>
        <v>1</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0</v>
      </c>
      <c r="D79" s="4"/>
      <c r="E79" s="4"/>
      <c r="F79" s="4"/>
      <c r="G79" s="4"/>
      <c r="H79" s="4"/>
      <c r="I79" s="38">
        <v>2</v>
      </c>
      <c r="J79" s="38">
        <v>1</v>
      </c>
      <c r="K79" s="4"/>
      <c r="L79" s="4"/>
      <c r="M79" s="4"/>
      <c r="N79" s="4"/>
      <c r="O79" s="4"/>
      <c r="P79" s="38">
        <v>1</v>
      </c>
      <c r="Q79" s="38">
        <v>0</v>
      </c>
      <c r="R79" s="4"/>
      <c r="S79" s="4"/>
      <c r="T79" s="4"/>
      <c r="U79" s="4"/>
      <c r="V79" s="4"/>
      <c r="W79" s="38">
        <v>1</v>
      </c>
      <c r="X79" s="38">
        <v>1</v>
      </c>
      <c r="Y79" s="4"/>
      <c r="Z79" s="4"/>
      <c r="AA79" s="4"/>
      <c r="AB79" s="4"/>
      <c r="AC79" s="4"/>
      <c r="AD79" s="38">
        <v>1</v>
      </c>
      <c r="AE79" s="38">
        <v>1</v>
      </c>
      <c r="AF79" s="4"/>
      <c r="AG79" s="4"/>
      <c r="AH79" s="4"/>
      <c r="AI79" s="4"/>
      <c r="AJ79" s="4"/>
      <c r="AK79" s="38">
        <v>1</v>
      </c>
      <c r="AL79" s="38">
        <v>1</v>
      </c>
      <c r="AM79" s="4"/>
      <c r="AN79" s="4"/>
      <c r="AO79" s="4"/>
      <c r="AP79" s="4"/>
    </row>
    <row r="80" spans="1:42" ht="17.399999999999999" customHeight="1" x14ac:dyDescent="0.45">
      <c r="A80" s="4"/>
      <c r="B80" s="80" t="str">
        <f>IF(B79=C79,"Unentschieden",IF(B79&gt;C79,B78,C78))</f>
        <v>Unentschieden</v>
      </c>
      <c r="C80" s="80"/>
      <c r="D80" s="4"/>
      <c r="E80" s="4"/>
      <c r="F80" s="4"/>
      <c r="G80" s="4"/>
      <c r="H80" s="4"/>
      <c r="I80" s="80" t="str">
        <f>IF(I79=J79,"Unentschieden",IF(I79&gt;J79,I78,J78))</f>
        <v>Kap Verde</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Unentschieden</v>
      </c>
      <c r="AE80" s="80"/>
      <c r="AF80" s="4"/>
      <c r="AG80" s="4"/>
      <c r="AH80" s="4"/>
      <c r="AI80" s="4"/>
      <c r="AJ80" s="4"/>
      <c r="AK80" s="80" t="str">
        <f>IF(AK79=AL79,"Unentschieden",IF(AK79&gt;AL79,AK78,AL78))</f>
        <v>Unentschieden</v>
      </c>
      <c r="AL80" s="80"/>
      <c r="AM80" s="4"/>
      <c r="AN80" s="4"/>
      <c r="AO80" s="4"/>
      <c r="AP80" s="4"/>
    </row>
    <row r="81" spans="1:42" ht="17.399999999999999" customHeight="1" x14ac:dyDescent="0.45">
      <c r="A81" s="4"/>
      <c r="B81" s="1">
        <f>IF(B79=C79,1,IF(B79&gt;C79,3,0))</f>
        <v>1</v>
      </c>
      <c r="C81" s="1">
        <f>IF(C79=B79,1,IF(C79&gt;B79,3,0))</f>
        <v>1</v>
      </c>
      <c r="D81" s="4"/>
      <c r="E81" s="4"/>
      <c r="F81" s="4"/>
      <c r="G81" s="4"/>
      <c r="H81" s="4"/>
      <c r="I81" s="1">
        <f>IF(I79=J79,1,IF(I79&gt;J79,3,0))</f>
        <v>3</v>
      </c>
      <c r="J81" s="1">
        <f>IF(J79=I79,1,IF(J79&gt;I79,3,0))</f>
        <v>0</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1</v>
      </c>
      <c r="AL81" s="1">
        <f>IF(AL79=AK79,1,IF(AL79&gt;AK79,3,0))</f>
        <v>1</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6</v>
      </c>
      <c r="D84" s="1">
        <f>B52+B63+C74</f>
        <v>7</v>
      </c>
      <c r="E84" s="1">
        <f>C52+C63+B74</f>
        <v>2</v>
      </c>
      <c r="F84" s="1">
        <f>D84-E84</f>
        <v>5</v>
      </c>
      <c r="G84" s="4"/>
      <c r="H84" s="37"/>
      <c r="I84" s="2" t="s">
        <v>65</v>
      </c>
      <c r="J84" s="1">
        <f>I54+I65+J76</f>
        <v>7</v>
      </c>
      <c r="K84" s="1">
        <f>I52+I63+J74</f>
        <v>12</v>
      </c>
      <c r="L84" s="1">
        <f>J52+J63+I74</f>
        <v>2</v>
      </c>
      <c r="M84" s="1">
        <f>K84-L84</f>
        <v>10</v>
      </c>
      <c r="N84" s="4"/>
      <c r="O84" s="13"/>
      <c r="P84" s="2" t="s">
        <v>67</v>
      </c>
      <c r="Q84" s="1">
        <f>P54+P65+Q76</f>
        <v>7</v>
      </c>
      <c r="R84" s="1">
        <f>P52+P63+Q74</f>
        <v>7</v>
      </c>
      <c r="S84" s="1">
        <f>Q52+Q63+P74</f>
        <v>3</v>
      </c>
      <c r="T84" s="1">
        <f>R84-S84</f>
        <v>4</v>
      </c>
      <c r="U84" s="4"/>
      <c r="V84" s="13"/>
      <c r="W84" s="2" t="s">
        <v>69</v>
      </c>
      <c r="X84" s="1">
        <f>W54+W65+X76</f>
        <v>7</v>
      </c>
      <c r="Y84" s="1">
        <f>W52+W63+X74</f>
        <v>7</v>
      </c>
      <c r="Z84" s="1">
        <f>X52+X63+W74</f>
        <v>0</v>
      </c>
      <c r="AA84" s="1">
        <f>Y84-Z84</f>
        <v>7</v>
      </c>
      <c r="AB84" s="4"/>
      <c r="AC84" s="13"/>
      <c r="AD84" s="2" t="s">
        <v>71</v>
      </c>
      <c r="AE84" s="1">
        <f>AD54+AD65+AE76</f>
        <v>9</v>
      </c>
      <c r="AF84" s="1">
        <f>AD52+AD63+AE74</f>
        <v>8</v>
      </c>
      <c r="AG84" s="1">
        <f>AE52+AE63+AD74</f>
        <v>1</v>
      </c>
      <c r="AH84" s="1">
        <f>AF84-AG84</f>
        <v>7</v>
      </c>
      <c r="AI84" s="4"/>
      <c r="AJ84" s="4"/>
      <c r="AK84" s="2" t="s">
        <v>73</v>
      </c>
      <c r="AL84" s="1">
        <f>AK54+AK65+AL76</f>
        <v>9</v>
      </c>
      <c r="AM84" s="1">
        <f>AK52+AK63+AL74</f>
        <v>8</v>
      </c>
      <c r="AN84" s="1">
        <f>AL52+AL63+AK74</f>
        <v>0</v>
      </c>
      <c r="AO84" s="1">
        <f>AM84-AN84</f>
        <v>8</v>
      </c>
      <c r="AP84" s="4"/>
    </row>
    <row r="85" spans="1:42" ht="17.399999999999999" customHeight="1" x14ac:dyDescent="0.45">
      <c r="A85" s="37"/>
      <c r="B85" s="2" t="s">
        <v>64</v>
      </c>
      <c r="C85" s="1">
        <f>C54+C70+B81</f>
        <v>7</v>
      </c>
      <c r="D85" s="1">
        <f>C52+C68+B79</f>
        <v>4</v>
      </c>
      <c r="E85" s="1">
        <f>B52+B68+C79</f>
        <v>1</v>
      </c>
      <c r="F85" s="1">
        <f t="shared" ref="F85:F87" si="6">D85-E85</f>
        <v>3</v>
      </c>
      <c r="G85" s="4"/>
      <c r="H85" s="37"/>
      <c r="I85" s="2" t="s">
        <v>66</v>
      </c>
      <c r="J85" s="1">
        <f>J54+J70+I81</f>
        <v>3</v>
      </c>
      <c r="K85" s="1">
        <f>J52+J68+I79</f>
        <v>3</v>
      </c>
      <c r="L85" s="1">
        <f>I52+I68+J79</f>
        <v>10</v>
      </c>
      <c r="M85" s="1">
        <f t="shared" ref="M85:M87" si="7">K85-L85</f>
        <v>-7</v>
      </c>
      <c r="N85" s="4"/>
      <c r="O85" s="13"/>
      <c r="P85" s="2" t="s">
        <v>68</v>
      </c>
      <c r="Q85" s="1">
        <f>Q54+Q70+P81</f>
        <v>4</v>
      </c>
      <c r="R85" s="1">
        <f>Q52+Q68+P79</f>
        <v>3</v>
      </c>
      <c r="S85" s="1">
        <f>P52+P68+Q79</f>
        <v>3</v>
      </c>
      <c r="T85" s="1">
        <f t="shared" ref="T85:T87" si="8">R85-S85</f>
        <v>0</v>
      </c>
      <c r="U85" s="4"/>
      <c r="V85" s="13"/>
      <c r="W85" s="2" t="s">
        <v>70</v>
      </c>
      <c r="X85" s="1">
        <f>X54+X70+W81</f>
        <v>5</v>
      </c>
      <c r="Y85" s="1">
        <f>X52+X68+W79</f>
        <v>2</v>
      </c>
      <c r="Z85" s="1">
        <f>W52+W68+X79</f>
        <v>1</v>
      </c>
      <c r="AA85" s="1">
        <f t="shared" ref="AA85:AA87" si="9">Y85-Z85</f>
        <v>1</v>
      </c>
      <c r="AB85" s="4"/>
      <c r="AC85" s="13"/>
      <c r="AD85" s="2" t="s">
        <v>72</v>
      </c>
      <c r="AE85" s="1">
        <f>AE54+AE70+AD81</f>
        <v>1</v>
      </c>
      <c r="AF85" s="1">
        <f>AE52+AE68+AD79</f>
        <v>2</v>
      </c>
      <c r="AG85" s="1">
        <f>AD52+AD68+AE79</f>
        <v>7</v>
      </c>
      <c r="AH85" s="1">
        <f t="shared" ref="AH85:AH87" si="10">AF85-AG85</f>
        <v>-5</v>
      </c>
      <c r="AI85" s="4"/>
      <c r="AJ85" s="4"/>
      <c r="AK85" s="2" t="s">
        <v>74</v>
      </c>
      <c r="AL85" s="1">
        <f>AL54+AL70+AK81</f>
        <v>4</v>
      </c>
      <c r="AM85" s="1">
        <f>AL52+AL68+AK79</f>
        <v>2</v>
      </c>
      <c r="AN85" s="1">
        <f>AK52+AK68+AL79</f>
        <v>3</v>
      </c>
      <c r="AO85" s="1">
        <f t="shared" ref="AO85:AO87" si="11">AM85-AN85</f>
        <v>-1</v>
      </c>
      <c r="AP85" s="4"/>
    </row>
    <row r="86" spans="1:42" ht="17.399999999999999" customHeight="1" x14ac:dyDescent="0.45">
      <c r="A86" s="36"/>
      <c r="B86" s="2" t="s">
        <v>75</v>
      </c>
      <c r="C86" s="1">
        <f>B59+C65+C81</f>
        <v>4</v>
      </c>
      <c r="D86" s="1">
        <f>B57+C63+C79</f>
        <v>1</v>
      </c>
      <c r="E86" s="1">
        <f>C57+B63+B79</f>
        <v>2</v>
      </c>
      <c r="F86" s="1">
        <f t="shared" si="6"/>
        <v>-1</v>
      </c>
      <c r="G86" s="4"/>
      <c r="H86" s="36"/>
      <c r="I86" s="2" t="s">
        <v>77</v>
      </c>
      <c r="J86" s="1">
        <f>I59+J65+J81</f>
        <v>0</v>
      </c>
      <c r="K86" s="1">
        <f>I57+J63+J79</f>
        <v>1</v>
      </c>
      <c r="L86" s="1">
        <f>J57+I63+I79</f>
        <v>9</v>
      </c>
      <c r="M86" s="1">
        <f t="shared" si="7"/>
        <v>-8</v>
      </c>
      <c r="N86" s="4"/>
      <c r="O86" s="13"/>
      <c r="P86" s="2" t="s">
        <v>79</v>
      </c>
      <c r="Q86" s="1">
        <f>P59+Q65+Q81</f>
        <v>0</v>
      </c>
      <c r="R86" s="1">
        <f>P57+Q63+Q79</f>
        <v>1</v>
      </c>
      <c r="S86" s="1">
        <f>Q57+P63+P79</f>
        <v>7</v>
      </c>
      <c r="T86" s="1">
        <f t="shared" si="8"/>
        <v>-6</v>
      </c>
      <c r="U86" s="4"/>
      <c r="V86" s="13"/>
      <c r="W86" s="2" t="s">
        <v>81</v>
      </c>
      <c r="X86" s="1">
        <f>W59+X65+X81</f>
        <v>4</v>
      </c>
      <c r="Y86" s="1">
        <f>W57+X63+X79</f>
        <v>3</v>
      </c>
      <c r="Z86" s="1">
        <f>X57+W63+W79</f>
        <v>4</v>
      </c>
      <c r="AA86" s="1">
        <f t="shared" si="9"/>
        <v>-1</v>
      </c>
      <c r="AB86" s="4"/>
      <c r="AC86" s="13"/>
      <c r="AD86" s="2" t="s">
        <v>83</v>
      </c>
      <c r="AE86" s="1">
        <f>AD59+AE65+AE81</f>
        <v>1</v>
      </c>
      <c r="AF86" s="1">
        <f>AD57+AE63+AE79</f>
        <v>2</v>
      </c>
      <c r="AG86" s="1">
        <f>AE57+AD63+AD79</f>
        <v>5</v>
      </c>
      <c r="AH86" s="1">
        <f t="shared" si="10"/>
        <v>-3</v>
      </c>
      <c r="AI86" s="4"/>
      <c r="AJ86" s="4"/>
      <c r="AK86" s="2" t="s">
        <v>85</v>
      </c>
      <c r="AL86" s="1">
        <f>AK59+AL65+AL81</f>
        <v>4</v>
      </c>
      <c r="AM86" s="1">
        <f>AK57+AL63+AL79</f>
        <v>3</v>
      </c>
      <c r="AN86" s="1">
        <f>AL57+AK63+AK79</f>
        <v>4</v>
      </c>
      <c r="AO86" s="1">
        <f t="shared" si="11"/>
        <v>-1</v>
      </c>
      <c r="AP86" s="4"/>
    </row>
    <row r="87" spans="1:42" x14ac:dyDescent="0.45">
      <c r="A87" s="35"/>
      <c r="B87" s="2" t="s">
        <v>76</v>
      </c>
      <c r="C87" s="1">
        <f>C59+B70+B76</f>
        <v>0</v>
      </c>
      <c r="D87" s="1">
        <f>C57+B68+B74</f>
        <v>0</v>
      </c>
      <c r="E87" s="1">
        <f>B57+C68+C74</f>
        <v>7</v>
      </c>
      <c r="F87" s="1">
        <f t="shared" si="6"/>
        <v>-7</v>
      </c>
      <c r="G87" s="4"/>
      <c r="H87" s="35"/>
      <c r="I87" s="2" t="s">
        <v>78</v>
      </c>
      <c r="J87" s="1">
        <f>J59+I70+I76</f>
        <v>7</v>
      </c>
      <c r="K87" s="1">
        <f>J57+I68+I74</f>
        <v>6</v>
      </c>
      <c r="L87" s="1">
        <f>I57+J68+J74</f>
        <v>1</v>
      </c>
      <c r="M87" s="1">
        <f t="shared" si="7"/>
        <v>5</v>
      </c>
      <c r="N87" s="4"/>
      <c r="O87" s="13"/>
      <c r="P87" s="2" t="s">
        <v>80</v>
      </c>
      <c r="Q87" s="1">
        <f>Q59+P70+P76</f>
        <v>5</v>
      </c>
      <c r="R87" s="1">
        <f>Q57+P68+P74</f>
        <v>6</v>
      </c>
      <c r="S87" s="1">
        <f>P57+Q68+Q74</f>
        <v>4</v>
      </c>
      <c r="T87" s="1">
        <f t="shared" si="8"/>
        <v>2</v>
      </c>
      <c r="U87" s="4"/>
      <c r="V87" s="13"/>
      <c r="W87" s="2" t="s">
        <v>82</v>
      </c>
      <c r="X87" s="1">
        <f>X59+W70+W76</f>
        <v>0</v>
      </c>
      <c r="Y87" s="1">
        <f>X57+W68+W74</f>
        <v>0</v>
      </c>
      <c r="Z87" s="1">
        <f>W57+X68+X74</f>
        <v>7</v>
      </c>
      <c r="AA87" s="1">
        <f t="shared" si="9"/>
        <v>-7</v>
      </c>
      <c r="AB87" s="4"/>
      <c r="AC87" s="13"/>
      <c r="AD87" s="2" t="s">
        <v>84</v>
      </c>
      <c r="AE87" s="1">
        <f>AE59+AD70+AD76</f>
        <v>6</v>
      </c>
      <c r="AF87" s="1">
        <f>AE57+AD68+AD74</f>
        <v>5</v>
      </c>
      <c r="AG87" s="1">
        <f>AD57+AE68+AE74</f>
        <v>4</v>
      </c>
      <c r="AH87" s="1">
        <f t="shared" si="10"/>
        <v>1</v>
      </c>
      <c r="AI87" s="4"/>
      <c r="AJ87" s="4"/>
      <c r="AK87" s="2" t="s">
        <v>86</v>
      </c>
      <c r="AL87" s="1">
        <f>AL59+AK70+AK76</f>
        <v>0</v>
      </c>
      <c r="AM87" s="1">
        <f>AL57+AK68+AK74</f>
        <v>1</v>
      </c>
      <c r="AN87" s="1">
        <f>AK57+AL68+AL74</f>
        <v>7</v>
      </c>
      <c r="AO87" s="1">
        <f t="shared" si="11"/>
        <v>-6</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Ägypten</v>
      </c>
      <c r="C90" s="1" cm="1">
        <f t="array" ref="C90:C93">_xlfn.SORTBY(C84:C87,C84:C87,-1,F84:F87,-1,D84:D87,-1)</f>
        <v>7</v>
      </c>
      <c r="D90" s="1" cm="1">
        <f t="array" ref="D90:D93">_xlfn.SORTBY(D84:D87,C84:C87,-1,F84:F87,-1,D84:D87,-1)</f>
        <v>4</v>
      </c>
      <c r="E90" s="1" cm="1">
        <f t="array" ref="E90:E93">_xlfn.SORTBY(E84:E87,C84:C87,-1,F84:F87,-1,D84:D87,-1)</f>
        <v>1</v>
      </c>
      <c r="F90" s="1" cm="1">
        <f t="array" ref="F90:F93">_xlfn.SORTBY(F84:F87,C84:C87,-1,F84:F87,-1,D84:D87,-1)</f>
        <v>3</v>
      </c>
      <c r="G90" s="4"/>
      <c r="H90" s="33">
        <v>1</v>
      </c>
      <c r="I90" s="2" t="str" cm="1">
        <f t="array" ref="I90:I93">_xlfn.SORTBY(I84:I87,J84:J87,-1,M84:M87,-1,K84:K87,-1)</f>
        <v>Spanien</v>
      </c>
      <c r="J90" s="1" cm="1">
        <f t="array" ref="J90:J93">_xlfn.SORTBY(J84:J87,J84:J87,-1,M84:M87,-1,K84:K87,-1)</f>
        <v>7</v>
      </c>
      <c r="K90" s="1" cm="1">
        <f t="array" ref="K90:K93">_xlfn.SORTBY(K84:K87,J84:J87,-1,M84:M87,-1,K84:K87,-1)</f>
        <v>12</v>
      </c>
      <c r="L90" s="1" cm="1">
        <f t="array" ref="L90:L93">_xlfn.SORTBY(L84:L87,J84:J87,-1,M84:M87,-1,K84:K87,-1)</f>
        <v>2</v>
      </c>
      <c r="M90" s="1" cm="1">
        <f t="array" ref="M90:M93">_xlfn.SORTBY(M84:M87,J84:J87,-1,M84:M87,-1,K84:K87,-1)</f>
        <v>10</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3</v>
      </c>
      <c r="T90" s="1" cm="1">
        <f t="array" ref="T90:T93">_xlfn.SORTBY(T84:T87,Q84:Q87,-1,T84:T87,-1,R84:R87,-1)</f>
        <v>4</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7</v>
      </c>
      <c r="Z90" s="1" cm="1">
        <f t="array" ref="Z90:Z93">_xlfn.SORTBY(Z84:Z87,X84:X87,-1,AA84:AA87,-1,Y84:Y87,-1)</f>
        <v>0</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8</v>
      </c>
      <c r="AG90" s="1" cm="1">
        <f t="array" ref="AG90:AG93">_xlfn.SORTBY(AG84:AG87,AE84:AE87,-1,AH84:AH87,-1,AF84:AF87,-1)</f>
        <v>1</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8</v>
      </c>
      <c r="AN90" s="1" cm="1">
        <f t="array" ref="AN90:AN93">_xlfn.SORTBY(AN84:AN87,AL84:AL87,-1,AO84:AO87,-1,AM84:AM87,-1)</f>
        <v>0</v>
      </c>
      <c r="AO90" s="1" cm="1">
        <f t="array" ref="AO90:AO93">_xlfn.SORTBY(AO84:AO87,AL84:AL87,-1,AO84:AO87,-1,AM84:AM87,-1)</f>
        <v>8</v>
      </c>
      <c r="AP90" s="4"/>
    </row>
    <row r="91" spans="1:42" x14ac:dyDescent="0.45">
      <c r="A91" s="33">
        <v>2</v>
      </c>
      <c r="B91" s="2" t="str">
        <v>Belgien</v>
      </c>
      <c r="C91" s="1">
        <v>6</v>
      </c>
      <c r="D91" s="1">
        <v>7</v>
      </c>
      <c r="E91" s="1">
        <v>2</v>
      </c>
      <c r="F91" s="1">
        <v>5</v>
      </c>
      <c r="G91" s="4"/>
      <c r="H91" s="33">
        <v>2</v>
      </c>
      <c r="I91" s="2" t="str">
        <v>Uruguay</v>
      </c>
      <c r="J91" s="1">
        <v>7</v>
      </c>
      <c r="K91" s="1">
        <v>6</v>
      </c>
      <c r="L91" s="1">
        <v>1</v>
      </c>
      <c r="M91" s="1">
        <v>5</v>
      </c>
      <c r="N91" s="4"/>
      <c r="O91" s="33">
        <v>2</v>
      </c>
      <c r="P91" s="2" t="str">
        <v>Norwegen</v>
      </c>
      <c r="Q91" s="1">
        <v>5</v>
      </c>
      <c r="R91" s="1">
        <v>6</v>
      </c>
      <c r="S91" s="1">
        <v>4</v>
      </c>
      <c r="T91" s="1">
        <v>2</v>
      </c>
      <c r="U91" s="4"/>
      <c r="V91" s="33">
        <v>2</v>
      </c>
      <c r="W91" s="2" t="str">
        <v>Algerien</v>
      </c>
      <c r="X91" s="1">
        <v>5</v>
      </c>
      <c r="Y91" s="1">
        <v>2</v>
      </c>
      <c r="Z91" s="1">
        <v>1</v>
      </c>
      <c r="AA91" s="1">
        <v>1</v>
      </c>
      <c r="AB91" s="4"/>
      <c r="AC91" s="33">
        <v>2</v>
      </c>
      <c r="AD91" s="2" t="str">
        <v>Kolumbien</v>
      </c>
      <c r="AE91" s="1">
        <v>6</v>
      </c>
      <c r="AF91" s="1">
        <v>5</v>
      </c>
      <c r="AG91" s="1">
        <v>4</v>
      </c>
      <c r="AH91" s="1">
        <v>1</v>
      </c>
      <c r="AI91" s="4"/>
      <c r="AJ91" s="33">
        <v>2</v>
      </c>
      <c r="AK91" s="2" t="str">
        <v>Ghana</v>
      </c>
      <c r="AL91" s="1">
        <v>4</v>
      </c>
      <c r="AM91" s="1">
        <v>3</v>
      </c>
      <c r="AN91" s="1">
        <v>4</v>
      </c>
      <c r="AO91" s="1">
        <v>-1</v>
      </c>
      <c r="AP91" s="4"/>
    </row>
    <row r="92" spans="1:42" x14ac:dyDescent="0.45">
      <c r="A92" s="34">
        <v>3</v>
      </c>
      <c r="B92" s="2" t="str">
        <v>Iran</v>
      </c>
      <c r="C92" s="1">
        <v>4</v>
      </c>
      <c r="D92" s="1">
        <v>1</v>
      </c>
      <c r="E92" s="1">
        <v>2</v>
      </c>
      <c r="F92" s="1">
        <v>-1</v>
      </c>
      <c r="G92" s="4"/>
      <c r="H92" s="34">
        <v>3</v>
      </c>
      <c r="I92" s="2" t="str">
        <v>Kap Verde</v>
      </c>
      <c r="J92" s="1">
        <v>3</v>
      </c>
      <c r="K92" s="1">
        <v>3</v>
      </c>
      <c r="L92" s="1">
        <v>10</v>
      </c>
      <c r="M92" s="1">
        <v>-7</v>
      </c>
      <c r="N92" s="4"/>
      <c r="O92" s="34">
        <v>3</v>
      </c>
      <c r="P92" s="2" t="str">
        <v>Senegal</v>
      </c>
      <c r="Q92" s="1">
        <v>4</v>
      </c>
      <c r="R92" s="1">
        <v>3</v>
      </c>
      <c r="S92" s="1">
        <v>3</v>
      </c>
      <c r="T92" s="1">
        <v>0</v>
      </c>
      <c r="U92" s="4"/>
      <c r="V92" s="34">
        <v>3</v>
      </c>
      <c r="W92" s="2" t="str">
        <v>Österreich</v>
      </c>
      <c r="X92" s="1">
        <v>4</v>
      </c>
      <c r="Y92" s="1">
        <v>3</v>
      </c>
      <c r="Z92" s="1">
        <v>4</v>
      </c>
      <c r="AA92" s="1">
        <v>-1</v>
      </c>
      <c r="AB92" s="4"/>
      <c r="AC92" s="34">
        <v>3</v>
      </c>
      <c r="AD92" s="2" t="str">
        <v>Usbekistan</v>
      </c>
      <c r="AE92" s="1">
        <v>1</v>
      </c>
      <c r="AF92" s="1">
        <v>2</v>
      </c>
      <c r="AG92" s="1">
        <v>5</v>
      </c>
      <c r="AH92" s="1">
        <v>-3</v>
      </c>
      <c r="AI92" s="4"/>
      <c r="AJ92" s="34">
        <v>3</v>
      </c>
      <c r="AK92" s="2" t="str">
        <v>Kroatien</v>
      </c>
      <c r="AL92" s="1">
        <v>4</v>
      </c>
      <c r="AM92" s="1">
        <v>2</v>
      </c>
      <c r="AN92" s="1">
        <v>3</v>
      </c>
      <c r="AO92" s="1">
        <v>-1</v>
      </c>
      <c r="AP92" s="4"/>
    </row>
    <row r="93" spans="1:42" x14ac:dyDescent="0.45">
      <c r="A93" s="32">
        <v>4</v>
      </c>
      <c r="B93" s="2" t="str">
        <v>Neuseeland</v>
      </c>
      <c r="C93" s="1">
        <v>0</v>
      </c>
      <c r="D93" s="1">
        <v>0</v>
      </c>
      <c r="E93" s="1">
        <v>7</v>
      </c>
      <c r="F93" s="1">
        <v>-7</v>
      </c>
      <c r="G93" s="4"/>
      <c r="H93" s="32">
        <v>4</v>
      </c>
      <c r="I93" s="2" t="str">
        <v>Saudi-Arabien</v>
      </c>
      <c r="J93" s="1">
        <v>0</v>
      </c>
      <c r="K93" s="1">
        <v>1</v>
      </c>
      <c r="L93" s="1">
        <v>9</v>
      </c>
      <c r="M93" s="1">
        <v>-8</v>
      </c>
      <c r="N93" s="4"/>
      <c r="O93" s="32">
        <v>4</v>
      </c>
      <c r="P93" s="2" t="str">
        <v>Irak</v>
      </c>
      <c r="Q93" s="1">
        <v>0</v>
      </c>
      <c r="R93" s="1">
        <v>1</v>
      </c>
      <c r="S93" s="1">
        <v>7</v>
      </c>
      <c r="T93" s="1">
        <v>-6</v>
      </c>
      <c r="U93" s="4"/>
      <c r="V93" s="32">
        <v>4</v>
      </c>
      <c r="W93" s="2" t="str">
        <v>Jordanien</v>
      </c>
      <c r="X93" s="1">
        <v>0</v>
      </c>
      <c r="Y93" s="1">
        <v>0</v>
      </c>
      <c r="Z93" s="1">
        <v>7</v>
      </c>
      <c r="AA93" s="1">
        <v>-7</v>
      </c>
      <c r="AB93" s="4"/>
      <c r="AC93" s="32">
        <v>4</v>
      </c>
      <c r="AD93" s="2" t="str">
        <v>DR Kongo</v>
      </c>
      <c r="AE93" s="1">
        <v>1</v>
      </c>
      <c r="AF93" s="1">
        <v>2</v>
      </c>
      <c r="AG93" s="1">
        <v>7</v>
      </c>
      <c r="AH93" s="1">
        <v>-5</v>
      </c>
      <c r="AI93" s="4"/>
      <c r="AJ93" s="32">
        <v>4</v>
      </c>
      <c r="AK93" s="2" t="str">
        <v>Panama</v>
      </c>
      <c r="AL93" s="1">
        <v>0</v>
      </c>
      <c r="AM93" s="1">
        <v>1</v>
      </c>
      <c r="AN93" s="1">
        <v>7</v>
      </c>
      <c r="AO93" s="1">
        <v>-6</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4</v>
      </c>
      <c r="V98" s="2">
        <f>D92</f>
        <v>1</v>
      </c>
      <c r="W98" s="2">
        <f>E92</f>
        <v>2</v>
      </c>
      <c r="X98" s="2">
        <f>F92</f>
        <v>-1</v>
      </c>
    </row>
    <row r="99" spans="17:24" x14ac:dyDescent="0.45">
      <c r="Q99"/>
      <c r="R99" s="82" t="str">
        <f>I92</f>
        <v>Kap Verde</v>
      </c>
      <c r="S99" s="82"/>
      <c r="T99" s="82"/>
      <c r="U99" s="2">
        <f>J92</f>
        <v>3</v>
      </c>
      <c r="V99" s="2">
        <f>K92</f>
        <v>3</v>
      </c>
      <c r="W99" s="2">
        <f>L92</f>
        <v>10</v>
      </c>
      <c r="X99" s="2">
        <f>M92</f>
        <v>-7</v>
      </c>
    </row>
    <row r="100" spans="17:24" x14ac:dyDescent="0.45">
      <c r="Q100"/>
      <c r="R100" s="82" t="str">
        <f>P92</f>
        <v>Senegal</v>
      </c>
      <c r="S100" s="82"/>
      <c r="T100" s="82"/>
      <c r="U100" s="2">
        <f>Q92</f>
        <v>4</v>
      </c>
      <c r="V100" s="2">
        <f>R92</f>
        <v>3</v>
      </c>
      <c r="W100" s="2">
        <f>S92</f>
        <v>3</v>
      </c>
      <c r="X100" s="2">
        <f>T92</f>
        <v>0</v>
      </c>
    </row>
    <row r="101" spans="17:24" x14ac:dyDescent="0.45">
      <c r="Q101"/>
      <c r="R101" s="82" t="str">
        <f>W92</f>
        <v>Österreich</v>
      </c>
      <c r="S101" s="82"/>
      <c r="T101" s="82"/>
      <c r="U101" s="2">
        <f>X92</f>
        <v>4</v>
      </c>
      <c r="V101" s="2">
        <f>Y92</f>
        <v>3</v>
      </c>
      <c r="W101" s="2">
        <f>Z92</f>
        <v>4</v>
      </c>
      <c r="X101" s="2">
        <f>AA92</f>
        <v>-1</v>
      </c>
    </row>
    <row r="102" spans="17:24" x14ac:dyDescent="0.45">
      <c r="Q102"/>
      <c r="R102" s="82" t="str">
        <f>AD92</f>
        <v>Usbekistan</v>
      </c>
      <c r="S102" s="82"/>
      <c r="T102" s="82"/>
      <c r="U102" s="2">
        <f>AE92</f>
        <v>1</v>
      </c>
      <c r="V102" s="2">
        <f>AF92</f>
        <v>2</v>
      </c>
      <c r="W102" s="2">
        <f>AG92</f>
        <v>5</v>
      </c>
      <c r="X102" s="2">
        <f t="shared" ref="X102" si="12">AH92</f>
        <v>-3</v>
      </c>
    </row>
    <row r="103" spans="17:24" x14ac:dyDescent="0.45">
      <c r="Q103"/>
      <c r="R103" s="82" t="str">
        <f>AK92</f>
        <v>Kroatien</v>
      </c>
      <c r="S103" s="82"/>
      <c r="T103" s="82"/>
      <c r="U103" s="2">
        <f>AL92</f>
        <v>4</v>
      </c>
      <c r="V103" s="2">
        <f t="shared" ref="V103:X103" si="13">AM92</f>
        <v>2</v>
      </c>
      <c r="W103" s="2">
        <f t="shared" si="13"/>
        <v>3</v>
      </c>
      <c r="X103" s="2">
        <f t="shared" si="13"/>
        <v>-1</v>
      </c>
    </row>
    <row r="104" spans="17:24" x14ac:dyDescent="0.45">
      <c r="R104" s="82" t="str">
        <f>B45</f>
        <v>Südafrika</v>
      </c>
      <c r="S104" s="82"/>
      <c r="T104" s="82"/>
      <c r="U104" s="2">
        <f>C45</f>
        <v>3</v>
      </c>
      <c r="V104" s="2">
        <f t="shared" ref="V104:X104" si="14">D45</f>
        <v>1</v>
      </c>
      <c r="W104" s="2">
        <f t="shared" si="14"/>
        <v>3</v>
      </c>
      <c r="X104" s="2">
        <f t="shared" si="14"/>
        <v>-2</v>
      </c>
    </row>
    <row r="105" spans="17:24" x14ac:dyDescent="0.45">
      <c r="R105" s="82" t="str">
        <f>I45</f>
        <v>Bosnien-Herz.</v>
      </c>
      <c r="S105" s="82"/>
      <c r="T105" s="82"/>
      <c r="U105" s="2">
        <f>J45</f>
        <v>5</v>
      </c>
      <c r="V105" s="2">
        <f t="shared" ref="V105:X105" si="15">K45</f>
        <v>4</v>
      </c>
      <c r="W105" s="2">
        <f t="shared" si="15"/>
        <v>3</v>
      </c>
      <c r="X105" s="2">
        <f t="shared" si="15"/>
        <v>1</v>
      </c>
    </row>
    <row r="106" spans="17:24" x14ac:dyDescent="0.45">
      <c r="R106" s="82" t="str">
        <f>P45</f>
        <v>Schottland</v>
      </c>
      <c r="S106" s="82"/>
      <c r="T106" s="82"/>
      <c r="U106" s="2">
        <f>Q45</f>
        <v>4</v>
      </c>
      <c r="V106" s="2">
        <f t="shared" ref="V106:X106" si="16">R45</f>
        <v>3</v>
      </c>
      <c r="W106" s="2">
        <f t="shared" si="16"/>
        <v>2</v>
      </c>
      <c r="X106" s="2">
        <f t="shared" si="16"/>
        <v>1</v>
      </c>
    </row>
    <row r="107" spans="17:24" x14ac:dyDescent="0.45">
      <c r="R107" s="82" t="str">
        <f>W45</f>
        <v>Paraguay</v>
      </c>
      <c r="S107" s="82"/>
      <c r="T107" s="82"/>
      <c r="U107" s="2">
        <f>X45</f>
        <v>4</v>
      </c>
      <c r="V107" s="2">
        <f t="shared" ref="V107:W107" si="17">Y45</f>
        <v>4</v>
      </c>
      <c r="W107" s="2">
        <f t="shared" si="17"/>
        <v>4</v>
      </c>
      <c r="X107" s="2">
        <f>AA45</f>
        <v>0</v>
      </c>
    </row>
    <row r="108" spans="17:24" x14ac:dyDescent="0.45">
      <c r="R108" s="82" t="str">
        <f>AD45</f>
        <v>Ecuador</v>
      </c>
      <c r="S108" s="82"/>
      <c r="T108" s="82"/>
      <c r="U108" s="2">
        <f>AE45</f>
        <v>4</v>
      </c>
      <c r="V108" s="2">
        <f t="shared" ref="V108:X108" si="18">AF45</f>
        <v>4</v>
      </c>
      <c r="W108" s="2">
        <f t="shared" si="18"/>
        <v>3</v>
      </c>
      <c r="X108" s="2">
        <f t="shared" si="18"/>
        <v>1</v>
      </c>
    </row>
    <row r="109" spans="17:24" x14ac:dyDescent="0.45">
      <c r="R109" s="82" t="str">
        <f>AK45</f>
        <v>Schweden</v>
      </c>
      <c r="S109" s="82"/>
      <c r="T109" s="82"/>
      <c r="U109" s="2">
        <f>AL45</f>
        <v>5</v>
      </c>
      <c r="V109" s="2">
        <f t="shared" ref="V109:W109" si="19">AM45</f>
        <v>3</v>
      </c>
      <c r="W109" s="2">
        <f t="shared" si="19"/>
        <v>2</v>
      </c>
      <c r="X109" s="2">
        <f>AO45</f>
        <v>1</v>
      </c>
    </row>
    <row r="112" spans="17:24" x14ac:dyDescent="0.45">
      <c r="Q112" s="33">
        <v>1</v>
      </c>
      <c r="R112" s="2" t="str" cm="1">
        <f t="array" ref="R112:R123">_xlfn.SORTBY(R98:R109,U98:U109,-1,X98:X109,-1,V98:V109,-1)</f>
        <v>Bosnien-Herz.</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Schweden</v>
      </c>
      <c r="U113" s="2">
        <v>5</v>
      </c>
      <c r="V113" s="2">
        <v>3</v>
      </c>
      <c r="W113" s="2">
        <v>2</v>
      </c>
      <c r="X113" s="2">
        <v>1</v>
      </c>
    </row>
    <row r="114" spans="17:24" x14ac:dyDescent="0.45">
      <c r="Q114" s="33">
        <v>3</v>
      </c>
      <c r="R114" s="2" t="str">
        <v>Ecuador</v>
      </c>
      <c r="U114" s="2">
        <v>4</v>
      </c>
      <c r="V114" s="2">
        <v>4</v>
      </c>
      <c r="W114" s="2">
        <v>3</v>
      </c>
      <c r="X114" s="2">
        <v>1</v>
      </c>
    </row>
    <row r="115" spans="17:24" x14ac:dyDescent="0.45">
      <c r="Q115" s="33">
        <v>4</v>
      </c>
      <c r="R115" s="2" t="str">
        <v>Schottland</v>
      </c>
      <c r="U115" s="2">
        <v>4</v>
      </c>
      <c r="V115" s="2">
        <v>3</v>
      </c>
      <c r="W115" s="2">
        <v>2</v>
      </c>
      <c r="X115" s="2">
        <v>1</v>
      </c>
    </row>
    <row r="116" spans="17:24" x14ac:dyDescent="0.45">
      <c r="Q116" s="33">
        <v>5</v>
      </c>
      <c r="R116" s="2" t="str">
        <v>Paraguay</v>
      </c>
      <c r="U116" s="2">
        <v>4</v>
      </c>
      <c r="V116" s="2">
        <v>4</v>
      </c>
      <c r="W116" s="2">
        <v>4</v>
      </c>
      <c r="X116" s="2">
        <v>0</v>
      </c>
    </row>
    <row r="117" spans="17:24" x14ac:dyDescent="0.45">
      <c r="Q117" s="33">
        <v>6</v>
      </c>
      <c r="R117" s="2" t="str">
        <v>Senegal</v>
      </c>
      <c r="U117" s="2">
        <v>4</v>
      </c>
      <c r="V117" s="2">
        <v>3</v>
      </c>
      <c r="W117" s="2">
        <v>3</v>
      </c>
      <c r="X117" s="2">
        <v>0</v>
      </c>
    </row>
    <row r="118" spans="17:24" x14ac:dyDescent="0.45">
      <c r="Q118" s="33">
        <v>7</v>
      </c>
      <c r="R118" s="2" t="str">
        <v>Österreich</v>
      </c>
      <c r="U118" s="2">
        <v>4</v>
      </c>
      <c r="V118" s="2">
        <v>3</v>
      </c>
      <c r="W118" s="2">
        <v>4</v>
      </c>
      <c r="X118" s="2">
        <v>-1</v>
      </c>
    </row>
    <row r="119" spans="17:24" x14ac:dyDescent="0.45">
      <c r="Q119" s="33">
        <v>8</v>
      </c>
      <c r="R119" s="2" t="str">
        <v>Kroatien</v>
      </c>
      <c r="U119" s="2">
        <v>4</v>
      </c>
      <c r="V119" s="2">
        <v>2</v>
      </c>
      <c r="W119" s="2">
        <v>3</v>
      </c>
      <c r="X119" s="2">
        <v>-1</v>
      </c>
    </row>
    <row r="120" spans="17:24" x14ac:dyDescent="0.45">
      <c r="Q120" s="32">
        <v>9</v>
      </c>
      <c r="R120" s="2" t="str">
        <v>Iran</v>
      </c>
      <c r="U120" s="2">
        <v>4</v>
      </c>
      <c r="V120" s="2">
        <v>1</v>
      </c>
      <c r="W120" s="2">
        <v>2</v>
      </c>
      <c r="X120" s="2">
        <v>-1</v>
      </c>
    </row>
    <row r="121" spans="17:24" x14ac:dyDescent="0.45">
      <c r="Q121" s="32">
        <v>10</v>
      </c>
      <c r="R121" s="2" t="str">
        <v>Südafrika</v>
      </c>
      <c r="U121" s="2">
        <v>3</v>
      </c>
      <c r="V121" s="2">
        <v>1</v>
      </c>
      <c r="W121" s="2">
        <v>3</v>
      </c>
      <c r="X121" s="2">
        <v>-2</v>
      </c>
    </row>
    <row r="122" spans="17:24" x14ac:dyDescent="0.45">
      <c r="Q122" s="32">
        <v>11</v>
      </c>
      <c r="R122" s="2" t="str">
        <v>Kap Verde</v>
      </c>
      <c r="U122" s="2">
        <v>3</v>
      </c>
      <c r="V122" s="2">
        <v>3</v>
      </c>
      <c r="W122" s="2">
        <v>10</v>
      </c>
      <c r="X122" s="2">
        <v>-7</v>
      </c>
    </row>
    <row r="123" spans="17:24" x14ac:dyDescent="0.45">
      <c r="Q123" s="32">
        <v>12</v>
      </c>
      <c r="R123" s="2" t="str">
        <v>Usbekistan</v>
      </c>
      <c r="U123" s="2">
        <v>1</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195</v>
      </c>
    </row>
    <row r="155" spans="1:23" x14ac:dyDescent="0.45">
      <c r="A155" s="23" t="s">
        <v>103</v>
      </c>
      <c r="B155" s="24">
        <f>SUM(H160:H231)</f>
        <v>213</v>
      </c>
    </row>
    <row r="156" spans="1:23" x14ac:dyDescent="0.45">
      <c r="A156" s="23" t="s">
        <v>104</v>
      </c>
      <c r="B156" s="24">
        <f>SUM(E234:E265)</f>
        <v>140</v>
      </c>
    </row>
    <row r="157" spans="1:23" x14ac:dyDescent="0.45">
      <c r="A157" s="25" t="s">
        <v>105</v>
      </c>
      <c r="B157" s="26">
        <f>B154+B155+B156</f>
        <v>548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1</v>
      </c>
    </row>
    <row r="164" spans="1:8" x14ac:dyDescent="0.45">
      <c r="A164" s="28">
        <v>5</v>
      </c>
      <c r="B164" s="29" t="s">
        <v>125</v>
      </c>
      <c r="C164" s="30" t="s">
        <v>126</v>
      </c>
      <c r="D164" s="30" t="s">
        <v>127</v>
      </c>
      <c r="E164" s="28">
        <f>Realität!B27</f>
        <v>1</v>
      </c>
      <c r="F164" s="28">
        <f>Realität!C27</f>
        <v>0</v>
      </c>
      <c r="G164" s="28">
        <f>IF(OR(B27="",Realität!B27=""),0,IF(SIGN(B27-C27)=SIGN(Realität!B27-Realität!C27),5,0))</f>
        <v>5</v>
      </c>
      <c r="H164" s="28">
        <f>IF(OR(B27="",Realität!B27=""),0,MAX(0,5-ABS(B27-Realität!B27)-ABS(C27-Realität!C27)))</f>
        <v>5</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5</v>
      </c>
      <c r="H166" s="28">
        <f>IF(OR(I5="",Realität!I5=""),0,MAX(0,5-ABS(I5-Realität!I5)-ABS(J5-Realität!J5)))</f>
        <v>5</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2</v>
      </c>
    </row>
    <row r="168" spans="1:8" x14ac:dyDescent="0.45">
      <c r="A168" s="28">
        <v>9</v>
      </c>
      <c r="B168" s="29" t="s">
        <v>137</v>
      </c>
      <c r="C168" s="30" t="s">
        <v>138</v>
      </c>
      <c r="D168" s="30" t="s">
        <v>139</v>
      </c>
      <c r="E168" s="28">
        <f>Realität!I16</f>
        <v>4</v>
      </c>
      <c r="F168" s="28">
        <f>Realität!J16</f>
        <v>1</v>
      </c>
      <c r="G168" s="28">
        <f>IF(OR(I16="",Realität!I16=""),0,IF(SIGN(I16-J16)=SIGN(Realität!I16-Realität!J16),5,0))</f>
        <v>0</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4</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5</v>
      </c>
      <c r="H172" s="28">
        <f>IF(OR(P5="",Realität!P5=""),0,MAX(0,5-ABS(P5-Realität!P5)-ABS(Q5-Realität!Q5)))</f>
        <v>5</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x14ac:dyDescent="0.45">
      <c r="A174" s="28">
        <v>15</v>
      </c>
      <c r="B174" s="29" t="s">
        <v>155</v>
      </c>
      <c r="C174" s="30" t="s">
        <v>156</v>
      </c>
      <c r="D174" s="30" t="s">
        <v>157</v>
      </c>
      <c r="E174" s="28">
        <f>Realität!P16</f>
        <v>0</v>
      </c>
      <c r="F174" s="28">
        <f>Realität!Q16</f>
        <v>1</v>
      </c>
      <c r="G174" s="28">
        <f>IF(OR(P16="",Realität!P16=""),0,IF(SIGN(P16-Q16)=SIGN(Realität!P16-Realität!Q16),5,0))</f>
        <v>0</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3</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4</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3</v>
      </c>
    </row>
    <row r="178" spans="1:8" x14ac:dyDescent="0.45">
      <c r="A178" s="28">
        <v>19</v>
      </c>
      <c r="B178" s="29" t="s">
        <v>167</v>
      </c>
      <c r="C178" s="30" t="s">
        <v>168</v>
      </c>
      <c r="D178" s="30" t="s">
        <v>169</v>
      </c>
      <c r="E178" s="28">
        <f>Realität!W5</f>
        <v>4</v>
      </c>
      <c r="F178" s="28">
        <f>Realität!X5</f>
        <v>1</v>
      </c>
      <c r="G178" s="28">
        <f>IF(OR(W5="",Realität!W5=""),0,IF(SIGN(W5-X5)=SIGN(Realität!W5-Realität!X5),5,0))</f>
        <v>0</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2</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4</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0</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5</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0</v>
      </c>
      <c r="H193" s="28">
        <f>IF(OR(AK21="",Realität!AK21=""),0,MAX(0,5-ABS(AK21-Realität!AK21)-ABS(AL21-Realität!AL21)))</f>
        <v>1</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3</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3</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2</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5</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0</v>
      </c>
      <c r="H206" s="28">
        <f>IF(OR(I74="",Realität!I74=""),0,MAX(0,5-ABS(I74-Realität!I74)-ABS(J74-Realität!J74)))</f>
        <v>4</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2</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4</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2</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1</v>
      </c>
    </row>
    <row r="214" spans="1:8" x14ac:dyDescent="0.45">
      <c r="A214" s="28">
        <v>55</v>
      </c>
      <c r="B214" s="29" t="s">
        <v>275</v>
      </c>
      <c r="C214" s="30" t="s">
        <v>276</v>
      </c>
      <c r="D214" s="30" t="s">
        <v>277</v>
      </c>
      <c r="E214" s="28">
        <f>Realität!W52</f>
        <v>3</v>
      </c>
      <c r="F214" s="28">
        <f>Realität!X52</f>
        <v>0</v>
      </c>
      <c r="G214" s="28">
        <f>IF(OR(W52="",Realität!W52=""),0,IF(SIGN(W52-X52)=SIGN(Realität!W52-Realität!X52),5,0))</f>
        <v>0</v>
      </c>
      <c r="H214" s="28">
        <f>IF(OR(W52="",Realität!W52=""),0,MAX(0,5-ABS(W52-Realität!W52)-ABS(X52-Realität!X52)))</f>
        <v>2</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3</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3</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1</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4</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1</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5</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3</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0</v>
      </c>
      <c r="H231" s="28">
        <f>IF(OR(AK79="",Realität!AK79=""),0,MAX(0,5-ABS(AK79-Realität!AK79)-ABS(AL79-Realität!AL79)))</f>
        <v>4</v>
      </c>
    </row>
    <row r="232" spans="1:8" x14ac:dyDescent="0.45">
      <c r="A232" s="31" t="s">
        <v>329</v>
      </c>
      <c r="F232" s="23" t="s">
        <v>330</v>
      </c>
      <c r="G232" s="24">
        <f>SUM(G160:G231)</f>
        <v>195</v>
      </c>
      <c r="H232" s="24">
        <f>SUM(H160:H231)</f>
        <v>213</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Tschechien</v>
      </c>
      <c r="E235" s="28">
        <f t="shared" si="20"/>
        <v>0</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Australien</v>
      </c>
      <c r="D241" s="29" t="str">
        <f>W44</f>
        <v>USA</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Elfenbeinküste</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Ägypten</v>
      </c>
      <c r="E246" s="28">
        <f t="shared" si="20"/>
        <v>5</v>
      </c>
    </row>
    <row r="247" spans="1:5" x14ac:dyDescent="0.45">
      <c r="A247" s="28">
        <v>14</v>
      </c>
      <c r="B247" s="29" t="s">
        <v>347</v>
      </c>
      <c r="C247" s="29" t="str">
        <f>Realität!B91</f>
        <v>Ägypten</v>
      </c>
      <c r="D247" s="29" t="str">
        <f>B91</f>
        <v>Belgien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Norwegen</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Algerien</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Ghana</v>
      </c>
      <c r="E257" s="28">
        <f t="shared" si="20"/>
        <v>5</v>
      </c>
    </row>
    <row r="258" spans="1:5" x14ac:dyDescent="0.45">
      <c r="A258" s="28">
        <v>25</v>
      </c>
      <c r="B258" s="29" t="s">
        <v>358</v>
      </c>
      <c r="C258" s="29" t="str">
        <f>Realität!R112</f>
        <v>DR Kongo</v>
      </c>
      <c r="D258" s="29" t="str">
        <f t="shared" ref="D258:D265" si="21">R112</f>
        <v>Bosnien-Herz.</v>
      </c>
      <c r="E258" s="28">
        <f t="shared" si="20"/>
        <v>5</v>
      </c>
    </row>
    <row r="259" spans="1:5" x14ac:dyDescent="0.45">
      <c r="A259" s="28">
        <v>26</v>
      </c>
      <c r="B259" s="29" t="s">
        <v>359</v>
      </c>
      <c r="C259" s="29" t="str">
        <f>Realität!R113</f>
        <v>Schweden</v>
      </c>
      <c r="D259" s="29" t="str">
        <f t="shared" si="21"/>
        <v>Schweden</v>
      </c>
      <c r="E259" s="28">
        <f t="shared" si="20"/>
        <v>5</v>
      </c>
    </row>
    <row r="260" spans="1:5" x14ac:dyDescent="0.45">
      <c r="A260" s="28">
        <v>27</v>
      </c>
      <c r="B260" s="29" t="s">
        <v>360</v>
      </c>
      <c r="C260" s="29" t="str">
        <f>Realität!R114</f>
        <v>Ghana</v>
      </c>
      <c r="D260" s="29" t="str">
        <f t="shared" si="21"/>
        <v>Ecuador</v>
      </c>
      <c r="E260" s="28">
        <f t="shared" si="20"/>
        <v>5</v>
      </c>
    </row>
    <row r="261" spans="1:5" x14ac:dyDescent="0.45">
      <c r="A261" s="28">
        <v>28</v>
      </c>
      <c r="B261" s="29" t="s">
        <v>361</v>
      </c>
      <c r="C261" s="29" t="str">
        <f>Realität!R115</f>
        <v>Ecuador</v>
      </c>
      <c r="D261" s="29" t="str">
        <f t="shared" si="21"/>
        <v>Schottland</v>
      </c>
      <c r="E261" s="28">
        <f t="shared" si="20"/>
        <v>0</v>
      </c>
    </row>
    <row r="262" spans="1:5" x14ac:dyDescent="0.45">
      <c r="A262" s="28">
        <v>29</v>
      </c>
      <c r="B262" s="29" t="s">
        <v>362</v>
      </c>
      <c r="C262" s="29" t="str">
        <f>Realität!R116</f>
        <v>Bosnien-Herz.</v>
      </c>
      <c r="D262" s="29" t="str">
        <f t="shared" si="21"/>
        <v>Paraguay</v>
      </c>
      <c r="E262" s="28">
        <f t="shared" si="20"/>
        <v>5</v>
      </c>
    </row>
    <row r="263" spans="1:5" x14ac:dyDescent="0.45">
      <c r="A263" s="28">
        <v>30</v>
      </c>
      <c r="B263" s="29" t="s">
        <v>363</v>
      </c>
      <c r="C263" s="29" t="str">
        <f>Realität!R117</f>
        <v>Algerien</v>
      </c>
      <c r="D263" s="29" t="str">
        <f t="shared" si="21"/>
        <v>Senegal</v>
      </c>
      <c r="E263" s="28">
        <f t="shared" si="20"/>
        <v>5</v>
      </c>
    </row>
    <row r="264" spans="1:5" x14ac:dyDescent="0.45">
      <c r="A264" s="28">
        <v>31</v>
      </c>
      <c r="B264" s="29" t="s">
        <v>364</v>
      </c>
      <c r="C264" s="29" t="str">
        <f>Realität!R118</f>
        <v>Paraguay</v>
      </c>
      <c r="D264" s="29" t="str">
        <f t="shared" si="21"/>
        <v>Österreich</v>
      </c>
      <c r="E264" s="28">
        <f t="shared" si="20"/>
        <v>5</v>
      </c>
    </row>
    <row r="265" spans="1:5" x14ac:dyDescent="0.45">
      <c r="A265" s="28">
        <v>32</v>
      </c>
      <c r="B265" s="29" t="s">
        <v>365</v>
      </c>
      <c r="C265" s="29" t="str">
        <f>Realität!R119</f>
        <v>Senegal</v>
      </c>
      <c r="D265" s="29" t="str">
        <f t="shared" si="21"/>
        <v>Kroatien</v>
      </c>
      <c r="E265" s="28">
        <f t="shared" si="20"/>
        <v>5</v>
      </c>
    </row>
    <row r="266" spans="1:5" x14ac:dyDescent="0.45">
      <c r="D266" s="23" t="s">
        <v>330</v>
      </c>
      <c r="E266" s="24">
        <f>SUM(E234:E265)</f>
        <v>140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395-D274-496C-B8B6-03AB30409EB8}">
  <dimension ref="A1:AP266"/>
  <sheetViews>
    <sheetView topLeftCell="A141" workbookViewId="0">
      <selection activeCell="A152" sqref="A152:H26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3</v>
      </c>
      <c r="C5" s="38">
        <v>1</v>
      </c>
      <c r="D5" s="4"/>
      <c r="E5" s="4"/>
      <c r="F5" s="4"/>
      <c r="G5" s="4"/>
      <c r="H5" s="4"/>
      <c r="I5" s="38">
        <v>1</v>
      </c>
      <c r="J5" s="38">
        <v>2</v>
      </c>
      <c r="K5" s="4"/>
      <c r="L5" s="4"/>
      <c r="M5" s="4"/>
      <c r="N5" s="4"/>
      <c r="O5" s="4"/>
      <c r="P5" s="38">
        <v>2</v>
      </c>
      <c r="Q5" s="38">
        <v>2</v>
      </c>
      <c r="R5" s="4"/>
      <c r="S5" s="4"/>
      <c r="T5" s="4"/>
      <c r="U5" s="4"/>
      <c r="V5" s="4"/>
      <c r="W5" s="38">
        <v>3</v>
      </c>
      <c r="X5" s="38">
        <v>2</v>
      </c>
      <c r="Y5" s="4"/>
      <c r="Z5" s="4"/>
      <c r="AA5" s="4"/>
      <c r="AB5" s="4"/>
      <c r="AC5" s="4"/>
      <c r="AD5" s="38">
        <v>5</v>
      </c>
      <c r="AE5" s="38">
        <v>0</v>
      </c>
      <c r="AF5" s="4"/>
      <c r="AG5" s="4"/>
      <c r="AH5" s="4"/>
      <c r="AI5" s="4"/>
      <c r="AJ5" s="4"/>
      <c r="AK5" s="38">
        <v>1</v>
      </c>
      <c r="AL5" s="38">
        <v>1</v>
      </c>
      <c r="AM5" s="4"/>
      <c r="AN5" s="4"/>
      <c r="AO5" s="4"/>
      <c r="AP5" s="4"/>
    </row>
    <row r="6" spans="1:42" x14ac:dyDescent="0.45">
      <c r="A6" s="4"/>
      <c r="B6" s="80" t="str">
        <f>IF(B5=C5,"Unentschieden",IF(B5&gt;C5,B4,C4))</f>
        <v>Mexiko</v>
      </c>
      <c r="C6" s="80"/>
      <c r="D6" s="4"/>
      <c r="E6" s="4"/>
      <c r="F6" s="4"/>
      <c r="G6" s="4"/>
      <c r="H6" s="4"/>
      <c r="I6" s="80" t="str">
        <f>IF(I5=J5,"Unentschieden",IF(I5&gt;J5,I4,J4))</f>
        <v>Bosnien-Herz.</v>
      </c>
      <c r="J6" s="80"/>
      <c r="K6" s="4"/>
      <c r="L6" s="4"/>
      <c r="M6" s="4"/>
      <c r="N6" s="4"/>
      <c r="O6" s="4"/>
      <c r="P6" s="80" t="str">
        <f>IF(P5=Q5,"Unentschieden",IF(P5&gt;Q5,P4,Q4))</f>
        <v>Unentschieden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2</v>
      </c>
      <c r="D10" s="4"/>
      <c r="E10" s="4"/>
      <c r="F10" s="4"/>
      <c r="G10" s="4"/>
      <c r="H10" s="4"/>
      <c r="I10" s="38">
        <v>0</v>
      </c>
      <c r="J10" s="38">
        <v>2</v>
      </c>
      <c r="K10" s="4"/>
      <c r="L10" s="4"/>
      <c r="M10" s="4"/>
      <c r="N10" s="4"/>
      <c r="O10" s="4"/>
      <c r="P10" s="38">
        <v>0</v>
      </c>
      <c r="Q10" s="38">
        <v>1</v>
      </c>
      <c r="R10" s="4"/>
      <c r="S10" s="4"/>
      <c r="T10" s="4"/>
      <c r="U10" s="4"/>
      <c r="V10" s="4"/>
      <c r="W10" s="38">
        <v>2</v>
      </c>
      <c r="X10" s="38">
        <v>4</v>
      </c>
      <c r="Y10" s="4"/>
      <c r="Z10" s="4"/>
      <c r="AA10" s="4"/>
      <c r="AB10" s="4"/>
      <c r="AC10" s="4"/>
      <c r="AD10" s="38">
        <v>2</v>
      </c>
      <c r="AE10" s="38">
        <v>3</v>
      </c>
      <c r="AF10" s="4"/>
      <c r="AG10" s="4"/>
      <c r="AH10" s="4"/>
      <c r="AI10" s="4"/>
      <c r="AJ10" s="4"/>
      <c r="AK10" s="38">
        <v>2</v>
      </c>
      <c r="AL10" s="38">
        <v>0</v>
      </c>
      <c r="AM10" s="4"/>
      <c r="AN10" s="4"/>
      <c r="AO10" s="4"/>
      <c r="AP10" s="4"/>
    </row>
    <row r="11" spans="1:42" x14ac:dyDescent="0.45">
      <c r="A11" s="4"/>
      <c r="B11" s="80" t="str">
        <f>IF(B10=C10,"Unentschieden",IF(B10&gt;C10,B9,C9))</f>
        <v>Unentschieden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Ecuador</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0</v>
      </c>
      <c r="AE12" s="1">
        <f>IF(AE10=AD10,1,IF(AE10&gt;AD10,3,0))</f>
        <v>3</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3</v>
      </c>
      <c r="J16" s="38">
        <v>3</v>
      </c>
      <c r="K16" s="4"/>
      <c r="L16" s="4"/>
      <c r="M16" s="4"/>
      <c r="N16" s="4"/>
      <c r="O16" s="4"/>
      <c r="P16" s="38">
        <v>1</v>
      </c>
      <c r="Q16" s="38">
        <v>1</v>
      </c>
      <c r="R16" s="4"/>
      <c r="S16" s="4"/>
      <c r="T16" s="4"/>
      <c r="U16" s="4"/>
      <c r="V16" s="4"/>
      <c r="W16" s="38">
        <v>3</v>
      </c>
      <c r="X16" s="38">
        <v>0</v>
      </c>
      <c r="Y16" s="4"/>
      <c r="Z16" s="4"/>
      <c r="AA16" s="4"/>
      <c r="AB16" s="4"/>
      <c r="AC16" s="4"/>
      <c r="AD16" s="38">
        <v>2</v>
      </c>
      <c r="AE16" s="38">
        <v>1</v>
      </c>
      <c r="AF16" s="4"/>
      <c r="AG16" s="4"/>
      <c r="AH16" s="4"/>
      <c r="AI16" s="4"/>
      <c r="AJ16" s="4"/>
      <c r="AK16" s="38">
        <v>2</v>
      </c>
      <c r="AL16" s="38">
        <v>3</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Unentschieden</v>
      </c>
      <c r="J17" s="80"/>
      <c r="K17" s="4"/>
      <c r="L17" s="4"/>
      <c r="M17" s="4"/>
      <c r="N17" s="4"/>
      <c r="O17" s="4"/>
      <c r="P17" s="80" t="str">
        <f>IF(P16=Q16,"Unentschieden",IF(P16&gt;Q16,P15,Q15))</f>
        <v>Unentschieden</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1</v>
      </c>
      <c r="J18" s="1">
        <f>IF(J16=I16,1,IF(J16&gt;I16,3,0))</f>
        <v>1</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2</v>
      </c>
      <c r="D21" s="4"/>
      <c r="E21" s="4"/>
      <c r="F21" s="4"/>
      <c r="G21" s="4"/>
      <c r="H21" s="4"/>
      <c r="I21" s="38">
        <v>2</v>
      </c>
      <c r="J21" s="38">
        <v>1</v>
      </c>
      <c r="K21" s="4"/>
      <c r="L21" s="4"/>
      <c r="M21" s="4"/>
      <c r="N21" s="4"/>
      <c r="O21" s="4"/>
      <c r="P21" s="38">
        <v>7</v>
      </c>
      <c r="Q21" s="38">
        <v>0</v>
      </c>
      <c r="R21" s="4"/>
      <c r="S21" s="4"/>
      <c r="T21" s="4"/>
      <c r="U21" s="4"/>
      <c r="V21" s="4"/>
      <c r="W21" s="38">
        <v>2</v>
      </c>
      <c r="X21" s="38">
        <v>2</v>
      </c>
      <c r="Y21" s="4"/>
      <c r="Z21" s="4"/>
      <c r="AA21" s="4"/>
      <c r="AB21" s="4"/>
      <c r="AC21" s="4"/>
      <c r="AD21" s="38">
        <v>2</v>
      </c>
      <c r="AE21" s="38">
        <v>1</v>
      </c>
      <c r="AF21" s="4"/>
      <c r="AG21" s="4"/>
      <c r="AH21" s="4"/>
      <c r="AI21" s="4"/>
      <c r="AJ21" s="4"/>
      <c r="AK21" s="38">
        <v>1</v>
      </c>
      <c r="AL21" s="38">
        <v>0</v>
      </c>
      <c r="AM21" s="4"/>
      <c r="AN21" s="4"/>
      <c r="AO21" s="4"/>
      <c r="AP21" s="4"/>
    </row>
    <row r="22" spans="1:42" x14ac:dyDescent="0.45">
      <c r="A22" s="4"/>
      <c r="B22" s="80" t="str">
        <f>IF(B21=C21,"Unentschieden",IF(B21&gt;C21,B20,C20))</f>
        <v>Unentschieden</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3</v>
      </c>
      <c r="J27" s="38">
        <v>0</v>
      </c>
      <c r="K27" s="4"/>
      <c r="L27" s="4"/>
      <c r="M27" s="4"/>
      <c r="N27" s="4"/>
      <c r="O27" s="4"/>
      <c r="P27" s="38">
        <v>3</v>
      </c>
      <c r="Q27" s="38">
        <v>1</v>
      </c>
      <c r="R27" s="4"/>
      <c r="S27" s="4"/>
      <c r="T27" s="4"/>
      <c r="U27" s="4"/>
      <c r="V27" s="4"/>
      <c r="W27" s="38">
        <v>3</v>
      </c>
      <c r="X27" s="38">
        <v>1</v>
      </c>
      <c r="Y27" s="4"/>
      <c r="Z27" s="4"/>
      <c r="AA27" s="4"/>
      <c r="AB27" s="4"/>
      <c r="AC27" s="4"/>
      <c r="AD27" s="38">
        <v>0</v>
      </c>
      <c r="AE27" s="38">
        <v>3</v>
      </c>
      <c r="AF27" s="4"/>
      <c r="AG27" s="4"/>
      <c r="AH27" s="4"/>
      <c r="AI27" s="4"/>
      <c r="AJ27" s="4"/>
      <c r="AK27" s="38">
        <v>0</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Paraguay</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Schweden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0</v>
      </c>
      <c r="AL29" s="1">
        <f>IF(AL27=AK27,1,IF(AL27&gt;AK27,3,0))</f>
        <v>3</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0</v>
      </c>
      <c r="D32" s="4"/>
      <c r="E32" s="4"/>
      <c r="F32" s="4"/>
      <c r="G32" s="4"/>
      <c r="H32" s="4"/>
      <c r="I32" s="38">
        <v>2</v>
      </c>
      <c r="J32" s="38">
        <v>0</v>
      </c>
      <c r="K32" s="4"/>
      <c r="L32" s="4"/>
      <c r="M32" s="4"/>
      <c r="N32" s="4"/>
      <c r="O32" s="4"/>
      <c r="P32" s="38">
        <v>1</v>
      </c>
      <c r="Q32" s="38">
        <v>2</v>
      </c>
      <c r="R32" s="4"/>
      <c r="S32" s="4"/>
      <c r="T32" s="4"/>
      <c r="U32" s="4"/>
      <c r="V32" s="4"/>
      <c r="W32" s="38">
        <v>3</v>
      </c>
      <c r="X32" s="38">
        <v>1</v>
      </c>
      <c r="Y32" s="4"/>
      <c r="Z32" s="4"/>
      <c r="AA32" s="4"/>
      <c r="AB32" s="4"/>
      <c r="AC32" s="4"/>
      <c r="AD32" s="38">
        <v>1</v>
      </c>
      <c r="AE32" s="38">
        <v>1</v>
      </c>
      <c r="AF32" s="4"/>
      <c r="AG32" s="4"/>
      <c r="AH32" s="4"/>
      <c r="AI32" s="4"/>
      <c r="AJ32" s="4"/>
      <c r="AK32" s="38">
        <v>0</v>
      </c>
      <c r="AL32" s="38">
        <v>2</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Unentschieden</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5</v>
      </c>
      <c r="D37" s="1">
        <f>B5+B21+C32</f>
        <v>5</v>
      </c>
      <c r="E37" s="1">
        <f>C5+C21+B32</f>
        <v>3</v>
      </c>
      <c r="F37" s="1">
        <f>D37-E37</f>
        <v>2</v>
      </c>
      <c r="G37" s="4"/>
      <c r="H37" s="37"/>
      <c r="I37" s="2" t="s">
        <v>27</v>
      </c>
      <c r="J37" s="1">
        <f>I7+I23+J34</f>
        <v>3</v>
      </c>
      <c r="K37" s="1">
        <f>I5+I21+J32</f>
        <v>3</v>
      </c>
      <c r="L37" s="1">
        <f>J5+J21+I32</f>
        <v>5</v>
      </c>
      <c r="M37" s="1">
        <f>K37-L37</f>
        <v>-2</v>
      </c>
      <c r="N37" s="4"/>
      <c r="O37" s="13"/>
      <c r="P37" s="2" t="s">
        <v>29</v>
      </c>
      <c r="Q37" s="1">
        <f>P7+P23+Q34</f>
        <v>7</v>
      </c>
      <c r="R37" s="1">
        <f>P5+P21+Q32</f>
        <v>11</v>
      </c>
      <c r="S37" s="1">
        <f>Q5+Q21+P32</f>
        <v>3</v>
      </c>
      <c r="T37" s="1">
        <f>R37-S37</f>
        <v>8</v>
      </c>
      <c r="U37" s="4"/>
      <c r="V37" s="13"/>
      <c r="W37" s="2" t="s">
        <v>31</v>
      </c>
      <c r="X37" s="1">
        <f>W7+W23+X34</f>
        <v>4</v>
      </c>
      <c r="Y37" s="1">
        <f>W5+W21+X32</f>
        <v>6</v>
      </c>
      <c r="Z37" s="1">
        <f>X5+X21+W32</f>
        <v>7</v>
      </c>
      <c r="AA37" s="1">
        <f>Y37-Z37</f>
        <v>-1</v>
      </c>
      <c r="AB37" s="4"/>
      <c r="AC37" s="13"/>
      <c r="AD37" s="2" t="s">
        <v>33</v>
      </c>
      <c r="AE37" s="1">
        <f>AD7+AD23+AE34</f>
        <v>7</v>
      </c>
      <c r="AF37" s="1">
        <f>AD5+AD21+AE32</f>
        <v>8</v>
      </c>
      <c r="AG37" s="1">
        <f>AE5+AE21+AD32</f>
        <v>2</v>
      </c>
      <c r="AH37" s="1">
        <f>AF37-AG37</f>
        <v>6</v>
      </c>
      <c r="AI37" s="4"/>
      <c r="AJ37" s="4"/>
      <c r="AK37" s="2" t="s">
        <v>35</v>
      </c>
      <c r="AL37" s="1">
        <f>AK7+AK23+AL34</f>
        <v>7</v>
      </c>
      <c r="AM37" s="1">
        <f>AK5+AK21+AL32</f>
        <v>4</v>
      </c>
      <c r="AN37" s="1">
        <f>AL5+AL21+AK32</f>
        <v>1</v>
      </c>
      <c r="AO37" s="1">
        <f>AM37-AN37</f>
        <v>3</v>
      </c>
      <c r="AP37" s="4"/>
    </row>
    <row r="38" spans="1:42" x14ac:dyDescent="0.45">
      <c r="A38" s="37"/>
      <c r="B38" s="2" t="s">
        <v>26</v>
      </c>
      <c r="C38" s="1">
        <f>C7+C18+B29</f>
        <v>0</v>
      </c>
      <c r="D38" s="1">
        <f>C5+C16+B27</f>
        <v>2</v>
      </c>
      <c r="E38" s="1">
        <f>B5+B16+C27</f>
        <v>6</v>
      </c>
      <c r="F38" s="1">
        <f t="shared" ref="F38:F40" si="0">D38-E38</f>
        <v>-4</v>
      </c>
      <c r="G38" s="4"/>
      <c r="H38" s="37"/>
      <c r="I38" s="2" t="s">
        <v>28</v>
      </c>
      <c r="J38" s="1">
        <f>J7+J18+I29</f>
        <v>7</v>
      </c>
      <c r="K38" s="1">
        <f>J5+J16+I27</f>
        <v>8</v>
      </c>
      <c r="L38" s="1">
        <f>I5+I16+J27</f>
        <v>4</v>
      </c>
      <c r="M38" s="1">
        <f t="shared" ref="M38:M40" si="1">K38-L38</f>
        <v>4</v>
      </c>
      <c r="N38" s="4"/>
      <c r="O38" s="13"/>
      <c r="P38" s="2" t="s">
        <v>30</v>
      </c>
      <c r="Q38" s="1">
        <f>Q7+Q18+P29</f>
        <v>5</v>
      </c>
      <c r="R38" s="1">
        <f>Q5+Q16+P27</f>
        <v>6</v>
      </c>
      <c r="S38" s="1">
        <f>P5+P16+Q27</f>
        <v>4</v>
      </c>
      <c r="T38" s="1">
        <f t="shared" ref="T38:T40" si="2">R38-S38</f>
        <v>2</v>
      </c>
      <c r="U38" s="4"/>
      <c r="V38" s="13"/>
      <c r="W38" s="2" t="s">
        <v>32</v>
      </c>
      <c r="X38" s="1">
        <f>X7+X18+W29</f>
        <v>3</v>
      </c>
      <c r="Y38" s="1">
        <f>X5+X16+W27</f>
        <v>5</v>
      </c>
      <c r="Z38" s="1">
        <f>W5+W16+X27</f>
        <v>7</v>
      </c>
      <c r="AA38" s="1">
        <f t="shared" ref="AA38:AA40" si="3">Y38-Z38</f>
        <v>-2</v>
      </c>
      <c r="AB38" s="4"/>
      <c r="AC38" s="13"/>
      <c r="AD38" s="2" t="s">
        <v>34</v>
      </c>
      <c r="AE38" s="1">
        <f>AE7+AE18+AD29</f>
        <v>0</v>
      </c>
      <c r="AF38" s="1">
        <f>AE5+AE16+AD27</f>
        <v>1</v>
      </c>
      <c r="AG38" s="1">
        <f>AD5+AD16+AE27</f>
        <v>10</v>
      </c>
      <c r="AH38" s="1">
        <f t="shared" ref="AH38:AH40" si="4">AF38-AG38</f>
        <v>-9</v>
      </c>
      <c r="AI38" s="4"/>
      <c r="AJ38" s="4"/>
      <c r="AK38" s="2" t="s">
        <v>36</v>
      </c>
      <c r="AL38" s="1">
        <f>AL7+AL18+AK29</f>
        <v>4</v>
      </c>
      <c r="AM38" s="1">
        <f>AL5+AL16+AK27</f>
        <v>4</v>
      </c>
      <c r="AN38" s="1">
        <f>AK5+AK16+AL27</f>
        <v>4</v>
      </c>
      <c r="AO38" s="1">
        <f t="shared" ref="AO38:AO40" si="5">AM38-AN38</f>
        <v>0</v>
      </c>
      <c r="AP38" s="4"/>
    </row>
    <row r="39" spans="1:42" x14ac:dyDescent="0.45">
      <c r="A39" s="36"/>
      <c r="B39" s="2" t="s">
        <v>37</v>
      </c>
      <c r="C39" s="1">
        <f>B12+C23+C29</f>
        <v>5</v>
      </c>
      <c r="D39" s="1">
        <f>B10+C21+C27</f>
        <v>5</v>
      </c>
      <c r="E39" s="1">
        <f>C10+B21+B27</f>
        <v>4</v>
      </c>
      <c r="F39" s="1">
        <f t="shared" si="0"/>
        <v>1</v>
      </c>
      <c r="G39" s="4"/>
      <c r="H39" s="36"/>
      <c r="I39" s="2" t="s">
        <v>39</v>
      </c>
      <c r="J39" s="1">
        <f>I12+J23+J29</f>
        <v>0</v>
      </c>
      <c r="K39" s="1">
        <f>I10+J21+J27</f>
        <v>1</v>
      </c>
      <c r="L39" s="1">
        <f>J10+I21+I27</f>
        <v>7</v>
      </c>
      <c r="M39" s="1">
        <f t="shared" si="1"/>
        <v>-6</v>
      </c>
      <c r="N39" s="4"/>
      <c r="O39" s="13"/>
      <c r="P39" s="2" t="s">
        <v>41</v>
      </c>
      <c r="Q39" s="1">
        <f>P12+Q23+Q29</f>
        <v>0</v>
      </c>
      <c r="R39" s="1">
        <f>P10+Q21+Q27</f>
        <v>1</v>
      </c>
      <c r="S39" s="1">
        <f>Q10+P21+P27</f>
        <v>11</v>
      </c>
      <c r="T39" s="1">
        <f t="shared" si="2"/>
        <v>-10</v>
      </c>
      <c r="U39" s="4"/>
      <c r="V39" s="13"/>
      <c r="W39" s="2" t="s">
        <v>43</v>
      </c>
      <c r="X39" s="1">
        <f>W12+X23+X29</f>
        <v>1</v>
      </c>
      <c r="Y39" s="1">
        <f>W10+X21+X27</f>
        <v>5</v>
      </c>
      <c r="Z39" s="1">
        <f>X10+W21+W27</f>
        <v>9</v>
      </c>
      <c r="AA39" s="1">
        <f t="shared" si="3"/>
        <v>-4</v>
      </c>
      <c r="AB39" s="4"/>
      <c r="AC39" s="13"/>
      <c r="AD39" s="2" t="s">
        <v>45</v>
      </c>
      <c r="AE39" s="1">
        <f>AD12+AE23+AE29</f>
        <v>3</v>
      </c>
      <c r="AF39" s="1">
        <f>AD10+AE21+AE27</f>
        <v>6</v>
      </c>
      <c r="AG39" s="1">
        <f>AE10+AD21+AD27</f>
        <v>5</v>
      </c>
      <c r="AH39" s="1">
        <f t="shared" si="4"/>
        <v>1</v>
      </c>
      <c r="AI39" s="4"/>
      <c r="AJ39" s="4"/>
      <c r="AK39" s="2" t="s">
        <v>47</v>
      </c>
      <c r="AL39" s="1">
        <f>AK12+AL23+AL29</f>
        <v>6</v>
      </c>
      <c r="AM39" s="1">
        <f>AK10+AL21+AL27</f>
        <v>3</v>
      </c>
      <c r="AN39" s="1">
        <f>AL10+AK21+AK27</f>
        <v>1</v>
      </c>
      <c r="AO39" s="1">
        <f t="shared" si="5"/>
        <v>2</v>
      </c>
      <c r="AP39" s="4"/>
    </row>
    <row r="40" spans="1:42" x14ac:dyDescent="0.45">
      <c r="A40" s="35"/>
      <c r="B40" s="2" t="s">
        <v>38</v>
      </c>
      <c r="C40" s="1">
        <f>C12+B18+B34</f>
        <v>5</v>
      </c>
      <c r="D40" s="1">
        <f>C10+B16+B32</f>
        <v>4</v>
      </c>
      <c r="E40" s="1">
        <f>B10+C16+C32</f>
        <v>3</v>
      </c>
      <c r="F40" s="1">
        <f t="shared" si="0"/>
        <v>1</v>
      </c>
      <c r="G40" s="4"/>
      <c r="H40" s="35"/>
      <c r="I40" s="2" t="s">
        <v>40</v>
      </c>
      <c r="J40" s="1">
        <f>J12+I18+I34</f>
        <v>7</v>
      </c>
      <c r="K40" s="1">
        <f>J10+I16+I32</f>
        <v>7</v>
      </c>
      <c r="L40" s="1">
        <f>I10+J16+J32</f>
        <v>3</v>
      </c>
      <c r="M40" s="1">
        <f t="shared" si="1"/>
        <v>4</v>
      </c>
      <c r="N40" s="4"/>
      <c r="O40" s="13"/>
      <c r="P40" s="2" t="s">
        <v>42</v>
      </c>
      <c r="Q40" s="1">
        <f>Q12+P18+P34</f>
        <v>4</v>
      </c>
      <c r="R40" s="1">
        <f>Q10+P16+P32</f>
        <v>3</v>
      </c>
      <c r="S40" s="1">
        <f>P10+Q16+Q32</f>
        <v>3</v>
      </c>
      <c r="T40" s="1">
        <f t="shared" si="2"/>
        <v>0</v>
      </c>
      <c r="U40" s="4"/>
      <c r="V40" s="13"/>
      <c r="W40" s="2" t="s">
        <v>44</v>
      </c>
      <c r="X40" s="1">
        <f>X12+W18+W34</f>
        <v>9</v>
      </c>
      <c r="Y40" s="1">
        <f>X10+W16+W32</f>
        <v>10</v>
      </c>
      <c r="Z40" s="1">
        <f>W10+X16+X32</f>
        <v>3</v>
      </c>
      <c r="AA40" s="1">
        <f t="shared" si="3"/>
        <v>7</v>
      </c>
      <c r="AB40" s="4"/>
      <c r="AC40" s="13"/>
      <c r="AD40" s="2" t="s">
        <v>46</v>
      </c>
      <c r="AE40" s="1">
        <f>AE12+AD18+AD34</f>
        <v>7</v>
      </c>
      <c r="AF40" s="1">
        <f>AE10+AD16+AD32</f>
        <v>6</v>
      </c>
      <c r="AG40" s="1">
        <f>AD10+AE16+AE32</f>
        <v>4</v>
      </c>
      <c r="AH40" s="1">
        <f t="shared" si="4"/>
        <v>2</v>
      </c>
      <c r="AI40" s="4"/>
      <c r="AJ40" s="4"/>
      <c r="AK40" s="2" t="s">
        <v>48</v>
      </c>
      <c r="AL40" s="1">
        <f>AL12+AK18+AK34</f>
        <v>0</v>
      </c>
      <c r="AM40" s="1">
        <f>AL10+AK16+AK32</f>
        <v>2</v>
      </c>
      <c r="AN40" s="1">
        <f>AK10+AL16+AL32</f>
        <v>7</v>
      </c>
      <c r="AO40" s="1">
        <f t="shared" si="5"/>
        <v>-5</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5</v>
      </c>
      <c r="D43" s="1" cm="1">
        <f t="array" ref="D43:D46">_xlfn.SORTBY(D37:D40,C37:C40,-1,F37:F40,-1,D37:D40,-1)</f>
        <v>5</v>
      </c>
      <c r="E43" s="1" cm="1">
        <f t="array" ref="E43:E46">_xlfn.SORTBY(E37:E40,C37:C40,-1,F37:F40,-1,D37:D40,-1)</f>
        <v>3</v>
      </c>
      <c r="F43" s="1" cm="1">
        <f t="array" ref="F43:F46">_xlfn.SORTBY(F37:F40,C37:C40,-1,F37:F40,-1,D37:D40,-1)</f>
        <v>2</v>
      </c>
      <c r="G43" s="4"/>
      <c r="H43" s="33">
        <v>1</v>
      </c>
      <c r="I43" s="2" t="str" cm="1">
        <f t="array" ref="I43:I46">_xlfn.SORTBY(I37:I40,J37:J40,-1,M37:M40,-1,K37:K40,-1)</f>
        <v>Bosnien-Herz.</v>
      </c>
      <c r="J43" s="1" cm="1">
        <f t="array" ref="J43:J46">_xlfn.SORTBY(J37:J40,J37:J40,-1,M37:M40,-1,K37:K40,-1)</f>
        <v>7</v>
      </c>
      <c r="K43" s="1" cm="1">
        <f t="array" ref="K43:K46">_xlfn.SORTBY(K37:K40,J37:J40,-1,M37:M40,-1,K37:K40,-1)</f>
        <v>8</v>
      </c>
      <c r="L43" s="1" cm="1">
        <f t="array" ref="L43:L46">_xlfn.SORTBY(L37:L40,J37:J40,-1,M37:M40,-1,K37:K40,-1)</f>
        <v>4</v>
      </c>
      <c r="M43" s="1" cm="1">
        <f t="array" ref="M43:M46">_xlfn.SORTBY(M37:M40,J37:J40,-1,M37:M40,-1,K37:K40,-1)</f>
        <v>4</v>
      </c>
      <c r="N43" s="4"/>
      <c r="O43" s="33">
        <v>1</v>
      </c>
      <c r="P43" s="2" t="str" cm="1">
        <f t="array" ref="P43:P46">_xlfn.SORTBY(P37:P40,Q37:Q40,-1,T37:T40,-1,R37:R40,-1)</f>
        <v>Brasilien</v>
      </c>
      <c r="Q43" s="1" cm="1">
        <f t="array" ref="Q43:Q46">_xlfn.SORTBY(Q37:Q40,Q37:Q40,-1,T37:T40,-1,R37:R40,-1)</f>
        <v>7</v>
      </c>
      <c r="R43" s="1" cm="1">
        <f t="array" ref="R43:R46">_xlfn.SORTBY(R37:R40,Q37:Q40,-1,T37:T40,-1,R37:R40,-1)</f>
        <v>11</v>
      </c>
      <c r="S43" s="1" cm="1">
        <f t="array" ref="S43:S46">_xlfn.SORTBY(S37:S40,Q37:Q40,-1,T37:T40,-1,R37:R40,-1)</f>
        <v>3</v>
      </c>
      <c r="T43" s="1" cm="1">
        <f t="array" ref="T43:T46">_xlfn.SORTBY(T37:T40,Q37:Q40,-1,T37:T40,-1,R37:R40,-1)</f>
        <v>8</v>
      </c>
      <c r="U43" s="4"/>
      <c r="V43" s="33">
        <v>1</v>
      </c>
      <c r="W43" s="2" t="str" cm="1">
        <f t="array" ref="W43:W46">_xlfn.SORTBY(W37:W40,X37:X40,-1,AA37:AA40,-1,Y37:Y40,-1)</f>
        <v>Türkei</v>
      </c>
      <c r="X43" s="1" cm="1">
        <f t="array" ref="X43:X46">_xlfn.SORTBY(X37:X40,X37:X40,-1,AA37:AA40,-1,Y37:Y40,-1)</f>
        <v>9</v>
      </c>
      <c r="Y43" s="1" cm="1">
        <f t="array" ref="Y43:Y46">_xlfn.SORTBY(Y37:Y40,X37:X40,-1,AA37:AA40,-1,Y37:Y40,-1)</f>
        <v>10</v>
      </c>
      <c r="Z43" s="1" cm="1">
        <f t="array" ref="Z43:Z46">_xlfn.SORTBY(Z37:Z40,X37:X40,-1,AA37:AA40,-1,Y37:Y40,-1)</f>
        <v>3</v>
      </c>
      <c r="AA43" s="1" cm="1">
        <f t="array" ref="AA43:AA46">_xlfn.SORTBY(AA37:AA40,X37:X40,-1,AA37:AA40,-1,Y37:Y40,-1)</f>
        <v>7</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8</v>
      </c>
      <c r="AG43" s="1" cm="1">
        <f t="array" ref="AG43:AG46">_xlfn.SORTBY(AG37:AG40,AE37:AE40,-1,AH37:AH40,-1,AF37:AF40,-1)</f>
        <v>2</v>
      </c>
      <c r="AH43" s="1" cm="1">
        <f t="array" ref="AH43:AH46">_xlfn.SORTBY(AH37:AH40,AE37:AE40,-1,AH37:AH40,-1,AF37:AF40,-1)</f>
        <v>6</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4</v>
      </c>
      <c r="AN43" s="1" cm="1">
        <f t="array" ref="AN43:AN46">_xlfn.SORTBY(AN37:AN40,AL37:AL40,-1,AO37:AO40,-1,AM37:AM40,-1)</f>
        <v>1</v>
      </c>
      <c r="AO43" s="1" cm="1">
        <f t="array" ref="AO43:AO46">_xlfn.SORTBY(AO37:AO40,AL37:AL40,-1,AO37:AO40,-1,AM37:AM40,-1)</f>
        <v>3</v>
      </c>
      <c r="AP43" s="4"/>
    </row>
    <row r="44" spans="1:42" x14ac:dyDescent="0.45">
      <c r="A44" s="33">
        <v>2</v>
      </c>
      <c r="B44" s="2" t="str">
        <v>Südkorea</v>
      </c>
      <c r="C44" s="1">
        <v>5</v>
      </c>
      <c r="D44" s="1">
        <v>5</v>
      </c>
      <c r="E44" s="1">
        <v>4</v>
      </c>
      <c r="F44" s="1">
        <v>1</v>
      </c>
      <c r="G44" s="4"/>
      <c r="H44" s="33">
        <v>2</v>
      </c>
      <c r="I44" s="2" t="str">
        <v>Schweiz</v>
      </c>
      <c r="J44" s="1">
        <v>7</v>
      </c>
      <c r="K44" s="1">
        <v>7</v>
      </c>
      <c r="L44" s="1">
        <v>3</v>
      </c>
      <c r="M44" s="1">
        <v>4</v>
      </c>
      <c r="N44" s="4"/>
      <c r="O44" s="33">
        <v>2</v>
      </c>
      <c r="P44" s="2" t="str">
        <v>Marokko</v>
      </c>
      <c r="Q44" s="1">
        <v>5</v>
      </c>
      <c r="R44" s="1">
        <v>6</v>
      </c>
      <c r="S44" s="1">
        <v>4</v>
      </c>
      <c r="T44" s="1">
        <v>2</v>
      </c>
      <c r="U44" s="4"/>
      <c r="V44" s="33">
        <v>2</v>
      </c>
      <c r="W44" s="2" t="str">
        <v>USA</v>
      </c>
      <c r="X44" s="1">
        <v>4</v>
      </c>
      <c r="Y44" s="1">
        <v>6</v>
      </c>
      <c r="Z44" s="1">
        <v>7</v>
      </c>
      <c r="AA44" s="1">
        <v>-1</v>
      </c>
      <c r="AB44" s="4"/>
      <c r="AC44" s="33">
        <v>2</v>
      </c>
      <c r="AD44" s="2" t="str">
        <v>Ecuador</v>
      </c>
      <c r="AE44" s="1">
        <v>7</v>
      </c>
      <c r="AF44" s="1">
        <v>6</v>
      </c>
      <c r="AG44" s="1">
        <v>4</v>
      </c>
      <c r="AH44" s="1">
        <v>2</v>
      </c>
      <c r="AI44" s="4"/>
      <c r="AJ44" s="33">
        <v>2</v>
      </c>
      <c r="AK44" s="2" t="str">
        <v>Schweden</v>
      </c>
      <c r="AL44" s="1">
        <v>6</v>
      </c>
      <c r="AM44" s="1">
        <v>3</v>
      </c>
      <c r="AN44" s="1">
        <v>1</v>
      </c>
      <c r="AO44" s="1">
        <v>2</v>
      </c>
      <c r="AP44" s="4"/>
    </row>
    <row r="45" spans="1:42" x14ac:dyDescent="0.45">
      <c r="A45" s="34">
        <v>3</v>
      </c>
      <c r="B45" s="2" t="str">
        <v>Tschechien</v>
      </c>
      <c r="C45" s="1">
        <v>5</v>
      </c>
      <c r="D45" s="1">
        <v>4</v>
      </c>
      <c r="E45" s="1">
        <v>3</v>
      </c>
      <c r="F45" s="1">
        <v>1</v>
      </c>
      <c r="G45" s="4"/>
      <c r="H45" s="34">
        <v>3</v>
      </c>
      <c r="I45" s="2" t="str">
        <v>Kanada</v>
      </c>
      <c r="J45" s="1">
        <v>3</v>
      </c>
      <c r="K45" s="1">
        <v>3</v>
      </c>
      <c r="L45" s="1">
        <v>5</v>
      </c>
      <c r="M45" s="1">
        <v>-2</v>
      </c>
      <c r="N45" s="4"/>
      <c r="O45" s="34">
        <v>3</v>
      </c>
      <c r="P45" s="2" t="str">
        <v>Schottland</v>
      </c>
      <c r="Q45" s="1">
        <v>4</v>
      </c>
      <c r="R45" s="1">
        <v>3</v>
      </c>
      <c r="S45" s="1">
        <v>3</v>
      </c>
      <c r="T45" s="1">
        <v>0</v>
      </c>
      <c r="U45" s="4"/>
      <c r="V45" s="34">
        <v>3</v>
      </c>
      <c r="W45" s="2" t="str">
        <v>Paraguay</v>
      </c>
      <c r="X45" s="1">
        <v>3</v>
      </c>
      <c r="Y45" s="1">
        <v>5</v>
      </c>
      <c r="Z45" s="1">
        <v>7</v>
      </c>
      <c r="AA45" s="1">
        <v>-2</v>
      </c>
      <c r="AB45" s="4"/>
      <c r="AC45" s="34">
        <v>3</v>
      </c>
      <c r="AD45" s="2" t="str">
        <v>Elfenbeinküste</v>
      </c>
      <c r="AE45" s="1">
        <v>3</v>
      </c>
      <c r="AF45" s="1">
        <v>6</v>
      </c>
      <c r="AG45" s="1">
        <v>5</v>
      </c>
      <c r="AH45" s="1">
        <v>1</v>
      </c>
      <c r="AI45" s="4"/>
      <c r="AJ45" s="34">
        <v>3</v>
      </c>
      <c r="AK45" s="2" t="str">
        <v>Japan</v>
      </c>
      <c r="AL45" s="1">
        <v>4</v>
      </c>
      <c r="AM45" s="1">
        <v>4</v>
      </c>
      <c r="AN45" s="1">
        <v>4</v>
      </c>
      <c r="AO45" s="1">
        <v>0</v>
      </c>
      <c r="AP45" s="4"/>
    </row>
    <row r="46" spans="1:42" x14ac:dyDescent="0.45">
      <c r="A46" s="32">
        <v>4</v>
      </c>
      <c r="B46" s="2" t="str">
        <v>Südafrika</v>
      </c>
      <c r="C46" s="1">
        <v>0</v>
      </c>
      <c r="D46" s="1">
        <v>2</v>
      </c>
      <c r="E46" s="1">
        <v>6</v>
      </c>
      <c r="F46" s="1">
        <v>-4</v>
      </c>
      <c r="G46" s="4"/>
      <c r="H46" s="32">
        <v>4</v>
      </c>
      <c r="I46" s="2" t="str">
        <v>Katar</v>
      </c>
      <c r="J46" s="1">
        <v>0</v>
      </c>
      <c r="K46" s="1">
        <v>1</v>
      </c>
      <c r="L46" s="1">
        <v>7</v>
      </c>
      <c r="M46" s="1">
        <v>-6</v>
      </c>
      <c r="N46" s="4"/>
      <c r="O46" s="32">
        <v>4</v>
      </c>
      <c r="P46" s="2" t="str">
        <v>Haiti</v>
      </c>
      <c r="Q46" s="1">
        <v>0</v>
      </c>
      <c r="R46" s="1">
        <v>1</v>
      </c>
      <c r="S46" s="1">
        <v>11</v>
      </c>
      <c r="T46" s="1">
        <v>-10</v>
      </c>
      <c r="U46" s="4"/>
      <c r="V46" s="32">
        <v>4</v>
      </c>
      <c r="W46" s="2" t="str">
        <v>Australien</v>
      </c>
      <c r="X46" s="1">
        <v>1</v>
      </c>
      <c r="Y46" s="1">
        <v>5</v>
      </c>
      <c r="Z46" s="1">
        <v>9</v>
      </c>
      <c r="AA46" s="1">
        <v>-4</v>
      </c>
      <c r="AB46" s="4"/>
      <c r="AC46" s="32">
        <v>4</v>
      </c>
      <c r="AD46" s="2" t="str">
        <v>Curacao</v>
      </c>
      <c r="AE46" s="1">
        <v>0</v>
      </c>
      <c r="AF46" s="1">
        <v>1</v>
      </c>
      <c r="AG46" s="1">
        <v>10</v>
      </c>
      <c r="AH46" s="1">
        <v>-9</v>
      </c>
      <c r="AI46" s="4"/>
      <c r="AJ46" s="32">
        <v>4</v>
      </c>
      <c r="AK46" s="2" t="str">
        <v>Tunesien</v>
      </c>
      <c r="AL46" s="1">
        <v>0</v>
      </c>
      <c r="AM46" s="1">
        <v>2</v>
      </c>
      <c r="AN46" s="1">
        <v>7</v>
      </c>
      <c r="AO46" s="1">
        <v>-5</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2</v>
      </c>
      <c r="D52" s="4"/>
      <c r="E52" s="4"/>
      <c r="F52" s="4"/>
      <c r="G52" s="4"/>
      <c r="H52" s="4"/>
      <c r="I52" s="38">
        <v>3</v>
      </c>
      <c r="J52" s="38">
        <v>0</v>
      </c>
      <c r="K52" s="4"/>
      <c r="L52" s="4"/>
      <c r="M52" s="4"/>
      <c r="N52" s="4"/>
      <c r="O52" s="4"/>
      <c r="P52" s="38">
        <v>2</v>
      </c>
      <c r="Q52" s="38">
        <v>1</v>
      </c>
      <c r="R52" s="4"/>
      <c r="S52" s="4"/>
      <c r="T52" s="4"/>
      <c r="U52" s="4"/>
      <c r="V52" s="4"/>
      <c r="W52" s="38">
        <v>3</v>
      </c>
      <c r="X52" s="38">
        <v>2</v>
      </c>
      <c r="Y52" s="4"/>
      <c r="Z52" s="4"/>
      <c r="AA52" s="4"/>
      <c r="AB52" s="4"/>
      <c r="AC52" s="4"/>
      <c r="AD52" s="38">
        <v>2</v>
      </c>
      <c r="AE52" s="38">
        <v>1</v>
      </c>
      <c r="AF52" s="4"/>
      <c r="AG52" s="4"/>
      <c r="AH52" s="4"/>
      <c r="AI52" s="4"/>
      <c r="AJ52" s="4"/>
      <c r="AK52" s="38">
        <v>1</v>
      </c>
      <c r="AL52" s="38">
        <v>2</v>
      </c>
      <c r="AM52" s="4"/>
      <c r="AN52" s="4"/>
      <c r="AO52" s="4"/>
      <c r="AP52" s="4"/>
    </row>
    <row r="53" spans="1:42" x14ac:dyDescent="0.45">
      <c r="A53" s="4"/>
      <c r="B53" s="80" t="str">
        <f>IF(B52=C52,"Unentschieden",IF(B52&gt;C52,B51,C51))</f>
        <v>Unentschieden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Kroatien</v>
      </c>
      <c r="AL53" s="80"/>
      <c r="AM53" s="4"/>
      <c r="AN53" s="4"/>
      <c r="AO53" s="4"/>
      <c r="AP53" s="4"/>
    </row>
    <row r="54" spans="1:42" x14ac:dyDescent="0.45">
      <c r="A54" s="4"/>
      <c r="B54" s="1">
        <f>IF(B52=C52,1,IF(B52&gt;C52,3,0))</f>
        <v>1</v>
      </c>
      <c r="C54" s="1">
        <f>IF(C52=B52,1,IF(C52&gt;B52,3,0))</f>
        <v>1</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0</v>
      </c>
      <c r="AL54" s="1">
        <f>IF(AL52=AK52,1,IF(AL52&gt;AK52,3,0))</f>
        <v>3</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2</v>
      </c>
      <c r="J57" s="38">
        <v>1</v>
      </c>
      <c r="K57" s="4"/>
      <c r="L57" s="4"/>
      <c r="M57" s="4"/>
      <c r="N57" s="4"/>
      <c r="O57" s="4"/>
      <c r="P57" s="38">
        <v>1</v>
      </c>
      <c r="Q57" s="38">
        <v>1</v>
      </c>
      <c r="R57" s="4"/>
      <c r="S57" s="4"/>
      <c r="T57" s="4"/>
      <c r="U57" s="4"/>
      <c r="V57" s="4"/>
      <c r="W57" s="38">
        <v>1</v>
      </c>
      <c r="X57" s="38">
        <v>1</v>
      </c>
      <c r="Y57" s="4"/>
      <c r="Z57" s="4"/>
      <c r="AA57" s="4"/>
      <c r="AB57" s="4"/>
      <c r="AC57" s="4"/>
      <c r="AD57" s="38">
        <v>1</v>
      </c>
      <c r="AE57" s="38">
        <v>1</v>
      </c>
      <c r="AF57" s="4"/>
      <c r="AG57" s="4"/>
      <c r="AH57" s="4"/>
      <c r="AI57" s="4"/>
      <c r="AJ57" s="4"/>
      <c r="AK57" s="38">
        <v>3</v>
      </c>
      <c r="AL57" s="38">
        <v>0</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Saudi-Arabien</v>
      </c>
      <c r="J58" s="80"/>
      <c r="K58" s="4"/>
      <c r="L58" s="4"/>
      <c r="M58" s="4"/>
      <c r="N58" s="4"/>
      <c r="O58" s="4"/>
      <c r="P58" s="80" t="str">
        <f>IF(P57=Q57,"Unentschieden",IF(P57&gt;Q57,P56,Q56))</f>
        <v>Unentschieden</v>
      </c>
      <c r="Q58" s="80"/>
      <c r="R58" s="4"/>
      <c r="S58" s="4"/>
      <c r="T58" s="4"/>
      <c r="U58" s="4"/>
      <c r="V58" s="4"/>
      <c r="W58" s="80" t="str">
        <f>IF(W57=X57,"Unentschieden",IF(W57&gt;X57,W56,X56))</f>
        <v>Unentschieden</v>
      </c>
      <c r="X58" s="80"/>
      <c r="Y58" s="4"/>
      <c r="Z58" s="4"/>
      <c r="AA58" s="4"/>
      <c r="AB58" s="4"/>
      <c r="AC58" s="4"/>
      <c r="AD58" s="80" t="str">
        <f>IF(AD57=AE57,"Unentschieden",IF(AD57&gt;AE57,AD56,AE56))</f>
        <v>Unentschieden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3</v>
      </c>
      <c r="J59" s="1">
        <f>IF(J57=I57,1,IF(J57&gt;I57,3,0))</f>
        <v>0</v>
      </c>
      <c r="K59" s="4"/>
      <c r="L59" s="4"/>
      <c r="M59" s="4"/>
      <c r="N59" s="4"/>
      <c r="O59" s="4"/>
      <c r="P59" s="1">
        <f>IF(P57=Q57,1,IF(P57&gt;Q57,3,0))</f>
        <v>1</v>
      </c>
      <c r="Q59" s="1">
        <f>IF(Q57=P57,1,IF(Q57&gt;P57,3,0))</f>
        <v>1</v>
      </c>
      <c r="R59" s="4"/>
      <c r="S59" s="4"/>
      <c r="T59" s="4"/>
      <c r="U59" s="4"/>
      <c r="V59" s="4"/>
      <c r="W59" s="1">
        <f>IF(W57=X57,1,IF(W57&gt;X57,3,0))</f>
        <v>1</v>
      </c>
      <c r="X59" s="1">
        <f>IF(X57=W57,1,IF(X57&gt;W57,3,0))</f>
        <v>1</v>
      </c>
      <c r="Y59" s="4"/>
      <c r="Z59" s="4"/>
      <c r="AA59" s="4"/>
      <c r="AB59" s="4"/>
      <c r="AC59" s="4"/>
      <c r="AD59" s="1">
        <f>IF(AD57=AE57,1,IF(AD57&gt;AE57,3,0))</f>
        <v>1</v>
      </c>
      <c r="AE59" s="1">
        <f>IF(AE57=AD57,1,IF(AE57&gt;AD57,3,0))</f>
        <v>1</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2</v>
      </c>
      <c r="J63" s="38">
        <v>0</v>
      </c>
      <c r="K63" s="4"/>
      <c r="L63" s="4"/>
      <c r="M63" s="4"/>
      <c r="N63" s="4"/>
      <c r="O63" s="4"/>
      <c r="P63" s="38">
        <v>2</v>
      </c>
      <c r="Q63" s="38">
        <v>0</v>
      </c>
      <c r="R63" s="4"/>
      <c r="S63" s="4"/>
      <c r="T63" s="4"/>
      <c r="U63" s="4"/>
      <c r="V63" s="4"/>
      <c r="W63" s="38">
        <v>2</v>
      </c>
      <c r="X63" s="38">
        <v>2</v>
      </c>
      <c r="Y63" s="4"/>
      <c r="Z63" s="4"/>
      <c r="AA63" s="4"/>
      <c r="AB63" s="4"/>
      <c r="AC63" s="4"/>
      <c r="AD63" s="38">
        <v>3</v>
      </c>
      <c r="AE63" s="38">
        <v>0</v>
      </c>
      <c r="AF63" s="4"/>
      <c r="AG63" s="4"/>
      <c r="AH63" s="4"/>
      <c r="AI63" s="4"/>
      <c r="AJ63" s="4"/>
      <c r="AK63" s="38">
        <v>2</v>
      </c>
      <c r="AL63" s="38">
        <v>2</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Unentschieden</v>
      </c>
      <c r="X64" s="80"/>
      <c r="Y64" s="4"/>
      <c r="Z64" s="4"/>
      <c r="AA64" s="4"/>
      <c r="AB64" s="4"/>
      <c r="AC64" s="4"/>
      <c r="AD64" s="80" t="str">
        <f>IF(AD63=AE63,"Unentschieden",IF(AD63&gt;AE63,AD62,AE62))</f>
        <v>Portugal</v>
      </c>
      <c r="AE64" s="80"/>
      <c r="AF64" s="4"/>
      <c r="AG64" s="4"/>
      <c r="AH64" s="4"/>
      <c r="AI64" s="4"/>
      <c r="AJ64" s="4"/>
      <c r="AK64" s="80" t="str">
        <f>IF(AK63=AL63,"Unentschieden",IF(AK63&gt;AL63,AK62,AL62))</f>
        <v>Unentschieden</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3</v>
      </c>
      <c r="D68" s="4"/>
      <c r="E68" s="4"/>
      <c r="F68" s="4"/>
      <c r="G68" s="4"/>
      <c r="H68" s="4"/>
      <c r="I68" s="38">
        <v>1</v>
      </c>
      <c r="J68" s="38">
        <v>0</v>
      </c>
      <c r="K68" s="4"/>
      <c r="L68" s="4"/>
      <c r="M68" s="4"/>
      <c r="N68" s="4"/>
      <c r="O68" s="4"/>
      <c r="P68" s="38">
        <v>1</v>
      </c>
      <c r="Q68" s="38">
        <v>1</v>
      </c>
      <c r="R68" s="4"/>
      <c r="S68" s="4"/>
      <c r="T68" s="4"/>
      <c r="U68" s="4"/>
      <c r="V68" s="4"/>
      <c r="W68" s="38">
        <v>1</v>
      </c>
      <c r="X68" s="38">
        <v>3</v>
      </c>
      <c r="Y68" s="4"/>
      <c r="Z68" s="4"/>
      <c r="AA68" s="4"/>
      <c r="AB68" s="4"/>
      <c r="AC68" s="4"/>
      <c r="AD68" s="38">
        <v>2</v>
      </c>
      <c r="AE68" s="38">
        <v>2</v>
      </c>
      <c r="AF68" s="4"/>
      <c r="AG68" s="4"/>
      <c r="AH68" s="4"/>
      <c r="AI68" s="4"/>
      <c r="AJ68" s="4"/>
      <c r="AK68" s="38">
        <v>1</v>
      </c>
      <c r="AL68" s="38">
        <v>1</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t="str">
        <f>IF(W68=X68,"Unentschieden",IF(W68&gt;X68,W67,X67))</f>
        <v>Algerien</v>
      </c>
      <c r="X69" s="80"/>
      <c r="Y69" s="4"/>
      <c r="Z69" s="4"/>
      <c r="AA69" s="4"/>
      <c r="AB69" s="4"/>
      <c r="AC69" s="4"/>
      <c r="AD69" s="80" t="str">
        <f>IF(AD68=AE68,"Unentschieden",IF(AD68&gt;AE68,AD67,AE67))</f>
        <v>Unentschieden</v>
      </c>
      <c r="AE69" s="80"/>
      <c r="AF69" s="4"/>
      <c r="AG69" s="4"/>
      <c r="AH69" s="4"/>
      <c r="AI69" s="4"/>
      <c r="AJ69" s="4"/>
      <c r="AK69" s="80" t="str">
        <f>IF(AK68=AL68,"Unentschieden",IF(AK68&gt;AL68,AK67,AL67))</f>
        <v>Unentschieden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1</v>
      </c>
      <c r="AE70" s="1">
        <f>IF(AE68=AD68,1,IF(AE68&gt;AD68,3,0))</f>
        <v>1</v>
      </c>
      <c r="AF70" s="4"/>
      <c r="AG70" s="4"/>
      <c r="AH70" s="4"/>
      <c r="AI70" s="4"/>
      <c r="AJ70" s="4"/>
      <c r="AK70" s="1">
        <f>IF(AK68=AL68,1,IF(AK68&gt;AL68,3,0))</f>
        <v>1</v>
      </c>
      <c r="AL70" s="1">
        <f>IF(AL68=AK68,1,IF(AL68&gt;AK68,3,0))</f>
        <v>1</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0</v>
      </c>
      <c r="D74" s="4"/>
      <c r="E74" s="4"/>
      <c r="F74" s="4"/>
      <c r="G74" s="4"/>
      <c r="H74" s="4"/>
      <c r="I74" s="38">
        <v>2</v>
      </c>
      <c r="J74" s="38">
        <v>3</v>
      </c>
      <c r="K74" s="4"/>
      <c r="L74" s="4"/>
      <c r="M74" s="4"/>
      <c r="N74" s="4"/>
      <c r="O74" s="4"/>
      <c r="P74" s="38">
        <v>0</v>
      </c>
      <c r="Q74" s="38">
        <v>0</v>
      </c>
      <c r="R74" s="4"/>
      <c r="S74" s="4"/>
      <c r="T74" s="4"/>
      <c r="U74" s="4"/>
      <c r="V74" s="4"/>
      <c r="W74" s="38">
        <v>1</v>
      </c>
      <c r="X74" s="38">
        <v>2</v>
      </c>
      <c r="Y74" s="4"/>
      <c r="Z74" s="4"/>
      <c r="AA74" s="4"/>
      <c r="AB74" s="4"/>
      <c r="AC74" s="4"/>
      <c r="AD74" s="38">
        <v>1</v>
      </c>
      <c r="AE74" s="38">
        <v>4</v>
      </c>
      <c r="AF74" s="4"/>
      <c r="AG74" s="4"/>
      <c r="AH74" s="4"/>
      <c r="AI74" s="4"/>
      <c r="AJ74" s="4"/>
      <c r="AK74" s="38">
        <v>0</v>
      </c>
      <c r="AL74" s="38">
        <v>2</v>
      </c>
      <c r="AM74" s="4"/>
      <c r="AN74" s="4"/>
      <c r="AO74" s="4"/>
      <c r="AP74" s="4"/>
    </row>
    <row r="75" spans="1:42" ht="17.399999999999999" customHeight="1" x14ac:dyDescent="0.45">
      <c r="A75" s="4"/>
      <c r="B75" s="80" t="str">
        <f>IF(B74=C74,"Unentschieden",IF(B74&gt;C74,B73,C73))</f>
        <v>Unentschieden</v>
      </c>
      <c r="C75" s="80"/>
      <c r="D75" s="4"/>
      <c r="E75" s="4"/>
      <c r="F75" s="4"/>
      <c r="G75" s="4"/>
      <c r="H75" s="4"/>
      <c r="I75" s="80" t="str">
        <f>IF(I74=J74,"Unentschieden",IF(I74&gt;J74,I73,J73))</f>
        <v>Spanien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1</v>
      </c>
      <c r="C76" s="1">
        <f>IF(C74=B74,1,IF(C74&gt;B74,3,0))</f>
        <v>1</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1</v>
      </c>
      <c r="D79" s="4"/>
      <c r="E79" s="4"/>
      <c r="F79" s="4"/>
      <c r="G79" s="4"/>
      <c r="H79" s="4"/>
      <c r="I79" s="38">
        <v>0</v>
      </c>
      <c r="J79" s="38">
        <v>1</v>
      </c>
      <c r="K79" s="4"/>
      <c r="L79" s="4"/>
      <c r="M79" s="4"/>
      <c r="N79" s="4"/>
      <c r="O79" s="4"/>
      <c r="P79" s="38">
        <v>3</v>
      </c>
      <c r="Q79" s="38">
        <v>0</v>
      </c>
      <c r="R79" s="4"/>
      <c r="S79" s="4"/>
      <c r="T79" s="4"/>
      <c r="U79" s="4"/>
      <c r="V79" s="4"/>
      <c r="W79" s="38">
        <v>3</v>
      </c>
      <c r="X79" s="38">
        <v>1</v>
      </c>
      <c r="Y79" s="4"/>
      <c r="Z79" s="4"/>
      <c r="AA79" s="4"/>
      <c r="AB79" s="4"/>
      <c r="AC79" s="4"/>
      <c r="AD79" s="38">
        <v>3</v>
      </c>
      <c r="AE79" s="38">
        <v>0</v>
      </c>
      <c r="AF79" s="4"/>
      <c r="AG79" s="4"/>
      <c r="AH79" s="4"/>
      <c r="AI79" s="4"/>
      <c r="AJ79" s="4"/>
      <c r="AK79" s="38">
        <v>3</v>
      </c>
      <c r="AL79" s="38">
        <v>3</v>
      </c>
      <c r="AM79" s="4"/>
      <c r="AN79" s="4"/>
      <c r="AO79" s="4"/>
      <c r="AP79" s="4"/>
    </row>
    <row r="80" spans="1:42" ht="17.399999999999999" customHeight="1" x14ac:dyDescent="0.45">
      <c r="A80" s="4"/>
      <c r="B80" s="80" t="str">
        <f>IF(B79=C79,"Unentschieden",IF(B79&gt;C79,B78,C78))</f>
        <v>Iran</v>
      </c>
      <c r="C80" s="80"/>
      <c r="D80" s="4"/>
      <c r="E80" s="4"/>
      <c r="F80" s="4"/>
      <c r="G80" s="4"/>
      <c r="H80" s="4"/>
      <c r="I80" s="80" t="str">
        <f>IF(I79=J79,"Unentschieden",IF(I79&gt;J79,I78,J78))</f>
        <v>Saudi-Arabien</v>
      </c>
      <c r="J80" s="80"/>
      <c r="K80" s="4"/>
      <c r="L80" s="4"/>
      <c r="M80" s="4"/>
      <c r="N80" s="4"/>
      <c r="O80" s="4"/>
      <c r="P80" s="80" t="str">
        <f>IF(P79=Q79,"Unentschieden",IF(P79&gt;Q79,P78,Q78))</f>
        <v>Senegal</v>
      </c>
      <c r="Q80" s="80"/>
      <c r="R80" s="4"/>
      <c r="S80" s="4"/>
      <c r="T80" s="4"/>
      <c r="U80" s="4"/>
      <c r="V80" s="4"/>
      <c r="W80" s="80" t="str">
        <f>IF(W79=X79,"Unentschieden",IF(W79&gt;X79,W78,X78))</f>
        <v>Algerien</v>
      </c>
      <c r="X80" s="80"/>
      <c r="Y80" s="4"/>
      <c r="Z80" s="4"/>
      <c r="AA80" s="4"/>
      <c r="AB80" s="4"/>
      <c r="AC80" s="4"/>
      <c r="AD80" s="80" t="str">
        <f>IF(AD79=AE79,"Unentschieden",IF(AD79&gt;AE79,AD78,AE78))</f>
        <v>DR Kongo</v>
      </c>
      <c r="AE80" s="80"/>
      <c r="AF80" s="4"/>
      <c r="AG80" s="4"/>
      <c r="AH80" s="4"/>
      <c r="AI80" s="4"/>
      <c r="AJ80" s="4"/>
      <c r="AK80" s="80" t="str">
        <f>IF(AK79=AL79,"Unentschieden",IF(AK79&gt;AL79,AK78,AL78))</f>
        <v>Unentschieden</v>
      </c>
      <c r="AL80" s="80"/>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3</v>
      </c>
      <c r="X81" s="1">
        <f>IF(X79=W79,1,IF(X79&gt;W79,3,0))</f>
        <v>0</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5</v>
      </c>
      <c r="D84" s="1">
        <f>B52+B63+C74</f>
        <v>4</v>
      </c>
      <c r="E84" s="1">
        <f>C52+C63+B74</f>
        <v>3</v>
      </c>
      <c r="F84" s="1">
        <f>D84-E84</f>
        <v>1</v>
      </c>
      <c r="G84" s="4"/>
      <c r="H84" s="37"/>
      <c r="I84" s="2" t="s">
        <v>65</v>
      </c>
      <c r="J84" s="1">
        <f>I54+I65+J76</f>
        <v>9</v>
      </c>
      <c r="K84" s="1">
        <f>I52+I63+J74</f>
        <v>8</v>
      </c>
      <c r="L84" s="1">
        <f>J52+J63+I74</f>
        <v>2</v>
      </c>
      <c r="M84" s="1">
        <f>K84-L84</f>
        <v>6</v>
      </c>
      <c r="N84" s="4"/>
      <c r="O84" s="13"/>
      <c r="P84" s="2" t="s">
        <v>67</v>
      </c>
      <c r="Q84" s="1">
        <f>P54+P65+Q76</f>
        <v>7</v>
      </c>
      <c r="R84" s="1">
        <f>P52+P63+Q74</f>
        <v>4</v>
      </c>
      <c r="S84" s="1">
        <f>Q52+Q63+P74</f>
        <v>1</v>
      </c>
      <c r="T84" s="1">
        <f>R84-S84</f>
        <v>3</v>
      </c>
      <c r="U84" s="4"/>
      <c r="V84" s="13"/>
      <c r="W84" s="2" t="s">
        <v>69</v>
      </c>
      <c r="X84" s="1">
        <f>W54+W65+X76</f>
        <v>7</v>
      </c>
      <c r="Y84" s="1">
        <f>W52+W63+X74</f>
        <v>7</v>
      </c>
      <c r="Z84" s="1">
        <f>X52+X63+W74</f>
        <v>5</v>
      </c>
      <c r="AA84" s="1">
        <f>Y84-Z84</f>
        <v>2</v>
      </c>
      <c r="AB84" s="4"/>
      <c r="AC84" s="13"/>
      <c r="AD84" s="2" t="s">
        <v>71</v>
      </c>
      <c r="AE84" s="1">
        <f>AD54+AD65+AE76</f>
        <v>9</v>
      </c>
      <c r="AF84" s="1">
        <f>AD52+AD63+AE74</f>
        <v>9</v>
      </c>
      <c r="AG84" s="1">
        <f>AE52+AE63+AD74</f>
        <v>2</v>
      </c>
      <c r="AH84" s="1">
        <f>AF84-AG84</f>
        <v>7</v>
      </c>
      <c r="AI84" s="4"/>
      <c r="AJ84" s="4"/>
      <c r="AK84" s="2" t="s">
        <v>73</v>
      </c>
      <c r="AL84" s="1">
        <f>AK54+AK65+AL76</f>
        <v>4</v>
      </c>
      <c r="AM84" s="1">
        <f>AK52+AK63+AL74</f>
        <v>5</v>
      </c>
      <c r="AN84" s="1">
        <f>AL52+AL63+AK74</f>
        <v>4</v>
      </c>
      <c r="AO84" s="1">
        <f>AM84-AN84</f>
        <v>1</v>
      </c>
      <c r="AP84" s="4"/>
    </row>
    <row r="85" spans="1:42" ht="17.399999999999999" customHeight="1" x14ac:dyDescent="0.45">
      <c r="A85" s="37"/>
      <c r="B85" s="2" t="s">
        <v>64</v>
      </c>
      <c r="C85" s="1">
        <f>C54+C70+B81</f>
        <v>4</v>
      </c>
      <c r="D85" s="1">
        <f>C52+C68+B79</f>
        <v>5</v>
      </c>
      <c r="E85" s="1">
        <f>B52+B68+C79</f>
        <v>4</v>
      </c>
      <c r="F85" s="1">
        <f t="shared" ref="F85:F87" si="6">D85-E85</f>
        <v>1</v>
      </c>
      <c r="G85" s="4"/>
      <c r="H85" s="37"/>
      <c r="I85" s="2" t="s">
        <v>66</v>
      </c>
      <c r="J85" s="1">
        <f>J54+J70+I81</f>
        <v>0</v>
      </c>
      <c r="K85" s="1">
        <f>J52+J68+I79</f>
        <v>0</v>
      </c>
      <c r="L85" s="1">
        <f>I52+I68+J79</f>
        <v>5</v>
      </c>
      <c r="M85" s="1">
        <f t="shared" ref="M85:M87" si="7">K85-L85</f>
        <v>-5</v>
      </c>
      <c r="N85" s="4"/>
      <c r="O85" s="13"/>
      <c r="P85" s="2" t="s">
        <v>68</v>
      </c>
      <c r="Q85" s="1">
        <f>Q54+Q70+P81</f>
        <v>4</v>
      </c>
      <c r="R85" s="1">
        <f>Q52+Q68+P79</f>
        <v>5</v>
      </c>
      <c r="S85" s="1">
        <f>P52+P68+Q79</f>
        <v>3</v>
      </c>
      <c r="T85" s="1">
        <f t="shared" ref="T85:T87" si="8">R85-S85</f>
        <v>2</v>
      </c>
      <c r="U85" s="4"/>
      <c r="V85" s="13"/>
      <c r="W85" s="2" t="s">
        <v>70</v>
      </c>
      <c r="X85" s="1">
        <f>X54+X70+W81</f>
        <v>6</v>
      </c>
      <c r="Y85" s="1">
        <f>X52+X68+W79</f>
        <v>8</v>
      </c>
      <c r="Z85" s="1">
        <f>W52+W68+X79</f>
        <v>5</v>
      </c>
      <c r="AA85" s="1">
        <f t="shared" ref="AA85:AA87" si="9">Y85-Z85</f>
        <v>3</v>
      </c>
      <c r="AB85" s="4"/>
      <c r="AC85" s="13"/>
      <c r="AD85" s="2" t="s">
        <v>72</v>
      </c>
      <c r="AE85" s="1">
        <f>AE54+AE70+AD81</f>
        <v>4</v>
      </c>
      <c r="AF85" s="1">
        <f>AE52+AE68+AD79</f>
        <v>6</v>
      </c>
      <c r="AG85" s="1">
        <f>AD52+AD68+AE79</f>
        <v>4</v>
      </c>
      <c r="AH85" s="1">
        <f t="shared" ref="AH85:AH87" si="10">AF85-AG85</f>
        <v>2</v>
      </c>
      <c r="AI85" s="4"/>
      <c r="AJ85" s="4"/>
      <c r="AK85" s="2" t="s">
        <v>74</v>
      </c>
      <c r="AL85" s="1">
        <f>AL54+AL70+AK81</f>
        <v>5</v>
      </c>
      <c r="AM85" s="1">
        <f>AL52+AL68+AK79</f>
        <v>6</v>
      </c>
      <c r="AN85" s="1">
        <f>AK52+AK68+AL79</f>
        <v>5</v>
      </c>
      <c r="AO85" s="1">
        <f t="shared" ref="AO85:AO87" si="11">AM85-AN85</f>
        <v>1</v>
      </c>
      <c r="AP85" s="4"/>
    </row>
    <row r="86" spans="1:42" ht="17.399999999999999" customHeight="1" x14ac:dyDescent="0.45">
      <c r="A86" s="36"/>
      <c r="B86" s="2" t="s">
        <v>75</v>
      </c>
      <c r="C86" s="1">
        <f>B59+C65+C81</f>
        <v>6</v>
      </c>
      <c r="D86" s="1">
        <f>B57+C63+C79</f>
        <v>3</v>
      </c>
      <c r="E86" s="1">
        <f>C57+B63+B79</f>
        <v>2</v>
      </c>
      <c r="F86" s="1">
        <f t="shared" si="6"/>
        <v>1</v>
      </c>
      <c r="G86" s="4"/>
      <c r="H86" s="36"/>
      <c r="I86" s="2" t="s">
        <v>77</v>
      </c>
      <c r="J86" s="1">
        <f>I59+J65+J81</f>
        <v>6</v>
      </c>
      <c r="K86" s="1">
        <f>I57+J63+J79</f>
        <v>3</v>
      </c>
      <c r="L86" s="1">
        <f>J57+I63+I79</f>
        <v>3</v>
      </c>
      <c r="M86" s="1">
        <f t="shared" si="7"/>
        <v>0</v>
      </c>
      <c r="N86" s="4"/>
      <c r="O86" s="13"/>
      <c r="P86" s="2" t="s">
        <v>79</v>
      </c>
      <c r="Q86" s="1">
        <f>P59+Q65+Q81</f>
        <v>1</v>
      </c>
      <c r="R86" s="1">
        <f>P57+Q63+Q79</f>
        <v>1</v>
      </c>
      <c r="S86" s="1">
        <f>Q57+P63+P79</f>
        <v>6</v>
      </c>
      <c r="T86" s="1">
        <f t="shared" si="8"/>
        <v>-5</v>
      </c>
      <c r="U86" s="4"/>
      <c r="V86" s="13"/>
      <c r="W86" s="2" t="s">
        <v>81</v>
      </c>
      <c r="X86" s="1">
        <f>W59+X65+X81</f>
        <v>2</v>
      </c>
      <c r="Y86" s="1">
        <f>W57+X63+X79</f>
        <v>4</v>
      </c>
      <c r="Z86" s="1">
        <f>X57+W63+W79</f>
        <v>6</v>
      </c>
      <c r="AA86" s="1">
        <f t="shared" si="9"/>
        <v>-2</v>
      </c>
      <c r="AB86" s="4"/>
      <c r="AC86" s="13"/>
      <c r="AD86" s="2" t="s">
        <v>83</v>
      </c>
      <c r="AE86" s="1">
        <f>AD59+AE65+AE81</f>
        <v>1</v>
      </c>
      <c r="AF86" s="1">
        <f>AD57+AE63+AE79</f>
        <v>1</v>
      </c>
      <c r="AG86" s="1">
        <f>AE57+AD63+AD79</f>
        <v>7</v>
      </c>
      <c r="AH86" s="1">
        <f t="shared" si="10"/>
        <v>-6</v>
      </c>
      <c r="AI86" s="4"/>
      <c r="AJ86" s="4"/>
      <c r="AK86" s="2" t="s">
        <v>85</v>
      </c>
      <c r="AL86" s="1">
        <f>AK59+AL65+AL81</f>
        <v>5</v>
      </c>
      <c r="AM86" s="1">
        <f>AK57+AL63+AL79</f>
        <v>8</v>
      </c>
      <c r="AN86" s="1">
        <f>AL57+AK63+AK79</f>
        <v>5</v>
      </c>
      <c r="AO86" s="1">
        <f t="shared" si="11"/>
        <v>3</v>
      </c>
      <c r="AP86" s="4"/>
    </row>
    <row r="87" spans="1:42" x14ac:dyDescent="0.45">
      <c r="A87" s="35"/>
      <c r="B87" s="2" t="s">
        <v>76</v>
      </c>
      <c r="C87" s="1">
        <f>C59+B70+B76</f>
        <v>1</v>
      </c>
      <c r="D87" s="1">
        <f>C57+B68+B74</f>
        <v>1</v>
      </c>
      <c r="E87" s="1">
        <f>B57+C68+C74</f>
        <v>4</v>
      </c>
      <c r="F87" s="1">
        <f t="shared" si="6"/>
        <v>-3</v>
      </c>
      <c r="G87" s="4"/>
      <c r="H87" s="35"/>
      <c r="I87" s="2" t="s">
        <v>78</v>
      </c>
      <c r="J87" s="1">
        <f>J59+I70+I76</f>
        <v>3</v>
      </c>
      <c r="K87" s="1">
        <f>J57+I68+I74</f>
        <v>4</v>
      </c>
      <c r="L87" s="1">
        <f>I57+J68+J74</f>
        <v>5</v>
      </c>
      <c r="M87" s="1">
        <f t="shared" si="7"/>
        <v>-1</v>
      </c>
      <c r="N87" s="4"/>
      <c r="O87" s="13"/>
      <c r="P87" s="2" t="s">
        <v>80</v>
      </c>
      <c r="Q87" s="1">
        <f>Q59+P70+P76</f>
        <v>3</v>
      </c>
      <c r="R87" s="1">
        <f>Q57+P68+P74</f>
        <v>2</v>
      </c>
      <c r="S87" s="1">
        <f>P57+Q68+Q74</f>
        <v>2</v>
      </c>
      <c r="T87" s="1">
        <f t="shared" si="8"/>
        <v>0</v>
      </c>
      <c r="U87" s="4"/>
      <c r="V87" s="13"/>
      <c r="W87" s="2" t="s">
        <v>82</v>
      </c>
      <c r="X87" s="1">
        <f>X59+W70+W76</f>
        <v>1</v>
      </c>
      <c r="Y87" s="1">
        <f>X57+W68+W74</f>
        <v>3</v>
      </c>
      <c r="Z87" s="1">
        <f>W57+X68+X74</f>
        <v>6</v>
      </c>
      <c r="AA87" s="1">
        <f t="shared" si="9"/>
        <v>-3</v>
      </c>
      <c r="AB87" s="4"/>
      <c r="AC87" s="13"/>
      <c r="AD87" s="2" t="s">
        <v>84</v>
      </c>
      <c r="AE87" s="1">
        <f>AE59+AD70+AD76</f>
        <v>2</v>
      </c>
      <c r="AF87" s="1">
        <f>AE57+AD68+AD74</f>
        <v>4</v>
      </c>
      <c r="AG87" s="1">
        <f>AD57+AE68+AE74</f>
        <v>7</v>
      </c>
      <c r="AH87" s="1">
        <f t="shared" si="10"/>
        <v>-3</v>
      </c>
      <c r="AI87" s="4"/>
      <c r="AJ87" s="4"/>
      <c r="AK87" s="2" t="s">
        <v>86</v>
      </c>
      <c r="AL87" s="1">
        <f>AL59+AK70+AK76</f>
        <v>1</v>
      </c>
      <c r="AM87" s="1">
        <f>AL57+AK68+AK74</f>
        <v>1</v>
      </c>
      <c r="AN87" s="1">
        <f>AK57+AL68+AL74</f>
        <v>6</v>
      </c>
      <c r="AO87" s="1">
        <f t="shared" si="11"/>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Iran</v>
      </c>
      <c r="C90" s="1" cm="1">
        <f t="array" ref="C90:C93">_xlfn.SORTBY(C84:C87,C84:C87,-1,F84:F87,-1,D84:D87,-1)</f>
        <v>6</v>
      </c>
      <c r="D90" s="1" cm="1">
        <f t="array" ref="D90:D93">_xlfn.SORTBY(D84:D87,C84:C87,-1,F84:F87,-1,D84:D87,-1)</f>
        <v>3</v>
      </c>
      <c r="E90" s="1" cm="1">
        <f t="array" ref="E90:E93">_xlfn.SORTBY(E84:E87,C84:C87,-1,F84:F87,-1,D84:D87,-1)</f>
        <v>2</v>
      </c>
      <c r="F90" s="1" cm="1">
        <f t="array" ref="F90:F93">_xlfn.SORTBY(F84:F87,C84:C87,-1,F84:F87,-1,D84:D87,-1)</f>
        <v>1</v>
      </c>
      <c r="G90" s="4"/>
      <c r="H90" s="33">
        <v>1</v>
      </c>
      <c r="I90" s="2" t="str" cm="1">
        <f t="array" ref="I90:I93">_xlfn.SORTBY(I84:I87,J84:J87,-1,M84:M87,-1,K84:K87,-1)</f>
        <v>Spanien</v>
      </c>
      <c r="J90" s="1" cm="1">
        <f t="array" ref="J90:J93">_xlfn.SORTBY(J84:J87,J84:J87,-1,M84:M87,-1,K84:K87,-1)</f>
        <v>9</v>
      </c>
      <c r="K90" s="1" cm="1">
        <f t="array" ref="K90:K93">_xlfn.SORTBY(K84:K87,J84:J87,-1,M84:M87,-1,K84:K87,-1)</f>
        <v>8</v>
      </c>
      <c r="L90" s="1" cm="1">
        <f t="array" ref="L90:L93">_xlfn.SORTBY(L84:L87,J84:J87,-1,M84:M87,-1,K84:K87,-1)</f>
        <v>2</v>
      </c>
      <c r="M90" s="1" cm="1">
        <f t="array" ref="M90:M93">_xlfn.SORTBY(M84:M87,J84:J87,-1,M84:M87,-1,K84:K87,-1)</f>
        <v>6</v>
      </c>
      <c r="N90" s="4"/>
      <c r="O90" s="33">
        <v>1</v>
      </c>
      <c r="P90" s="2" t="str" cm="1">
        <f t="array" ref="P90:P93">_xlfn.SORTBY(P84:P87,Q84:Q87,-1,T84:T87,-1,R84:R87,-1)</f>
        <v>Frankreich</v>
      </c>
      <c r="Q90" s="1" cm="1">
        <f t="array" ref="Q90:Q93">_xlfn.SORTBY(Q84:Q87,Q84:Q87,-1,T84:T87,-1,R84:R87,-1)</f>
        <v>7</v>
      </c>
      <c r="R90" s="1" cm="1">
        <f t="array" ref="R90:R93">_xlfn.SORTBY(R84:R87,Q84:Q87,-1,T84:T87,-1,R84:R87,-1)</f>
        <v>4</v>
      </c>
      <c r="S90" s="1" cm="1">
        <f t="array" ref="S90:S93">_xlfn.SORTBY(S84:S87,Q84:Q87,-1,T84:T87,-1,R84:R87,-1)</f>
        <v>1</v>
      </c>
      <c r="T90" s="1" cm="1">
        <f t="array" ref="T90:T93">_xlfn.SORTBY(T84:T87,Q84:Q87,-1,T84:T87,-1,R84:R87,-1)</f>
        <v>3</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7</v>
      </c>
      <c r="Z90" s="1" cm="1">
        <f t="array" ref="Z90:Z93">_xlfn.SORTBY(Z84:Z87,X84:X87,-1,AA84:AA87,-1,Y84:Y87,-1)</f>
        <v>5</v>
      </c>
      <c r="AA90" s="1" cm="1">
        <f t="array" ref="AA90:AA93">_xlfn.SORTBY(AA84:AA87,X84:X87,-1,AA84:AA87,-1,Y84:Y87,-1)</f>
        <v>2</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Ghana</v>
      </c>
      <c r="AL90" s="1" cm="1">
        <f t="array" ref="AL90:AL93">_xlfn.SORTBY(AL84:AL87,AL84:AL87,-1,AO84:AO87,-1,AM84:AM87,-1)</f>
        <v>5</v>
      </c>
      <c r="AM90" s="1" cm="1">
        <f t="array" ref="AM90:AM93">_xlfn.SORTBY(AM84:AM87,AL84:AL87,-1,AO84:AO87,-1,AM84:AM87,-1)</f>
        <v>8</v>
      </c>
      <c r="AN90" s="1" cm="1">
        <f t="array" ref="AN90:AN93">_xlfn.SORTBY(AN84:AN87,AL84:AL87,-1,AO84:AO87,-1,AM84:AM87,-1)</f>
        <v>5</v>
      </c>
      <c r="AO90" s="1" cm="1">
        <f t="array" ref="AO90:AO93">_xlfn.SORTBY(AO84:AO87,AL84:AL87,-1,AO84:AO87,-1,AM84:AM87,-1)</f>
        <v>3</v>
      </c>
      <c r="AP90" s="4"/>
    </row>
    <row r="91" spans="1:42" x14ac:dyDescent="0.45">
      <c r="A91" s="33">
        <v>2</v>
      </c>
      <c r="B91" s="2" t="str">
        <v>Belgien</v>
      </c>
      <c r="C91" s="1">
        <v>5</v>
      </c>
      <c r="D91" s="1">
        <v>4</v>
      </c>
      <c r="E91" s="1">
        <v>3</v>
      </c>
      <c r="F91" s="1">
        <v>1</v>
      </c>
      <c r="G91" s="4"/>
      <c r="H91" s="33">
        <v>2</v>
      </c>
      <c r="I91" s="2" t="str">
        <v>Saudi-Arabien</v>
      </c>
      <c r="J91" s="1">
        <v>6</v>
      </c>
      <c r="K91" s="1">
        <v>3</v>
      </c>
      <c r="L91" s="1">
        <v>3</v>
      </c>
      <c r="M91" s="1">
        <v>0</v>
      </c>
      <c r="N91" s="4"/>
      <c r="O91" s="33">
        <v>2</v>
      </c>
      <c r="P91" s="2" t="str">
        <v>Senegal</v>
      </c>
      <c r="Q91" s="1">
        <v>4</v>
      </c>
      <c r="R91" s="1">
        <v>5</v>
      </c>
      <c r="S91" s="1">
        <v>3</v>
      </c>
      <c r="T91" s="1">
        <v>2</v>
      </c>
      <c r="U91" s="4"/>
      <c r="V91" s="33">
        <v>2</v>
      </c>
      <c r="W91" s="2" t="str">
        <v>Algerien</v>
      </c>
      <c r="X91" s="1">
        <v>6</v>
      </c>
      <c r="Y91" s="1">
        <v>8</v>
      </c>
      <c r="Z91" s="1">
        <v>5</v>
      </c>
      <c r="AA91" s="1">
        <v>3</v>
      </c>
      <c r="AB91" s="4"/>
      <c r="AC91" s="33">
        <v>2</v>
      </c>
      <c r="AD91" s="2" t="str">
        <v>DR Kongo</v>
      </c>
      <c r="AE91" s="1">
        <v>4</v>
      </c>
      <c r="AF91" s="1">
        <v>6</v>
      </c>
      <c r="AG91" s="1">
        <v>4</v>
      </c>
      <c r="AH91" s="1">
        <v>2</v>
      </c>
      <c r="AI91" s="4"/>
      <c r="AJ91" s="33">
        <v>2</v>
      </c>
      <c r="AK91" s="2" t="str">
        <v>Kroatien</v>
      </c>
      <c r="AL91" s="1">
        <v>5</v>
      </c>
      <c r="AM91" s="1">
        <v>6</v>
      </c>
      <c r="AN91" s="1">
        <v>5</v>
      </c>
      <c r="AO91" s="1">
        <v>1</v>
      </c>
      <c r="AP91" s="4"/>
    </row>
    <row r="92" spans="1:42" x14ac:dyDescent="0.45">
      <c r="A92" s="34">
        <v>3</v>
      </c>
      <c r="B92" s="2" t="str">
        <v>Ägypten</v>
      </c>
      <c r="C92" s="1">
        <v>4</v>
      </c>
      <c r="D92" s="1">
        <v>5</v>
      </c>
      <c r="E92" s="1">
        <v>4</v>
      </c>
      <c r="F92" s="1">
        <v>1</v>
      </c>
      <c r="G92" s="4"/>
      <c r="H92" s="34">
        <v>3</v>
      </c>
      <c r="I92" s="2" t="str">
        <v>Uruguay</v>
      </c>
      <c r="J92" s="1">
        <v>3</v>
      </c>
      <c r="K92" s="1">
        <v>4</v>
      </c>
      <c r="L92" s="1">
        <v>5</v>
      </c>
      <c r="M92" s="1">
        <v>-1</v>
      </c>
      <c r="N92" s="4"/>
      <c r="O92" s="34">
        <v>3</v>
      </c>
      <c r="P92" s="2" t="str">
        <v>Norwegen</v>
      </c>
      <c r="Q92" s="1">
        <v>3</v>
      </c>
      <c r="R92" s="1">
        <v>2</v>
      </c>
      <c r="S92" s="1">
        <v>2</v>
      </c>
      <c r="T92" s="1">
        <v>0</v>
      </c>
      <c r="U92" s="4"/>
      <c r="V92" s="34">
        <v>3</v>
      </c>
      <c r="W92" s="2" t="str">
        <v>Österreich</v>
      </c>
      <c r="X92" s="1">
        <v>2</v>
      </c>
      <c r="Y92" s="1">
        <v>4</v>
      </c>
      <c r="Z92" s="1">
        <v>6</v>
      </c>
      <c r="AA92" s="1">
        <v>-2</v>
      </c>
      <c r="AB92" s="4"/>
      <c r="AC92" s="34">
        <v>3</v>
      </c>
      <c r="AD92" s="2" t="str">
        <v>Kolumbien</v>
      </c>
      <c r="AE92" s="1">
        <v>2</v>
      </c>
      <c r="AF92" s="1">
        <v>4</v>
      </c>
      <c r="AG92" s="1">
        <v>7</v>
      </c>
      <c r="AH92" s="1">
        <v>-3</v>
      </c>
      <c r="AI92" s="4"/>
      <c r="AJ92" s="34">
        <v>3</v>
      </c>
      <c r="AK92" s="2" t="str">
        <v>England</v>
      </c>
      <c r="AL92" s="1">
        <v>4</v>
      </c>
      <c r="AM92" s="1">
        <v>5</v>
      </c>
      <c r="AN92" s="1">
        <v>4</v>
      </c>
      <c r="AO92" s="1">
        <v>1</v>
      </c>
      <c r="AP92" s="4"/>
    </row>
    <row r="93" spans="1:42" x14ac:dyDescent="0.45">
      <c r="A93" s="32">
        <v>4</v>
      </c>
      <c r="B93" s="2" t="str">
        <v>Neuseeland</v>
      </c>
      <c r="C93" s="1">
        <v>1</v>
      </c>
      <c r="D93" s="1">
        <v>1</v>
      </c>
      <c r="E93" s="1">
        <v>4</v>
      </c>
      <c r="F93" s="1">
        <v>-3</v>
      </c>
      <c r="G93" s="4"/>
      <c r="H93" s="32">
        <v>4</v>
      </c>
      <c r="I93" s="2" t="str">
        <v>Kap Verde</v>
      </c>
      <c r="J93" s="1">
        <v>0</v>
      </c>
      <c r="K93" s="1">
        <v>0</v>
      </c>
      <c r="L93" s="1">
        <v>5</v>
      </c>
      <c r="M93" s="1">
        <v>-5</v>
      </c>
      <c r="N93" s="4"/>
      <c r="O93" s="32">
        <v>4</v>
      </c>
      <c r="P93" s="2" t="str">
        <v>Irak</v>
      </c>
      <c r="Q93" s="1">
        <v>1</v>
      </c>
      <c r="R93" s="1">
        <v>1</v>
      </c>
      <c r="S93" s="1">
        <v>6</v>
      </c>
      <c r="T93" s="1">
        <v>-5</v>
      </c>
      <c r="U93" s="4"/>
      <c r="V93" s="32">
        <v>4</v>
      </c>
      <c r="W93" s="2" t="str">
        <v>Jordanien</v>
      </c>
      <c r="X93" s="1">
        <v>1</v>
      </c>
      <c r="Y93" s="1">
        <v>3</v>
      </c>
      <c r="Z93" s="1">
        <v>6</v>
      </c>
      <c r="AA93" s="1">
        <v>-3</v>
      </c>
      <c r="AB93" s="4"/>
      <c r="AC93" s="32">
        <v>4</v>
      </c>
      <c r="AD93" s="2" t="str">
        <v>Usbekistan</v>
      </c>
      <c r="AE93" s="1">
        <v>1</v>
      </c>
      <c r="AF93" s="1">
        <v>1</v>
      </c>
      <c r="AG93" s="1">
        <v>7</v>
      </c>
      <c r="AH93" s="1">
        <v>-6</v>
      </c>
      <c r="AI93" s="4"/>
      <c r="AJ93" s="32">
        <v>4</v>
      </c>
      <c r="AK93" s="2" t="str">
        <v>Panama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Ägypten</v>
      </c>
      <c r="S98" s="82"/>
      <c r="T98" s="82"/>
      <c r="U98" s="2">
        <f>C92</f>
        <v>4</v>
      </c>
      <c r="V98" s="2">
        <f>D92</f>
        <v>5</v>
      </c>
      <c r="W98" s="2">
        <f>E92</f>
        <v>4</v>
      </c>
      <c r="X98" s="2">
        <f>F92</f>
        <v>1</v>
      </c>
    </row>
    <row r="99" spans="17:24" x14ac:dyDescent="0.45">
      <c r="Q99"/>
      <c r="R99" s="82" t="str">
        <f>I92</f>
        <v>Uruguay</v>
      </c>
      <c r="S99" s="82"/>
      <c r="T99" s="82"/>
      <c r="U99" s="2">
        <f>J92</f>
        <v>3</v>
      </c>
      <c r="V99" s="2">
        <f>K92</f>
        <v>4</v>
      </c>
      <c r="W99" s="2">
        <f>L92</f>
        <v>5</v>
      </c>
      <c r="X99" s="2">
        <f>M92</f>
        <v>-1</v>
      </c>
    </row>
    <row r="100" spans="17:24" x14ac:dyDescent="0.45">
      <c r="Q100"/>
      <c r="R100" s="82" t="str">
        <f>P92</f>
        <v>Norwegen</v>
      </c>
      <c r="S100" s="82"/>
      <c r="T100" s="82"/>
      <c r="U100" s="2">
        <f>Q92</f>
        <v>3</v>
      </c>
      <c r="V100" s="2">
        <f>R92</f>
        <v>2</v>
      </c>
      <c r="W100" s="2">
        <f>S92</f>
        <v>2</v>
      </c>
      <c r="X100" s="2">
        <f>T92</f>
        <v>0</v>
      </c>
    </row>
    <row r="101" spans="17:24" x14ac:dyDescent="0.45">
      <c r="Q101"/>
      <c r="R101" s="82" t="str">
        <f>W92</f>
        <v>Österreich</v>
      </c>
      <c r="S101" s="82"/>
      <c r="T101" s="82"/>
      <c r="U101" s="2">
        <f>X92</f>
        <v>2</v>
      </c>
      <c r="V101" s="2">
        <f>Y92</f>
        <v>4</v>
      </c>
      <c r="W101" s="2">
        <f>Z92</f>
        <v>6</v>
      </c>
      <c r="X101" s="2">
        <f>AA92</f>
        <v>-2</v>
      </c>
    </row>
    <row r="102" spans="17:24" x14ac:dyDescent="0.45">
      <c r="Q102"/>
      <c r="R102" s="82" t="str">
        <f>AD92</f>
        <v>Kolumbien</v>
      </c>
      <c r="S102" s="82"/>
      <c r="T102" s="82"/>
      <c r="U102" s="2">
        <f>AE92</f>
        <v>2</v>
      </c>
      <c r="V102" s="2">
        <f>AF92</f>
        <v>4</v>
      </c>
      <c r="W102" s="2">
        <f>AG92</f>
        <v>7</v>
      </c>
      <c r="X102" s="2">
        <f t="shared" ref="X102" si="12">AH92</f>
        <v>-3</v>
      </c>
    </row>
    <row r="103" spans="17:24" x14ac:dyDescent="0.45">
      <c r="Q103"/>
      <c r="R103" s="82" t="str">
        <f>AK92</f>
        <v>England</v>
      </c>
      <c r="S103" s="82"/>
      <c r="T103" s="82"/>
      <c r="U103" s="2">
        <f>AL92</f>
        <v>4</v>
      </c>
      <c r="V103" s="2">
        <f t="shared" ref="V103:X103" si="13">AM92</f>
        <v>5</v>
      </c>
      <c r="W103" s="2">
        <f t="shared" si="13"/>
        <v>4</v>
      </c>
      <c r="X103" s="2">
        <f t="shared" si="13"/>
        <v>1</v>
      </c>
    </row>
    <row r="104" spans="17:24" x14ac:dyDescent="0.45">
      <c r="R104" s="82" t="str">
        <f>B45</f>
        <v>Tschechien</v>
      </c>
      <c r="S104" s="82"/>
      <c r="T104" s="82"/>
      <c r="U104" s="2">
        <f>C45</f>
        <v>5</v>
      </c>
      <c r="V104" s="2">
        <f t="shared" ref="V104:X104" si="14">D45</f>
        <v>4</v>
      </c>
      <c r="W104" s="2">
        <f t="shared" si="14"/>
        <v>3</v>
      </c>
      <c r="X104" s="2">
        <f t="shared" si="14"/>
        <v>1</v>
      </c>
    </row>
    <row r="105" spans="17:24" x14ac:dyDescent="0.45">
      <c r="R105" s="82" t="str">
        <f>I45</f>
        <v>Kanada</v>
      </c>
      <c r="S105" s="82"/>
      <c r="T105" s="82"/>
      <c r="U105" s="2">
        <f>J45</f>
        <v>3</v>
      </c>
      <c r="V105" s="2">
        <f t="shared" ref="V105:X105" si="15">K45</f>
        <v>3</v>
      </c>
      <c r="W105" s="2">
        <f t="shared" si="15"/>
        <v>5</v>
      </c>
      <c r="X105" s="2">
        <f t="shared" si="15"/>
        <v>-2</v>
      </c>
    </row>
    <row r="106" spans="17:24" x14ac:dyDescent="0.45">
      <c r="R106" s="82" t="str">
        <f>P45</f>
        <v>Schottland</v>
      </c>
      <c r="S106" s="82"/>
      <c r="T106" s="82"/>
      <c r="U106" s="2">
        <f>Q45</f>
        <v>4</v>
      </c>
      <c r="V106" s="2">
        <f t="shared" ref="V106:X106" si="16">R45</f>
        <v>3</v>
      </c>
      <c r="W106" s="2">
        <f t="shared" si="16"/>
        <v>3</v>
      </c>
      <c r="X106" s="2">
        <f t="shared" si="16"/>
        <v>0</v>
      </c>
    </row>
    <row r="107" spans="17:24" x14ac:dyDescent="0.45">
      <c r="R107" s="82" t="str">
        <f>W45</f>
        <v>Paraguay</v>
      </c>
      <c r="S107" s="82"/>
      <c r="T107" s="82"/>
      <c r="U107" s="2">
        <f>X45</f>
        <v>3</v>
      </c>
      <c r="V107" s="2">
        <f t="shared" ref="V107:W107" si="17">Y45</f>
        <v>5</v>
      </c>
      <c r="W107" s="2">
        <f t="shared" si="17"/>
        <v>7</v>
      </c>
      <c r="X107" s="2">
        <f>AA45</f>
        <v>-2</v>
      </c>
    </row>
    <row r="108" spans="17:24" x14ac:dyDescent="0.45">
      <c r="R108" s="82" t="str">
        <f>AD45</f>
        <v>Elfenbeinküste</v>
      </c>
      <c r="S108" s="82"/>
      <c r="T108" s="82"/>
      <c r="U108" s="2">
        <f>AE45</f>
        <v>3</v>
      </c>
      <c r="V108" s="2">
        <f t="shared" ref="V108:X108" si="18">AF45</f>
        <v>6</v>
      </c>
      <c r="W108" s="2">
        <f t="shared" si="18"/>
        <v>5</v>
      </c>
      <c r="X108" s="2">
        <f t="shared" si="18"/>
        <v>1</v>
      </c>
    </row>
    <row r="109" spans="17:24" x14ac:dyDescent="0.45">
      <c r="R109" s="82" t="str">
        <f>AK45</f>
        <v>Japan</v>
      </c>
      <c r="S109" s="82"/>
      <c r="T109" s="82"/>
      <c r="U109" s="2">
        <f>AL45</f>
        <v>4</v>
      </c>
      <c r="V109" s="2">
        <f t="shared" ref="V109:W109" si="19">AM45</f>
        <v>4</v>
      </c>
      <c r="W109" s="2">
        <f t="shared" si="19"/>
        <v>4</v>
      </c>
      <c r="X109" s="2">
        <f>AO45</f>
        <v>0</v>
      </c>
    </row>
    <row r="112" spans="17:24" x14ac:dyDescent="0.45">
      <c r="Q112" s="33">
        <v>1</v>
      </c>
      <c r="R112" s="2" t="str" cm="1">
        <f t="array" ref="R112:R123">_xlfn.SORTBY(R98:R109,U98:U109,-1,X98:X109,-1,V98:V109,-1)</f>
        <v>Tschechien</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Ägypten</v>
      </c>
      <c r="U113" s="2">
        <v>4</v>
      </c>
      <c r="V113" s="2">
        <v>5</v>
      </c>
      <c r="W113" s="2">
        <v>4</v>
      </c>
      <c r="X113" s="2">
        <v>1</v>
      </c>
    </row>
    <row r="114" spans="17:24" x14ac:dyDescent="0.45">
      <c r="Q114" s="33">
        <v>3</v>
      </c>
      <c r="R114" s="2" t="str">
        <v>England</v>
      </c>
      <c r="U114" s="2">
        <v>4</v>
      </c>
      <c r="V114" s="2">
        <v>5</v>
      </c>
      <c r="W114" s="2">
        <v>4</v>
      </c>
      <c r="X114" s="2">
        <v>1</v>
      </c>
    </row>
    <row r="115" spans="17:24" x14ac:dyDescent="0.45">
      <c r="Q115" s="33">
        <v>4</v>
      </c>
      <c r="R115" s="2" t="str">
        <v>Japan</v>
      </c>
      <c r="U115" s="2">
        <v>4</v>
      </c>
      <c r="V115" s="2">
        <v>4</v>
      </c>
      <c r="W115" s="2">
        <v>4</v>
      </c>
      <c r="X115" s="2">
        <v>0</v>
      </c>
    </row>
    <row r="116" spans="17:24" x14ac:dyDescent="0.45">
      <c r="Q116" s="33">
        <v>5</v>
      </c>
      <c r="R116" s="2" t="str">
        <v>Schottland</v>
      </c>
      <c r="U116" s="2">
        <v>4</v>
      </c>
      <c r="V116" s="2">
        <v>3</v>
      </c>
      <c r="W116" s="2">
        <v>3</v>
      </c>
      <c r="X116" s="2">
        <v>0</v>
      </c>
    </row>
    <row r="117" spans="17:24" x14ac:dyDescent="0.45">
      <c r="Q117" s="33">
        <v>6</v>
      </c>
      <c r="R117" s="2" t="str">
        <v>Elfenbeinküste</v>
      </c>
      <c r="U117" s="2">
        <v>3</v>
      </c>
      <c r="V117" s="2">
        <v>6</v>
      </c>
      <c r="W117" s="2">
        <v>5</v>
      </c>
      <c r="X117" s="2">
        <v>1</v>
      </c>
    </row>
    <row r="118" spans="17:24" x14ac:dyDescent="0.45">
      <c r="Q118" s="33">
        <v>7</v>
      </c>
      <c r="R118" s="2" t="str">
        <v>Norwegen</v>
      </c>
      <c r="U118" s="2">
        <v>3</v>
      </c>
      <c r="V118" s="2">
        <v>2</v>
      </c>
      <c r="W118" s="2">
        <v>2</v>
      </c>
      <c r="X118" s="2">
        <v>0</v>
      </c>
    </row>
    <row r="119" spans="17:24" x14ac:dyDescent="0.45">
      <c r="Q119" s="33">
        <v>8</v>
      </c>
      <c r="R119" s="2" t="str">
        <v>Uruguay</v>
      </c>
      <c r="U119" s="2">
        <v>3</v>
      </c>
      <c r="V119" s="2">
        <v>4</v>
      </c>
      <c r="W119" s="2">
        <v>5</v>
      </c>
      <c r="X119" s="2">
        <v>-1</v>
      </c>
    </row>
    <row r="120" spans="17:24" x14ac:dyDescent="0.45">
      <c r="Q120" s="32">
        <v>9</v>
      </c>
      <c r="R120" s="2" t="str">
        <v>Paraguay</v>
      </c>
      <c r="U120" s="2">
        <v>3</v>
      </c>
      <c r="V120" s="2">
        <v>5</v>
      </c>
      <c r="W120" s="2">
        <v>7</v>
      </c>
      <c r="X120" s="2">
        <v>-2</v>
      </c>
    </row>
    <row r="121" spans="17:24" x14ac:dyDescent="0.45">
      <c r="Q121" s="32">
        <v>10</v>
      </c>
      <c r="R121" s="2" t="str">
        <v>Kanada</v>
      </c>
      <c r="U121" s="2">
        <v>3</v>
      </c>
      <c r="V121" s="2">
        <v>3</v>
      </c>
      <c r="W121" s="2">
        <v>5</v>
      </c>
      <c r="X121" s="2">
        <v>-2</v>
      </c>
    </row>
    <row r="122" spans="17:24" x14ac:dyDescent="0.45">
      <c r="Q122" s="32">
        <v>11</v>
      </c>
      <c r="R122" s="2" t="str">
        <v>Österreich</v>
      </c>
      <c r="U122" s="2">
        <v>2</v>
      </c>
      <c r="V122" s="2">
        <v>4</v>
      </c>
      <c r="W122" s="2">
        <v>6</v>
      </c>
      <c r="X122" s="2">
        <v>-2</v>
      </c>
    </row>
    <row r="123" spans="17:24" x14ac:dyDescent="0.45">
      <c r="Q123" s="32">
        <v>12</v>
      </c>
      <c r="R123" s="2" t="str">
        <v>Kolumbien</v>
      </c>
      <c r="U123" s="2">
        <v>2</v>
      </c>
      <c r="V123" s="2">
        <v>4</v>
      </c>
      <c r="W123" s="2">
        <v>7</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170</v>
      </c>
    </row>
    <row r="155" spans="1:23" x14ac:dyDescent="0.45">
      <c r="A155" s="23" t="s">
        <v>103</v>
      </c>
      <c r="B155" s="24">
        <f>SUM(H160:H231)</f>
        <v>198</v>
      </c>
    </row>
    <row r="156" spans="1:23" x14ac:dyDescent="0.45">
      <c r="A156" s="23" t="s">
        <v>104</v>
      </c>
      <c r="B156" s="24">
        <f>SUM(E234:E265)</f>
        <v>125</v>
      </c>
    </row>
    <row r="157" spans="1:23" x14ac:dyDescent="0.45">
      <c r="A157" s="25" t="s">
        <v>105</v>
      </c>
      <c r="B157" s="26">
        <f>B154+B155+B156</f>
        <v>493</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0</v>
      </c>
      <c r="H163" s="28">
        <f>IF(OR(B21="",Realität!B21=""),0,MAX(0,5-ABS(B21-Realität!B21)-ABS(C21-Realität!C21)))</f>
        <v>2</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0</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4</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5</v>
      </c>
      <c r="H172" s="28">
        <f>IF(OR(P5="",Realität!P5=""),0,MAX(0,5-ABS(P5-Realität!P5)-ABS(Q5-Realität!Q5)))</f>
        <v>3</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0</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1</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3</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3</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3</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1</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1</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4</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2</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1</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4</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0</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5</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5</v>
      </c>
    </row>
    <row r="200" spans="1:8" x14ac:dyDescent="0.45">
      <c r="A200" s="28">
        <v>41</v>
      </c>
      <c r="B200" s="29" t="s">
        <v>233</v>
      </c>
      <c r="C200" s="30" t="s">
        <v>234</v>
      </c>
      <c r="D200" s="30" t="s">
        <v>235</v>
      </c>
      <c r="E200" s="28">
        <f>Realität!B74</f>
        <v>1</v>
      </c>
      <c r="F200" s="28">
        <f>Realität!C74</f>
        <v>5</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4</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3</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1</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4</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0</v>
      </c>
      <c r="H209" s="28">
        <f>IF(OR(P57="",Realität!P57=""),0,MAX(0,5-ABS(P57-Realität!P57)-ABS(Q57-Realität!Q57)))</f>
        <v>2</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3</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0</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3</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4</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0</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0</v>
      </c>
      <c r="H223" s="28">
        <f>IF(OR(AD68="",Realität!AD68=""),0,MAX(0,5-ABS(AD68-Realität!AD68)-ABS(AE68-Realität!AE68)))</f>
        <v>2</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4</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0</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5</v>
      </c>
      <c r="H228" s="28">
        <f>IF(OR(AK63="",Realität!AK63=""),0,MAX(0,5-ABS(AK63-Realität!AK63)-ABS(AL63-Realität!AL63)))</f>
        <v>1</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0</v>
      </c>
      <c r="H229" s="28">
        <f>IF(OR(AK68="",Realität!AK68=""),0,MAX(0,5-ABS(AK68-Realität!AK68)-ABS(AL68-Realität!AL68)))</f>
        <v>4</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0</v>
      </c>
      <c r="H231" s="28">
        <f>IF(OR(AK79="",Realität!AK79=""),0,MAX(0,5-ABS(AK79-Realität!AK79)-ABS(AL79-Realität!AL79)))</f>
        <v>2</v>
      </c>
    </row>
    <row r="232" spans="1:8" x14ac:dyDescent="0.45">
      <c r="A232" s="31" t="s">
        <v>329</v>
      </c>
      <c r="F232" s="23" t="s">
        <v>330</v>
      </c>
      <c r="G232" s="24">
        <f>SUM(G160:G231)</f>
        <v>170</v>
      </c>
      <c r="H232" s="24">
        <f>SUM(H160:H231)</f>
        <v>198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Bosnien-Herz.</v>
      </c>
      <c r="E236" s="28">
        <f t="shared" si="20"/>
        <v>5</v>
      </c>
    </row>
    <row r="237" spans="1:8" x14ac:dyDescent="0.45">
      <c r="A237" s="28">
        <v>4</v>
      </c>
      <c r="B237" s="29" t="s">
        <v>337</v>
      </c>
      <c r="C237" s="29" t="str">
        <f>Realität!I44</f>
        <v>Kanada</v>
      </c>
      <c r="D237" s="29" t="str">
        <f>I44</f>
        <v>Schweiz</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Australien</v>
      </c>
      <c r="D241" s="29" t="str">
        <f>W44</f>
        <v>USA</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Ecuador</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Schweden</v>
      </c>
      <c r="E245" s="28">
        <f t="shared" si="20"/>
        <v>5</v>
      </c>
    </row>
    <row r="246" spans="1:5" x14ac:dyDescent="0.45">
      <c r="A246" s="28">
        <v>13</v>
      </c>
      <c r="B246" s="29" t="s">
        <v>346</v>
      </c>
      <c r="C246" s="29" t="str">
        <f>Realität!B90</f>
        <v>Belgien</v>
      </c>
      <c r="D246" s="29" t="str">
        <f>B90</f>
        <v>Iran</v>
      </c>
      <c r="E246" s="28">
        <f t="shared" si="20"/>
        <v>0</v>
      </c>
    </row>
    <row r="247" spans="1:5" x14ac:dyDescent="0.45">
      <c r="A247" s="28">
        <v>14</v>
      </c>
      <c r="B247" s="29" t="s">
        <v>347</v>
      </c>
      <c r="C247" s="29" t="str">
        <f>Realität!B91</f>
        <v>Ägypten</v>
      </c>
      <c r="D247" s="29" t="str">
        <f>B91</f>
        <v>Belgien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Saudi-Arabien</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Algerien</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DR Kongo</v>
      </c>
      <c r="E255" s="28">
        <f t="shared" si="20"/>
        <v>5</v>
      </c>
    </row>
    <row r="256" spans="1:5" x14ac:dyDescent="0.45">
      <c r="A256" s="28">
        <v>23</v>
      </c>
      <c r="B256" s="29" t="s">
        <v>356</v>
      </c>
      <c r="C256" s="29" t="str">
        <f>Realität!AK90</f>
        <v>England</v>
      </c>
      <c r="D256" s="29" t="str">
        <f>AK90</f>
        <v>Ghana</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Tschechien</v>
      </c>
      <c r="E258" s="28">
        <f t="shared" si="20"/>
        <v>0</v>
      </c>
    </row>
    <row r="259" spans="1:5" x14ac:dyDescent="0.45">
      <c r="A259" s="28">
        <v>26</v>
      </c>
      <c r="B259" s="29" t="s">
        <v>359</v>
      </c>
      <c r="C259" s="29" t="str">
        <f>Realität!R113</f>
        <v>Schweden</v>
      </c>
      <c r="D259" s="29" t="str">
        <f t="shared" si="21"/>
        <v>Ägypten</v>
      </c>
      <c r="E259" s="28">
        <f t="shared" si="20"/>
        <v>5</v>
      </c>
    </row>
    <row r="260" spans="1:5" x14ac:dyDescent="0.45">
      <c r="A260" s="28">
        <v>27</v>
      </c>
      <c r="B260" s="29" t="s">
        <v>360</v>
      </c>
      <c r="C260" s="29" t="str">
        <f>Realität!R114</f>
        <v>Ghana</v>
      </c>
      <c r="D260" s="29" t="str">
        <f t="shared" si="21"/>
        <v>England</v>
      </c>
      <c r="E260" s="28">
        <f t="shared" si="20"/>
        <v>5</v>
      </c>
    </row>
    <row r="261" spans="1:5" x14ac:dyDescent="0.45">
      <c r="A261" s="28">
        <v>28</v>
      </c>
      <c r="B261" s="29" t="s">
        <v>361</v>
      </c>
      <c r="C261" s="29" t="str">
        <f>Realität!R115</f>
        <v>Ecuador</v>
      </c>
      <c r="D261" s="29" t="str">
        <f t="shared" si="21"/>
        <v>Japan</v>
      </c>
      <c r="E261" s="28">
        <f t="shared" si="20"/>
        <v>5</v>
      </c>
    </row>
    <row r="262" spans="1:5" x14ac:dyDescent="0.45">
      <c r="A262" s="28">
        <v>29</v>
      </c>
      <c r="B262" s="29" t="s">
        <v>362</v>
      </c>
      <c r="C262" s="29" t="str">
        <f>Realität!R116</f>
        <v>Bosnien-Herz.</v>
      </c>
      <c r="D262" s="29" t="str">
        <f t="shared" si="21"/>
        <v>Schottland</v>
      </c>
      <c r="E262" s="28">
        <f t="shared" si="20"/>
        <v>0</v>
      </c>
    </row>
    <row r="263" spans="1:5" x14ac:dyDescent="0.45">
      <c r="A263" s="28">
        <v>30</v>
      </c>
      <c r="B263" s="29" t="s">
        <v>363</v>
      </c>
      <c r="C263" s="29" t="str">
        <f>Realität!R117</f>
        <v>Algerien</v>
      </c>
      <c r="D263" s="29" t="str">
        <f t="shared" si="21"/>
        <v>Elfenbeinküste</v>
      </c>
      <c r="E263" s="28">
        <f t="shared" si="20"/>
        <v>5</v>
      </c>
    </row>
    <row r="264" spans="1:5" x14ac:dyDescent="0.45">
      <c r="A264" s="28">
        <v>31</v>
      </c>
      <c r="B264" s="29" t="s">
        <v>364</v>
      </c>
      <c r="C264" s="29" t="str">
        <f>Realität!R118</f>
        <v>Paraguay</v>
      </c>
      <c r="D264" s="29" t="str">
        <f t="shared" si="21"/>
        <v>Norwegen</v>
      </c>
      <c r="E264" s="28">
        <f t="shared" si="20"/>
        <v>5</v>
      </c>
    </row>
    <row r="265" spans="1:5" x14ac:dyDescent="0.45">
      <c r="A265" s="28">
        <v>32</v>
      </c>
      <c r="B265" s="29" t="s">
        <v>365</v>
      </c>
      <c r="C265" s="29" t="str">
        <f>Realität!R119</f>
        <v>Senegal</v>
      </c>
      <c r="D265" s="29" t="str">
        <f t="shared" si="21"/>
        <v>Uruguay</v>
      </c>
      <c r="E265" s="28">
        <f t="shared" si="20"/>
        <v>0</v>
      </c>
    </row>
    <row r="266" spans="1:5" x14ac:dyDescent="0.45">
      <c r="D266" s="23" t="s">
        <v>330</v>
      </c>
      <c r="E266" s="24">
        <f>SUM(E234:E265)</f>
        <v>125</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2F12-D604-4E5F-9091-45E651BE0FE1}">
  <dimension ref="A1:AP266"/>
  <sheetViews>
    <sheetView topLeftCell="A145" workbookViewId="0">
      <selection activeCell="C162" sqref="C162"/>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0</v>
      </c>
      <c r="K5" s="4"/>
      <c r="L5" s="4"/>
      <c r="M5" s="4"/>
      <c r="N5" s="4"/>
      <c r="O5" s="4"/>
      <c r="P5" s="38">
        <v>1</v>
      </c>
      <c r="Q5" s="38">
        <v>2</v>
      </c>
      <c r="R5" s="4"/>
      <c r="S5" s="4"/>
      <c r="T5" s="4"/>
      <c r="U5" s="4"/>
      <c r="V5" s="4"/>
      <c r="W5" s="38">
        <v>2</v>
      </c>
      <c r="X5" s="38">
        <v>0</v>
      </c>
      <c r="Y5" s="4"/>
      <c r="Z5" s="4"/>
      <c r="AA5" s="4"/>
      <c r="AB5" s="4"/>
      <c r="AC5" s="4"/>
      <c r="AD5" s="38">
        <v>3</v>
      </c>
      <c r="AE5" s="38">
        <v>0</v>
      </c>
      <c r="AF5" s="4"/>
      <c r="AG5" s="4"/>
      <c r="AH5" s="4"/>
      <c r="AI5" s="4"/>
      <c r="AJ5" s="4"/>
      <c r="AK5" s="38">
        <v>1</v>
      </c>
      <c r="AL5" s="38">
        <v>0</v>
      </c>
      <c r="AM5" s="4"/>
      <c r="AN5" s="4"/>
      <c r="AO5" s="4"/>
      <c r="AP5" s="4"/>
    </row>
    <row r="6" spans="1:42" x14ac:dyDescent="0.45">
      <c r="A6" s="4"/>
      <c r="B6" s="80" t="str">
        <f>IF(B5=C5,"Unentschieden",IF(B5&gt;C5,B4,C4))</f>
        <v>Mexiko</v>
      </c>
      <c r="C6" s="80"/>
      <c r="D6" s="4"/>
      <c r="E6" s="4"/>
      <c r="F6" s="4"/>
      <c r="G6" s="4"/>
      <c r="H6" s="4"/>
      <c r="I6" s="80" t="str">
        <f>IF(I5=J5,"Unentschieden",IF(I5&gt;J5,I4,J4))</f>
        <v>Kanada</v>
      </c>
      <c r="J6" s="80"/>
      <c r="K6" s="4"/>
      <c r="L6" s="4"/>
      <c r="M6" s="4"/>
      <c r="N6" s="4"/>
      <c r="O6" s="4"/>
      <c r="P6" s="80" t="str">
        <f>IF(P5=Q5,"Unentschieden",IF(P5&gt;Q5,P4,Q4))</f>
        <v>Marokko</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v>3</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0</v>
      </c>
      <c r="D10" s="4"/>
      <c r="E10" s="4"/>
      <c r="F10" s="4"/>
      <c r="G10" s="4"/>
      <c r="H10" s="4"/>
      <c r="I10" s="38">
        <v>0</v>
      </c>
      <c r="J10" s="38">
        <v>1</v>
      </c>
      <c r="K10" s="4"/>
      <c r="L10" s="4"/>
      <c r="M10" s="4"/>
      <c r="N10" s="4"/>
      <c r="O10" s="4"/>
      <c r="P10" s="38">
        <v>0</v>
      </c>
      <c r="Q10" s="38">
        <v>1</v>
      </c>
      <c r="R10" s="4"/>
      <c r="S10" s="4"/>
      <c r="T10" s="4"/>
      <c r="U10" s="4"/>
      <c r="V10" s="4"/>
      <c r="W10" s="38">
        <v>2</v>
      </c>
      <c r="X10" s="38">
        <v>1</v>
      </c>
      <c r="Y10" s="4"/>
      <c r="Z10" s="4"/>
      <c r="AA10" s="4"/>
      <c r="AB10" s="4"/>
      <c r="AC10" s="4"/>
      <c r="AD10" s="38">
        <v>1</v>
      </c>
      <c r="AE10" s="38">
        <v>2</v>
      </c>
      <c r="AF10" s="4"/>
      <c r="AG10" s="4"/>
      <c r="AH10" s="4"/>
      <c r="AI10" s="4"/>
      <c r="AJ10" s="4"/>
      <c r="AK10" s="38">
        <v>1</v>
      </c>
      <c r="AL10" s="38">
        <v>1</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Australien</v>
      </c>
      <c r="X11" s="80"/>
      <c r="Y11" s="4"/>
      <c r="Z11" s="4"/>
      <c r="AA11" s="4"/>
      <c r="AB11" s="4"/>
      <c r="AC11" s="4"/>
      <c r="AD11" s="80" t="str">
        <f>IF(AD10=AE10,"Unentschieden",IF(AD10&gt;AE10,AD9,AE9))</f>
        <v>Ecuador</v>
      </c>
      <c r="AE11" s="80"/>
      <c r="AF11" s="4"/>
      <c r="AG11" s="4"/>
      <c r="AH11" s="4"/>
      <c r="AI11" s="4"/>
      <c r="AJ11" s="4"/>
      <c r="AK11" s="80" t="str">
        <f>IF(AK10=AL10,"Unentschieden",IF(AK10&gt;AL10,AK9,AL9))</f>
        <v>Unentschieden</v>
      </c>
      <c r="AL11" s="80"/>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3</v>
      </c>
      <c r="X12" s="1">
        <f>IF(X10=W10,1,IF(X10&gt;W10,3,0))</f>
        <v>0</v>
      </c>
      <c r="Y12" s="4"/>
      <c r="Z12" s="4"/>
      <c r="AA12" s="4"/>
      <c r="AB12" s="4"/>
      <c r="AC12" s="4"/>
      <c r="AD12" s="1">
        <f>IF(AD10=AE10,1,IF(AD10&gt;AE10,3,0))</f>
        <v>0</v>
      </c>
      <c r="AE12" s="1">
        <f>IF(AE10=AD10,1,IF(AE10&gt;AD10,3,0))</f>
        <v>3</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1</v>
      </c>
      <c r="Q16" s="38">
        <v>3</v>
      </c>
      <c r="R16" s="4"/>
      <c r="S16" s="4"/>
      <c r="T16" s="4"/>
      <c r="U16" s="4"/>
      <c r="V16" s="4"/>
      <c r="W16" s="38">
        <v>2</v>
      </c>
      <c r="X16" s="38">
        <v>0</v>
      </c>
      <c r="Y16" s="4"/>
      <c r="Z16" s="4"/>
      <c r="AA16" s="4"/>
      <c r="AB16" s="4"/>
      <c r="AC16" s="4"/>
      <c r="AD16" s="38">
        <v>2</v>
      </c>
      <c r="AE16" s="38">
        <v>0</v>
      </c>
      <c r="AF16" s="4"/>
      <c r="AG16" s="4"/>
      <c r="AH16" s="4"/>
      <c r="AI16" s="4"/>
      <c r="AJ16" s="4"/>
      <c r="AK16" s="38">
        <v>1</v>
      </c>
      <c r="AL16" s="38">
        <v>2</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2</v>
      </c>
      <c r="J21" s="38">
        <v>0</v>
      </c>
      <c r="K21" s="4"/>
      <c r="L21" s="4"/>
      <c r="M21" s="4"/>
      <c r="N21" s="4"/>
      <c r="O21" s="4"/>
      <c r="P21" s="38">
        <v>3</v>
      </c>
      <c r="Q21" s="38">
        <v>0</v>
      </c>
      <c r="R21" s="4"/>
      <c r="S21" s="4"/>
      <c r="T21" s="4"/>
      <c r="U21" s="4"/>
      <c r="V21" s="4"/>
      <c r="W21" s="38">
        <v>2</v>
      </c>
      <c r="X21" s="38">
        <v>0</v>
      </c>
      <c r="Y21" s="4"/>
      <c r="Z21" s="4"/>
      <c r="AA21" s="4"/>
      <c r="AB21" s="4"/>
      <c r="AC21" s="4"/>
      <c r="AD21" s="38">
        <v>2</v>
      </c>
      <c r="AE21" s="38">
        <v>1</v>
      </c>
      <c r="AF21" s="4"/>
      <c r="AG21" s="4"/>
      <c r="AH21" s="4"/>
      <c r="AI21" s="4"/>
      <c r="AJ21" s="4"/>
      <c r="AK21" s="38">
        <v>3</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USA</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1</v>
      </c>
      <c r="J27" s="38">
        <v>0</v>
      </c>
      <c r="K27" s="4"/>
      <c r="L27" s="4"/>
      <c r="M27" s="4"/>
      <c r="N27" s="4"/>
      <c r="O27" s="4"/>
      <c r="P27" s="38">
        <v>3</v>
      </c>
      <c r="Q27" s="38">
        <v>0</v>
      </c>
      <c r="R27" s="4"/>
      <c r="S27" s="4"/>
      <c r="T27" s="4"/>
      <c r="U27" s="4"/>
      <c r="V27" s="4"/>
      <c r="W27" s="38">
        <v>1</v>
      </c>
      <c r="X27" s="38">
        <v>1</v>
      </c>
      <c r="Y27" s="4"/>
      <c r="Z27" s="4"/>
      <c r="AA27" s="4"/>
      <c r="AB27" s="4"/>
      <c r="AC27" s="4"/>
      <c r="AD27" s="38">
        <v>0</v>
      </c>
      <c r="AE27" s="38">
        <v>2</v>
      </c>
      <c r="AF27" s="4"/>
      <c r="AG27" s="4"/>
      <c r="AH27" s="4"/>
      <c r="AI27" s="4"/>
      <c r="AJ27" s="4"/>
      <c r="AK27" s="38">
        <v>2</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Unentschieden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v>3</v>
      </c>
      <c r="D29" s="4"/>
      <c r="E29" s="4"/>
      <c r="F29" s="4"/>
      <c r="G29" s="4"/>
      <c r="H29" s="4"/>
      <c r="I29" s="1">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1</v>
      </c>
      <c r="D32" s="4"/>
      <c r="E32" s="4"/>
      <c r="F32" s="4"/>
      <c r="G32" s="4"/>
      <c r="H32" s="4"/>
      <c r="I32" s="38">
        <v>1</v>
      </c>
      <c r="J32" s="38">
        <v>1</v>
      </c>
      <c r="K32" s="4"/>
      <c r="L32" s="4"/>
      <c r="M32" s="4"/>
      <c r="N32" s="4"/>
      <c r="O32" s="4"/>
      <c r="P32" s="38">
        <v>0</v>
      </c>
      <c r="Q32" s="38">
        <v>2</v>
      </c>
      <c r="R32" s="4"/>
      <c r="S32" s="4"/>
      <c r="T32" s="4"/>
      <c r="U32" s="4"/>
      <c r="V32" s="4"/>
      <c r="W32" s="38">
        <v>1</v>
      </c>
      <c r="X32" s="38">
        <v>2</v>
      </c>
      <c r="Y32" s="4"/>
      <c r="Z32" s="4"/>
      <c r="AA32" s="4"/>
      <c r="AB32" s="4"/>
      <c r="AC32" s="4"/>
      <c r="AD32" s="38">
        <v>0</v>
      </c>
      <c r="AE32" s="38">
        <v>1</v>
      </c>
      <c r="AF32" s="4"/>
      <c r="AG32" s="4"/>
      <c r="AH32" s="4"/>
      <c r="AI32" s="4"/>
      <c r="AJ32" s="4"/>
      <c r="AK32" s="38">
        <v>0</v>
      </c>
      <c r="AL32" s="38">
        <v>2</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Unentschieden</v>
      </c>
      <c r="J33" s="80"/>
      <c r="K33" s="4"/>
      <c r="L33" s="4"/>
      <c r="M33" s="4"/>
      <c r="N33" s="4"/>
      <c r="O33" s="4"/>
      <c r="P33" s="80" t="str">
        <f>IF(P32=Q32,"Unentschieden",IF(P32&gt;Q32,P31,Q31))</f>
        <v>Brasilien</v>
      </c>
      <c r="Q33" s="80"/>
      <c r="R33" s="4"/>
      <c r="S33" s="4"/>
      <c r="T33" s="4"/>
      <c r="U33" s="4"/>
      <c r="V33" s="4"/>
      <c r="W33" s="80" t="str">
        <f>IF(W32=X32,"Unentschieden",IF(W32&gt;X32,W31,X31))</f>
        <v>USA</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5</v>
      </c>
      <c r="E37" s="1">
        <f>C5+C21+B32</f>
        <v>1</v>
      </c>
      <c r="F37" s="1">
        <f>D37-E37</f>
        <v>4</v>
      </c>
      <c r="G37" s="4"/>
      <c r="H37" s="37"/>
      <c r="I37" s="2" t="s">
        <v>27</v>
      </c>
      <c r="J37" s="1">
        <f>I7+I23+J34</f>
        <v>7</v>
      </c>
      <c r="K37" s="1">
        <f>I5+I21+J32</f>
        <v>4</v>
      </c>
      <c r="L37" s="1">
        <f>J5+J21+I32</f>
        <v>1</v>
      </c>
      <c r="M37" s="1">
        <f>K37-L37</f>
        <v>3</v>
      </c>
      <c r="N37" s="4"/>
      <c r="O37" s="13"/>
      <c r="P37" s="2" t="s">
        <v>29</v>
      </c>
      <c r="Q37" s="1">
        <f>P7+P23+Q34</f>
        <v>6</v>
      </c>
      <c r="R37" s="1">
        <f>P5+P21+Q32</f>
        <v>6</v>
      </c>
      <c r="S37" s="1">
        <f>Q5+Q21+P32</f>
        <v>2</v>
      </c>
      <c r="T37" s="1">
        <f>R37-S37</f>
        <v>4</v>
      </c>
      <c r="U37" s="4"/>
      <c r="V37" s="13"/>
      <c r="W37" s="2" t="s">
        <v>31</v>
      </c>
      <c r="X37" s="1">
        <f>W7+W23+X34</f>
        <v>9</v>
      </c>
      <c r="Y37" s="1">
        <f>W5+W21+X32</f>
        <v>6</v>
      </c>
      <c r="Z37" s="1">
        <f>X5+X21+W32</f>
        <v>1</v>
      </c>
      <c r="AA37" s="1">
        <f>Y37-Z37</f>
        <v>5</v>
      </c>
      <c r="AB37" s="4"/>
      <c r="AC37" s="13"/>
      <c r="AD37" s="2" t="s">
        <v>33</v>
      </c>
      <c r="AE37" s="1">
        <f>AD7+AD23+AE34</f>
        <v>9</v>
      </c>
      <c r="AF37" s="1">
        <f>AD5+AD21+AE32</f>
        <v>6</v>
      </c>
      <c r="AG37" s="1">
        <f>AE5+AE21+AD32</f>
        <v>1</v>
      </c>
      <c r="AH37" s="1">
        <f>AF37-AG37</f>
        <v>5</v>
      </c>
      <c r="AI37" s="4"/>
      <c r="AJ37" s="4"/>
      <c r="AK37" s="2" t="s">
        <v>35</v>
      </c>
      <c r="AL37" s="1">
        <f>AK7+AK23+AL34</f>
        <v>9</v>
      </c>
      <c r="AM37" s="1">
        <f>AK5+AK21+AL32</f>
        <v>6</v>
      </c>
      <c r="AN37" s="1">
        <f>AL5+AL21+AK32</f>
        <v>1</v>
      </c>
      <c r="AO37" s="1">
        <f>AM37-AN37</f>
        <v>5</v>
      </c>
      <c r="AP37" s="4"/>
    </row>
    <row r="38" spans="1:42" x14ac:dyDescent="0.45">
      <c r="A38" s="37"/>
      <c r="B38" s="2" t="s">
        <v>26</v>
      </c>
      <c r="C38" s="1">
        <f>C7+C18+B29</f>
        <v>0</v>
      </c>
      <c r="D38" s="1">
        <f>C5+C16+B27</f>
        <v>1</v>
      </c>
      <c r="E38" s="1">
        <f>B5+B16+C27</f>
        <v>6</v>
      </c>
      <c r="F38" s="1">
        <f t="shared" ref="F38:F40" si="0">D38-E38</f>
        <v>-5</v>
      </c>
      <c r="G38" s="4"/>
      <c r="H38" s="37"/>
      <c r="I38" s="2" t="s">
        <v>28</v>
      </c>
      <c r="J38" s="1">
        <f>J7+J18+I29</f>
        <v>3</v>
      </c>
      <c r="K38" s="1">
        <f>J5+J16+I27</f>
        <v>2</v>
      </c>
      <c r="L38" s="1">
        <f>I5+I16+J27</f>
        <v>3</v>
      </c>
      <c r="M38" s="1">
        <f t="shared" ref="M38:M40" si="1">K38-L38</f>
        <v>-1</v>
      </c>
      <c r="N38" s="4"/>
      <c r="O38" s="13"/>
      <c r="P38" s="2" t="s">
        <v>30</v>
      </c>
      <c r="Q38" s="1">
        <f>Q7+Q18+P29</f>
        <v>9</v>
      </c>
      <c r="R38" s="1">
        <f>Q5+Q16+P27</f>
        <v>8</v>
      </c>
      <c r="S38" s="1">
        <f>P5+P16+Q27</f>
        <v>2</v>
      </c>
      <c r="T38" s="1">
        <f t="shared" ref="T38:T40" si="2">R38-S38</f>
        <v>6</v>
      </c>
      <c r="U38" s="4"/>
      <c r="V38" s="13"/>
      <c r="W38" s="2" t="s">
        <v>32</v>
      </c>
      <c r="X38" s="1">
        <f>X7+X18+W29</f>
        <v>1</v>
      </c>
      <c r="Y38" s="1">
        <f>X5+X16+W27</f>
        <v>1</v>
      </c>
      <c r="Z38" s="1">
        <f>W5+W16+X27</f>
        <v>5</v>
      </c>
      <c r="AA38" s="1">
        <f t="shared" ref="AA38:AA40" si="3">Y38-Z38</f>
        <v>-4</v>
      </c>
      <c r="AB38" s="4"/>
      <c r="AC38" s="13"/>
      <c r="AD38" s="2" t="s">
        <v>34</v>
      </c>
      <c r="AE38" s="1">
        <f>AE7+AE18+AD29</f>
        <v>0</v>
      </c>
      <c r="AF38" s="1">
        <f>AE5+AE16+AD27</f>
        <v>0</v>
      </c>
      <c r="AG38" s="1">
        <f>AD5+AD16+AE27</f>
        <v>7</v>
      </c>
      <c r="AH38" s="1">
        <f t="shared" ref="AH38:AH40" si="4">AF38-AG38</f>
        <v>-7</v>
      </c>
      <c r="AI38" s="4"/>
      <c r="AJ38" s="4"/>
      <c r="AK38" s="2" t="s">
        <v>36</v>
      </c>
      <c r="AL38" s="1">
        <f>AL7+AL18+AK29</f>
        <v>6</v>
      </c>
      <c r="AM38" s="1">
        <f>AL5+AL16+AK27</f>
        <v>4</v>
      </c>
      <c r="AN38" s="1">
        <f>AK5+AK16+AL27</f>
        <v>3</v>
      </c>
      <c r="AO38" s="1">
        <f t="shared" ref="AO38:AO40" si="5">AM38-AN38</f>
        <v>1</v>
      </c>
      <c r="AP38" s="4"/>
    </row>
    <row r="39" spans="1:42" x14ac:dyDescent="0.45">
      <c r="A39" s="36"/>
      <c r="B39" s="2" t="s">
        <v>37</v>
      </c>
      <c r="C39" s="1">
        <f>B12+C23+C29</f>
        <v>6</v>
      </c>
      <c r="D39" s="1">
        <f>B10+C21+C27</f>
        <v>4</v>
      </c>
      <c r="E39" s="1">
        <f>C10+B21+B27</f>
        <v>2</v>
      </c>
      <c r="F39" s="1">
        <f t="shared" si="0"/>
        <v>2</v>
      </c>
      <c r="G39" s="4"/>
      <c r="H39" s="36"/>
      <c r="I39" s="2" t="s">
        <v>39</v>
      </c>
      <c r="J39" s="1">
        <f>I12+J23+J29</f>
        <v>0</v>
      </c>
      <c r="K39" s="1">
        <f>I10+J21+J27</f>
        <v>0</v>
      </c>
      <c r="L39" s="1">
        <f>J10+I21+I27</f>
        <v>4</v>
      </c>
      <c r="M39" s="1">
        <f t="shared" si="1"/>
        <v>-4</v>
      </c>
      <c r="N39" s="4"/>
      <c r="O39" s="13"/>
      <c r="P39" s="2" t="s">
        <v>41</v>
      </c>
      <c r="Q39" s="1">
        <f>P12+Q23+Q29</f>
        <v>0</v>
      </c>
      <c r="R39" s="1">
        <f>P10+Q21+Q27</f>
        <v>0</v>
      </c>
      <c r="S39" s="1">
        <f>Q10+P21+P27</f>
        <v>7</v>
      </c>
      <c r="T39" s="1">
        <f t="shared" si="2"/>
        <v>-7</v>
      </c>
      <c r="U39" s="4"/>
      <c r="V39" s="13"/>
      <c r="W39" s="2" t="s">
        <v>43</v>
      </c>
      <c r="X39" s="1">
        <f>W12+X23+X29</f>
        <v>4</v>
      </c>
      <c r="Y39" s="1">
        <f>W10+X21+X27</f>
        <v>3</v>
      </c>
      <c r="Z39" s="1">
        <f>X10+W21+W27</f>
        <v>4</v>
      </c>
      <c r="AA39" s="1">
        <f t="shared" si="3"/>
        <v>-1</v>
      </c>
      <c r="AB39" s="4"/>
      <c r="AC39" s="13"/>
      <c r="AD39" s="2" t="s">
        <v>45</v>
      </c>
      <c r="AE39" s="1">
        <f>AD12+AE23+AE29</f>
        <v>3</v>
      </c>
      <c r="AF39" s="1">
        <f>AD10+AE21+AE27</f>
        <v>4</v>
      </c>
      <c r="AG39" s="1">
        <f>AE10+AD21+AD27</f>
        <v>4</v>
      </c>
      <c r="AH39" s="1">
        <f t="shared" si="4"/>
        <v>0</v>
      </c>
      <c r="AI39" s="4"/>
      <c r="AJ39" s="4"/>
      <c r="AK39" s="2" t="s">
        <v>47</v>
      </c>
      <c r="AL39" s="1">
        <f>AK12+AL23+AL29</f>
        <v>1</v>
      </c>
      <c r="AM39" s="1">
        <f>AK10+AL21+AL27</f>
        <v>3</v>
      </c>
      <c r="AN39" s="1">
        <f>AL10+AK21+AK27</f>
        <v>6</v>
      </c>
      <c r="AO39" s="1">
        <f t="shared" si="5"/>
        <v>-3</v>
      </c>
      <c r="AP39" s="4"/>
    </row>
    <row r="40" spans="1:42" x14ac:dyDescent="0.45">
      <c r="A40" s="35"/>
      <c r="B40" s="2" t="s">
        <v>38</v>
      </c>
      <c r="C40" s="1">
        <f>C12+B18+B34</f>
        <v>3</v>
      </c>
      <c r="D40" s="1">
        <f>C10+B16+B32</f>
        <v>2</v>
      </c>
      <c r="E40" s="1">
        <f>B10+C16+C32</f>
        <v>3</v>
      </c>
      <c r="F40" s="1">
        <f t="shared" si="0"/>
        <v>-1</v>
      </c>
      <c r="G40" s="4"/>
      <c r="H40" s="35"/>
      <c r="I40" s="2" t="s">
        <v>40</v>
      </c>
      <c r="J40" s="1">
        <f>J12+I18+I34</f>
        <v>7</v>
      </c>
      <c r="K40" s="1">
        <f>J10+I16+I32</f>
        <v>4</v>
      </c>
      <c r="L40" s="1">
        <f>I10+J16+J32</f>
        <v>2</v>
      </c>
      <c r="M40" s="1">
        <f t="shared" si="1"/>
        <v>2</v>
      </c>
      <c r="N40" s="4"/>
      <c r="O40" s="13"/>
      <c r="P40" s="2" t="s">
        <v>42</v>
      </c>
      <c r="Q40" s="1">
        <f>Q12+P18+P34</f>
        <v>3</v>
      </c>
      <c r="R40" s="1">
        <f>Q10+P16+P32</f>
        <v>2</v>
      </c>
      <c r="S40" s="1">
        <f>P10+Q16+Q32</f>
        <v>5</v>
      </c>
      <c r="T40" s="1">
        <f t="shared" si="2"/>
        <v>-3</v>
      </c>
      <c r="U40" s="4"/>
      <c r="V40" s="13"/>
      <c r="W40" s="2" t="s">
        <v>44</v>
      </c>
      <c r="X40" s="1">
        <f>X12+W18+W34</f>
        <v>3</v>
      </c>
      <c r="Y40" s="1">
        <f>X10+W16+W32</f>
        <v>4</v>
      </c>
      <c r="Z40" s="1">
        <f>W10+X16+X32</f>
        <v>4</v>
      </c>
      <c r="AA40" s="1">
        <f t="shared" si="3"/>
        <v>0</v>
      </c>
      <c r="AB40" s="4"/>
      <c r="AC40" s="13"/>
      <c r="AD40" s="2" t="s">
        <v>46</v>
      </c>
      <c r="AE40" s="1">
        <f>AE12+AD18+AD34</f>
        <v>6</v>
      </c>
      <c r="AF40" s="1">
        <f>AE10+AD16+AD32</f>
        <v>4</v>
      </c>
      <c r="AG40" s="1">
        <f>AD10+AE16+AE32</f>
        <v>2</v>
      </c>
      <c r="AH40" s="1">
        <f t="shared" si="4"/>
        <v>2</v>
      </c>
      <c r="AI40" s="4"/>
      <c r="AJ40" s="4"/>
      <c r="AK40" s="2" t="s">
        <v>48</v>
      </c>
      <c r="AL40" s="1">
        <f>AL12+AK18+AK34</f>
        <v>1</v>
      </c>
      <c r="AM40" s="1">
        <f>AL10+AK16+AK32</f>
        <v>2</v>
      </c>
      <c r="AN40" s="1">
        <f>AK10+AL16+AL32</f>
        <v>5</v>
      </c>
      <c r="AO40" s="1">
        <f t="shared" si="5"/>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5</v>
      </c>
      <c r="E43" s="1" cm="1">
        <f t="array" ref="E43:E46">_xlfn.SORTBY(E37:E40,C37:C40,-1,F37:F40,-1,D37:D40,-1)</f>
        <v>1</v>
      </c>
      <c r="F43" s="1" cm="1">
        <f t="array" ref="F43:F46">_xlfn.SORTBY(F37:F40,C37:C40,-1,F37:F40,-1,D37:D40,-1)</f>
        <v>4</v>
      </c>
      <c r="G43" s="4"/>
      <c r="H43" s="33">
        <v>1</v>
      </c>
      <c r="I43" s="2" t="str" cm="1">
        <f t="array" ref="I43:I46">_xlfn.SORTBY(I37:I40,J37:J40,-1,M37:M40,-1,K37:K40,-1)</f>
        <v>Kanada</v>
      </c>
      <c r="J43" s="1" cm="1">
        <f t="array" ref="J43:J46">_xlfn.SORTBY(J37:J40,J37:J40,-1,M37:M40,-1,K37:K40,-1)</f>
        <v>7</v>
      </c>
      <c r="K43" s="1" cm="1">
        <f t="array" ref="K43:K46">_xlfn.SORTBY(K37:K40,J37:J40,-1,M37:M40,-1,K37:K40,-1)</f>
        <v>4</v>
      </c>
      <c r="L43" s="1" cm="1">
        <f t="array" ref="L43:L46">_xlfn.SORTBY(L37:L40,J37:J40,-1,M37:M40,-1,K37:K40,-1)</f>
        <v>1</v>
      </c>
      <c r="M43" s="1" cm="1">
        <f t="array" ref="M43:M46">_xlfn.SORTBY(M37:M40,J37:J40,-1,M37:M40,-1,K37:K40,-1)</f>
        <v>3</v>
      </c>
      <c r="N43" s="4"/>
      <c r="O43" s="33">
        <v>1</v>
      </c>
      <c r="P43" s="2" t="str" cm="1">
        <f t="array" ref="P43:P46">_xlfn.SORTBY(P37:P40,Q37:Q40,-1,T37:T40,-1,R37:R40,-1)</f>
        <v>Marokko</v>
      </c>
      <c r="Q43" s="1" cm="1">
        <f t="array" ref="Q43:Q46">_xlfn.SORTBY(Q37:Q40,Q37:Q40,-1,T37:T40,-1,R37:R40,-1)</f>
        <v>9</v>
      </c>
      <c r="R43" s="1" cm="1">
        <f t="array" ref="R43:R46">_xlfn.SORTBY(R37:R40,Q37:Q40,-1,T37:T40,-1,R37:R40,-1)</f>
        <v>8</v>
      </c>
      <c r="S43" s="1" cm="1">
        <f t="array" ref="S43:S46">_xlfn.SORTBY(S37:S40,Q37:Q40,-1,T37:T40,-1,R37:R40,-1)</f>
        <v>2</v>
      </c>
      <c r="T43" s="1" cm="1">
        <f t="array" ref="T43:T46">_xlfn.SORTBY(T37:T40,Q37:Q40,-1,T37:T40,-1,R37:R40,-1)</f>
        <v>6</v>
      </c>
      <c r="U43" s="4"/>
      <c r="V43" s="33">
        <v>1</v>
      </c>
      <c r="W43" s="2" t="str" cm="1">
        <f t="array" ref="W43:W46">_xlfn.SORTBY(W37:W40,X37:X40,-1,AA37:AA40,-1,Y37:Y40,-1)</f>
        <v>USA</v>
      </c>
      <c r="X43" s="1" cm="1">
        <f t="array" ref="X43:X46">_xlfn.SORTBY(X37:X40,X37:X40,-1,AA37:AA40,-1,Y37:Y40,-1)</f>
        <v>9</v>
      </c>
      <c r="Y43" s="1" cm="1">
        <f t="array" ref="Y43:Y46">_xlfn.SORTBY(Y37:Y40,X37:X40,-1,AA37:AA40,-1,Y37:Y40,-1)</f>
        <v>6</v>
      </c>
      <c r="Z43" s="1" cm="1">
        <f t="array" ref="Z43:Z46">_xlfn.SORTBY(Z37:Z40,X37:X40,-1,AA37:AA40,-1,Y37:Y40,-1)</f>
        <v>1</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6</v>
      </c>
      <c r="AN43" s="1" cm="1">
        <f t="array" ref="AN43:AN46">_xlfn.SORTBY(AN37:AN40,AL37:AL40,-1,AO37:AO40,-1,AM37:AM40,-1)</f>
        <v>1</v>
      </c>
      <c r="AO43" s="1" cm="1">
        <f t="array" ref="AO43:AO46">_xlfn.SORTBY(AO37:AO40,AL37:AL40,-1,AO37:AO40,-1,AM37:AM40,-1)</f>
        <v>5</v>
      </c>
      <c r="AP43" s="4"/>
    </row>
    <row r="44" spans="1:42" x14ac:dyDescent="0.45">
      <c r="A44" s="33">
        <v>2</v>
      </c>
      <c r="B44" s="2" t="str">
        <v>Südkorea</v>
      </c>
      <c r="C44" s="1">
        <v>6</v>
      </c>
      <c r="D44" s="1">
        <v>4</v>
      </c>
      <c r="E44" s="1">
        <v>2</v>
      </c>
      <c r="F44" s="1">
        <v>2</v>
      </c>
      <c r="G44" s="4"/>
      <c r="H44" s="33">
        <v>2</v>
      </c>
      <c r="I44" s="2" t="str">
        <v>Schweiz</v>
      </c>
      <c r="J44" s="1">
        <v>7</v>
      </c>
      <c r="K44" s="1">
        <v>4</v>
      </c>
      <c r="L44" s="1">
        <v>2</v>
      </c>
      <c r="M44" s="1">
        <v>2</v>
      </c>
      <c r="N44" s="4"/>
      <c r="O44" s="33">
        <v>2</v>
      </c>
      <c r="P44" s="2" t="str">
        <v>Brasilien</v>
      </c>
      <c r="Q44" s="1">
        <v>6</v>
      </c>
      <c r="R44" s="1">
        <v>6</v>
      </c>
      <c r="S44" s="1">
        <v>2</v>
      </c>
      <c r="T44" s="1">
        <v>4</v>
      </c>
      <c r="U44" s="4"/>
      <c r="V44" s="33">
        <v>2</v>
      </c>
      <c r="W44" s="2" t="str">
        <v>Australien</v>
      </c>
      <c r="X44" s="1">
        <v>4</v>
      </c>
      <c r="Y44" s="1">
        <v>3</v>
      </c>
      <c r="Z44" s="1">
        <v>4</v>
      </c>
      <c r="AA44" s="1">
        <v>-1</v>
      </c>
      <c r="AB44" s="4"/>
      <c r="AC44" s="33">
        <v>2</v>
      </c>
      <c r="AD44" s="2" t="str">
        <v>Ecuador</v>
      </c>
      <c r="AE44" s="1">
        <v>6</v>
      </c>
      <c r="AF44" s="1">
        <v>4</v>
      </c>
      <c r="AG44" s="1">
        <v>2</v>
      </c>
      <c r="AH44" s="1">
        <v>2</v>
      </c>
      <c r="AI44" s="4"/>
      <c r="AJ44" s="33">
        <v>2</v>
      </c>
      <c r="AK44" s="2" t="str">
        <v>Japan</v>
      </c>
      <c r="AL44" s="1">
        <v>6</v>
      </c>
      <c r="AM44" s="1">
        <v>4</v>
      </c>
      <c r="AN44" s="1">
        <v>3</v>
      </c>
      <c r="AO44" s="1">
        <v>1</v>
      </c>
      <c r="AP44" s="4"/>
    </row>
    <row r="45" spans="1:42" x14ac:dyDescent="0.45">
      <c r="A45" s="34">
        <v>3</v>
      </c>
      <c r="B45" s="2" t="str">
        <v>Tschechien</v>
      </c>
      <c r="C45" s="1">
        <v>3</v>
      </c>
      <c r="D45" s="1">
        <v>2</v>
      </c>
      <c r="E45" s="1">
        <v>3</v>
      </c>
      <c r="F45" s="1">
        <v>-1</v>
      </c>
      <c r="G45" s="4"/>
      <c r="H45" s="34">
        <v>3</v>
      </c>
      <c r="I45" s="2" t="str">
        <v>Bosnien-Herz.</v>
      </c>
      <c r="J45" s="1">
        <v>3</v>
      </c>
      <c r="K45" s="1">
        <v>2</v>
      </c>
      <c r="L45" s="1">
        <v>3</v>
      </c>
      <c r="M45" s="1">
        <v>-1</v>
      </c>
      <c r="N45" s="4"/>
      <c r="O45" s="34">
        <v>3</v>
      </c>
      <c r="P45" s="2" t="str">
        <v>Schottland</v>
      </c>
      <c r="Q45" s="1">
        <v>3</v>
      </c>
      <c r="R45" s="1">
        <v>2</v>
      </c>
      <c r="S45" s="1">
        <v>5</v>
      </c>
      <c r="T45" s="1">
        <v>-3</v>
      </c>
      <c r="U45" s="4"/>
      <c r="V45" s="34">
        <v>3</v>
      </c>
      <c r="W45" s="2" t="str">
        <v>Türkei</v>
      </c>
      <c r="X45" s="1">
        <v>3</v>
      </c>
      <c r="Y45" s="1">
        <v>4</v>
      </c>
      <c r="Z45" s="1">
        <v>4</v>
      </c>
      <c r="AA45" s="1">
        <v>0</v>
      </c>
      <c r="AB45" s="4"/>
      <c r="AC45" s="34">
        <v>3</v>
      </c>
      <c r="AD45" s="2" t="str">
        <v>Elfenbeinküste</v>
      </c>
      <c r="AE45" s="1">
        <v>3</v>
      </c>
      <c r="AF45" s="1">
        <v>4</v>
      </c>
      <c r="AG45" s="1">
        <v>4</v>
      </c>
      <c r="AH45" s="1">
        <v>0</v>
      </c>
      <c r="AI45" s="4"/>
      <c r="AJ45" s="34">
        <v>3</v>
      </c>
      <c r="AK45" s="2" t="str">
        <v>Schweden</v>
      </c>
      <c r="AL45" s="1">
        <v>1</v>
      </c>
      <c r="AM45" s="1">
        <v>3</v>
      </c>
      <c r="AN45" s="1">
        <v>6</v>
      </c>
      <c r="AO45" s="1">
        <v>-3</v>
      </c>
      <c r="AP45" s="4"/>
    </row>
    <row r="46" spans="1:42" x14ac:dyDescent="0.45">
      <c r="A46" s="32">
        <v>4</v>
      </c>
      <c r="B46" s="2" t="str">
        <v>Südafrika</v>
      </c>
      <c r="C46" s="1">
        <v>0</v>
      </c>
      <c r="D46" s="1">
        <v>1</v>
      </c>
      <c r="E46" s="1">
        <v>6</v>
      </c>
      <c r="F46" s="1">
        <v>-5</v>
      </c>
      <c r="G46" s="4"/>
      <c r="H46" s="32">
        <v>4</v>
      </c>
      <c r="I46" s="2" t="str">
        <v>Katar</v>
      </c>
      <c r="J46" s="1">
        <v>0</v>
      </c>
      <c r="K46" s="1">
        <v>0</v>
      </c>
      <c r="L46" s="1">
        <v>4</v>
      </c>
      <c r="M46" s="1">
        <v>-4</v>
      </c>
      <c r="N46" s="4"/>
      <c r="O46" s="32">
        <v>4</v>
      </c>
      <c r="P46" s="2" t="str">
        <v>Haiti</v>
      </c>
      <c r="Q46" s="1">
        <v>0</v>
      </c>
      <c r="R46" s="1">
        <v>0</v>
      </c>
      <c r="S46" s="1">
        <v>7</v>
      </c>
      <c r="T46" s="1">
        <v>-7</v>
      </c>
      <c r="U46" s="4"/>
      <c r="V46" s="32">
        <v>4</v>
      </c>
      <c r="W46" s="2" t="str">
        <v>Paraguay</v>
      </c>
      <c r="X46" s="1">
        <v>1</v>
      </c>
      <c r="Y46" s="1">
        <v>1</v>
      </c>
      <c r="Z46" s="1">
        <v>5</v>
      </c>
      <c r="AA46" s="1">
        <v>-4</v>
      </c>
      <c r="AB46" s="4"/>
      <c r="AC46" s="32">
        <v>4</v>
      </c>
      <c r="AD46" s="2" t="str">
        <v>Curacao</v>
      </c>
      <c r="AE46" s="1">
        <v>0</v>
      </c>
      <c r="AF46" s="1">
        <v>0</v>
      </c>
      <c r="AG46" s="1">
        <v>7</v>
      </c>
      <c r="AH46" s="1">
        <v>-7</v>
      </c>
      <c r="AI46" s="4"/>
      <c r="AJ46" s="32">
        <v>4</v>
      </c>
      <c r="AK46" s="2" t="str">
        <v>Tunesien</v>
      </c>
      <c r="AL46" s="1">
        <v>1</v>
      </c>
      <c r="AM46" s="1">
        <v>2</v>
      </c>
      <c r="AN46" s="1">
        <v>5</v>
      </c>
      <c r="AO46" s="1">
        <v>-3</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1</v>
      </c>
      <c r="C52" s="38">
        <v>1</v>
      </c>
      <c r="D52" s="4"/>
      <c r="E52" s="4"/>
      <c r="F52" s="4"/>
      <c r="G52" s="4"/>
      <c r="H52" s="4"/>
      <c r="I52" s="38">
        <v>3</v>
      </c>
      <c r="J52" s="38">
        <v>0</v>
      </c>
      <c r="K52" s="4"/>
      <c r="L52" s="4"/>
      <c r="M52" s="4"/>
      <c r="N52" s="4"/>
      <c r="O52" s="4"/>
      <c r="P52" s="38">
        <v>1</v>
      </c>
      <c r="Q52" s="38">
        <v>0</v>
      </c>
      <c r="R52" s="4"/>
      <c r="S52" s="4"/>
      <c r="T52" s="4"/>
      <c r="U52" s="4"/>
      <c r="V52" s="4"/>
      <c r="W52" s="38">
        <v>1</v>
      </c>
      <c r="X52" s="38">
        <v>0</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80" t="str">
        <f>IF(B52=C52,"Unentschieden",IF(B52&gt;C52,B51,C51))</f>
        <v>Unentschieden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1</v>
      </c>
      <c r="C54" s="1">
        <f>IF(C52=B52,1,IF(C52&gt;B52,3,0))</f>
        <v>1</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0</v>
      </c>
      <c r="D57" s="4"/>
      <c r="E57" s="4"/>
      <c r="F57" s="4"/>
      <c r="G57" s="4"/>
      <c r="H57" s="4"/>
      <c r="I57" s="38">
        <v>0</v>
      </c>
      <c r="J57" s="38">
        <v>2</v>
      </c>
      <c r="K57" s="4"/>
      <c r="L57" s="4"/>
      <c r="M57" s="4"/>
      <c r="N57" s="4"/>
      <c r="O57" s="4"/>
      <c r="P57" s="38">
        <v>0</v>
      </c>
      <c r="Q57" s="38">
        <v>2</v>
      </c>
      <c r="R57" s="4"/>
      <c r="S57" s="4"/>
      <c r="T57" s="4"/>
      <c r="U57" s="4"/>
      <c r="V57" s="4"/>
      <c r="W57" s="38">
        <v>2</v>
      </c>
      <c r="X57" s="38">
        <v>0</v>
      </c>
      <c r="Y57" s="4"/>
      <c r="Z57" s="4"/>
      <c r="AA57" s="4"/>
      <c r="AB57" s="4"/>
      <c r="AC57" s="4"/>
      <c r="AD57" s="38">
        <v>0</v>
      </c>
      <c r="AE57" s="38">
        <v>2</v>
      </c>
      <c r="AF57" s="4"/>
      <c r="AG57" s="4"/>
      <c r="AH57" s="4"/>
      <c r="AI57" s="4"/>
      <c r="AJ57" s="4"/>
      <c r="AK57" s="38">
        <v>1</v>
      </c>
      <c r="AL57" s="38">
        <v>3</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Panama</v>
      </c>
      <c r="AL58" s="80"/>
      <c r="AM58" s="4"/>
      <c r="AN58" s="4"/>
      <c r="AO58" s="4"/>
      <c r="AP58" s="4"/>
    </row>
    <row r="59" spans="1:42" x14ac:dyDescent="0.45">
      <c r="A59" s="4"/>
      <c r="B59" s="1">
        <f>IF(B57=C57,1,IF(B57&gt;C57,3,0))</f>
        <v>3</v>
      </c>
      <c r="C59" s="1">
        <f>IF(C57=B57,1,IF(C57&gt;B57,3,0))</f>
        <v>0</v>
      </c>
      <c r="D59" s="4"/>
      <c r="E59" s="4"/>
      <c r="F59" s="4"/>
      <c r="G59" s="4"/>
      <c r="H59" s="4"/>
      <c r="I59" s="1">
        <v>0</v>
      </c>
      <c r="J59" s="1">
        <v>2</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2</v>
      </c>
      <c r="J63" s="38">
        <v>0</v>
      </c>
      <c r="K63" s="4"/>
      <c r="L63" s="4"/>
      <c r="M63" s="4"/>
      <c r="N63" s="4"/>
      <c r="O63" s="4"/>
      <c r="P63" s="38">
        <v>3</v>
      </c>
      <c r="Q63" s="38">
        <v>0</v>
      </c>
      <c r="R63" s="4"/>
      <c r="S63" s="4"/>
      <c r="T63" s="4"/>
      <c r="U63" s="4"/>
      <c r="V63" s="4"/>
      <c r="W63" s="38">
        <v>1</v>
      </c>
      <c r="X63" s="38">
        <v>1</v>
      </c>
      <c r="Y63" s="4"/>
      <c r="Z63" s="4"/>
      <c r="AA63" s="4"/>
      <c r="AB63" s="4"/>
      <c r="AC63" s="4"/>
      <c r="AD63" s="38">
        <v>3</v>
      </c>
      <c r="AE63" s="38">
        <v>0</v>
      </c>
      <c r="AF63" s="4"/>
      <c r="AG63" s="4"/>
      <c r="AH63" s="4"/>
      <c r="AI63" s="4"/>
      <c r="AJ63" s="4"/>
      <c r="AK63" s="38">
        <v>3</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Unentschieden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3</v>
      </c>
      <c r="D68" s="4"/>
      <c r="E68" s="4"/>
      <c r="F68" s="4"/>
      <c r="G68" s="4"/>
      <c r="H68" s="4"/>
      <c r="I68" s="38">
        <v>2</v>
      </c>
      <c r="J68" s="38">
        <v>0</v>
      </c>
      <c r="K68" s="4"/>
      <c r="L68" s="4"/>
      <c r="M68" s="4"/>
      <c r="N68" s="4"/>
      <c r="O68" s="4"/>
      <c r="P68" s="38">
        <v>1</v>
      </c>
      <c r="Q68" s="38">
        <v>1</v>
      </c>
      <c r="R68" s="4"/>
      <c r="S68" s="4"/>
      <c r="T68" s="4"/>
      <c r="U68" s="4"/>
      <c r="V68" s="4"/>
      <c r="W68" s="38">
        <v>0</v>
      </c>
      <c r="X68" s="38">
        <v>2</v>
      </c>
      <c r="Y68" s="4"/>
      <c r="Z68" s="4"/>
      <c r="AA68" s="4"/>
      <c r="AB68" s="4"/>
      <c r="AC68" s="4"/>
      <c r="AD68" s="38">
        <v>2</v>
      </c>
      <c r="AE68" s="38">
        <v>0</v>
      </c>
      <c r="AF68" s="4"/>
      <c r="AG68" s="4"/>
      <c r="AH68" s="4"/>
      <c r="AI68" s="4"/>
      <c r="AJ68" s="4"/>
      <c r="AK68" s="38">
        <v>0</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4</v>
      </c>
      <c r="D74" s="4"/>
      <c r="E74" s="4"/>
      <c r="F74" s="4"/>
      <c r="G74" s="4"/>
      <c r="H74" s="4"/>
      <c r="I74" s="38">
        <v>1</v>
      </c>
      <c r="J74" s="38">
        <v>2</v>
      </c>
      <c r="K74" s="4"/>
      <c r="L74" s="4"/>
      <c r="M74" s="4"/>
      <c r="N74" s="4"/>
      <c r="O74" s="4"/>
      <c r="P74" s="38">
        <v>1</v>
      </c>
      <c r="Q74" s="38">
        <v>3</v>
      </c>
      <c r="R74" s="4"/>
      <c r="S74" s="4"/>
      <c r="T74" s="4"/>
      <c r="U74" s="4"/>
      <c r="V74" s="4"/>
      <c r="W74" s="38">
        <v>0</v>
      </c>
      <c r="X74" s="38">
        <v>2</v>
      </c>
      <c r="Y74" s="4"/>
      <c r="Z74" s="4"/>
      <c r="AA74" s="4"/>
      <c r="AB74" s="4"/>
      <c r="AC74" s="4"/>
      <c r="AD74" s="38">
        <v>1</v>
      </c>
      <c r="AE74" s="38">
        <v>1</v>
      </c>
      <c r="AF74" s="4"/>
      <c r="AG74" s="4"/>
      <c r="AH74" s="4"/>
      <c r="AI74" s="4"/>
      <c r="AJ74" s="4"/>
      <c r="AK74" s="38">
        <v>0</v>
      </c>
      <c r="AL74" s="38">
        <v>2</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2</v>
      </c>
      <c r="C79" s="38">
        <v>0</v>
      </c>
      <c r="D79" s="4"/>
      <c r="E79" s="4"/>
      <c r="F79" s="4"/>
      <c r="G79" s="4"/>
      <c r="H79" s="4"/>
      <c r="I79" s="38">
        <v>0</v>
      </c>
      <c r="J79" s="38">
        <v>2</v>
      </c>
      <c r="K79" s="4"/>
      <c r="L79" s="4"/>
      <c r="M79" s="4"/>
      <c r="N79" s="4"/>
      <c r="O79" s="4"/>
      <c r="P79" s="38">
        <v>2</v>
      </c>
      <c r="Q79" s="38">
        <v>0</v>
      </c>
      <c r="R79" s="4"/>
      <c r="S79" s="4"/>
      <c r="T79" s="4"/>
      <c r="U79" s="4"/>
      <c r="V79" s="4"/>
      <c r="W79" s="38">
        <v>1</v>
      </c>
      <c r="X79" s="38">
        <v>2</v>
      </c>
      <c r="Y79" s="4"/>
      <c r="Z79" s="4"/>
      <c r="AA79" s="4"/>
      <c r="AB79" s="4"/>
      <c r="AC79" s="4"/>
      <c r="AD79" s="38">
        <v>1</v>
      </c>
      <c r="AE79" s="38">
        <v>0</v>
      </c>
      <c r="AF79" s="4"/>
      <c r="AG79" s="4"/>
      <c r="AH79" s="4"/>
      <c r="AI79" s="4"/>
      <c r="AJ79" s="4"/>
      <c r="AK79" s="38">
        <v>2</v>
      </c>
      <c r="AL79" s="38">
        <v>0</v>
      </c>
      <c r="AM79" s="4"/>
      <c r="AN79" s="4"/>
      <c r="AO79" s="4"/>
      <c r="AP79" s="4"/>
    </row>
    <row r="80" spans="1:42" ht="17.399999999999999" customHeight="1" x14ac:dyDescent="0.45">
      <c r="A80" s="4"/>
      <c r="B80" s="80" t="str">
        <f>IF(B79=C79,"Unentschieden",IF(B79&gt;C79,B78,C78))</f>
        <v>Ägypten</v>
      </c>
      <c r="C80" s="80"/>
      <c r="D80" s="4"/>
      <c r="E80" s="4"/>
      <c r="F80" s="4"/>
      <c r="G80" s="4"/>
      <c r="H80" s="4"/>
      <c r="I80" s="80" t="str">
        <f>IF(I79=J79,"Unentschieden",IF(I79&gt;J79,I78,J78))</f>
        <v>Saudi-Arabien</v>
      </c>
      <c r="J80" s="80"/>
      <c r="K80" s="4"/>
      <c r="L80" s="4"/>
      <c r="M80" s="4"/>
      <c r="N80" s="4"/>
      <c r="O80" s="4"/>
      <c r="P80" s="80" t="str">
        <f>IF(P79=Q79,"Unentschieden",IF(P79&gt;Q79,P78,Q78))</f>
        <v>Senegal</v>
      </c>
      <c r="Q80" s="80"/>
      <c r="R80" s="4"/>
      <c r="S80" s="4"/>
      <c r="T80" s="4"/>
      <c r="U80" s="4"/>
      <c r="V80" s="4"/>
      <c r="W80" s="80" t="str">
        <f>IF(W79=X79,"Unentschieden",IF(W79&gt;X79,W78,X78))</f>
        <v>Österreich</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7</v>
      </c>
      <c r="D84" s="1">
        <f>B52+B63+C74</f>
        <v>8</v>
      </c>
      <c r="E84" s="1">
        <f>C52+C63+B74</f>
        <v>2</v>
      </c>
      <c r="F84" s="1">
        <f>D84-E84</f>
        <v>6</v>
      </c>
      <c r="G84" s="4"/>
      <c r="H84" s="37"/>
      <c r="I84" s="2" t="s">
        <v>65</v>
      </c>
      <c r="J84" s="1">
        <f>I54+I65+J76</f>
        <v>9</v>
      </c>
      <c r="K84" s="1">
        <f>I52+I63+J74</f>
        <v>7</v>
      </c>
      <c r="L84" s="1">
        <f>J52+J63+I74</f>
        <v>1</v>
      </c>
      <c r="M84" s="1">
        <f>K84-L84</f>
        <v>6</v>
      </c>
      <c r="N84" s="4"/>
      <c r="O84" s="13"/>
      <c r="P84" s="2" t="s">
        <v>67</v>
      </c>
      <c r="Q84" s="1">
        <f>P54+P65+Q76</f>
        <v>9</v>
      </c>
      <c r="R84" s="1">
        <f>P52+P63+Q74</f>
        <v>7</v>
      </c>
      <c r="S84" s="1">
        <f>Q52+Q63+P74</f>
        <v>1</v>
      </c>
      <c r="T84" s="1">
        <f>R84-S84</f>
        <v>6</v>
      </c>
      <c r="U84" s="4"/>
      <c r="V84" s="13"/>
      <c r="W84" s="2" t="s">
        <v>69</v>
      </c>
      <c r="X84" s="1">
        <f>W54+W65+X76</f>
        <v>7</v>
      </c>
      <c r="Y84" s="1">
        <f>W52+W63+X74</f>
        <v>4</v>
      </c>
      <c r="Z84" s="1">
        <f>X52+X63+W74</f>
        <v>1</v>
      </c>
      <c r="AA84" s="1">
        <f>Y84-Z84</f>
        <v>3</v>
      </c>
      <c r="AB84" s="4"/>
      <c r="AC84" s="13"/>
      <c r="AD84" s="2" t="s">
        <v>71</v>
      </c>
      <c r="AE84" s="1">
        <f>AD54+AD65+AE76</f>
        <v>7</v>
      </c>
      <c r="AF84" s="1">
        <f>AD52+AD63+AE74</f>
        <v>6</v>
      </c>
      <c r="AG84" s="1">
        <f>AE52+AE63+AD74</f>
        <v>1</v>
      </c>
      <c r="AH84" s="1">
        <f>AF84-AG84</f>
        <v>5</v>
      </c>
      <c r="AI84" s="4"/>
      <c r="AJ84" s="4"/>
      <c r="AK84" s="2" t="s">
        <v>73</v>
      </c>
      <c r="AL84" s="1">
        <f>AK54+AK65+AL76</f>
        <v>9</v>
      </c>
      <c r="AM84" s="1">
        <f>AK52+AK63+AL74</f>
        <v>7</v>
      </c>
      <c r="AN84" s="1">
        <f>AL52+AL63+AK74</f>
        <v>1</v>
      </c>
      <c r="AO84" s="1">
        <f>AM84-AN84</f>
        <v>6</v>
      </c>
      <c r="AP84" s="4"/>
    </row>
    <row r="85" spans="1:42" ht="17.399999999999999" customHeight="1" x14ac:dyDescent="0.45">
      <c r="A85" s="37"/>
      <c r="B85" s="2" t="s">
        <v>64</v>
      </c>
      <c r="C85" s="1">
        <f>C54+C70+B81</f>
        <v>7</v>
      </c>
      <c r="D85" s="1">
        <f>C52+C68+B79</f>
        <v>6</v>
      </c>
      <c r="E85" s="1">
        <f>B52+B68+C79</f>
        <v>1</v>
      </c>
      <c r="F85" s="1">
        <f t="shared" ref="F85:F87" si="6">D85-E85</f>
        <v>5</v>
      </c>
      <c r="G85" s="4"/>
      <c r="H85" s="37"/>
      <c r="I85" s="2" t="s">
        <v>66</v>
      </c>
      <c r="J85" s="1">
        <f>J54+J70+I81</f>
        <v>0</v>
      </c>
      <c r="K85" s="1">
        <f>J52+J68+I79</f>
        <v>0</v>
      </c>
      <c r="L85" s="1">
        <f>I52+I68+J79</f>
        <v>7</v>
      </c>
      <c r="M85" s="1">
        <f t="shared" ref="M85:M87" si="7">K85-L85</f>
        <v>-7</v>
      </c>
      <c r="N85" s="4"/>
      <c r="O85" s="13"/>
      <c r="P85" s="2" t="s">
        <v>68</v>
      </c>
      <c r="Q85" s="1">
        <f>Q54+Q70+P81</f>
        <v>4</v>
      </c>
      <c r="R85" s="1">
        <f>Q52+Q68+P79</f>
        <v>3</v>
      </c>
      <c r="S85" s="1">
        <f>P52+P68+Q79</f>
        <v>2</v>
      </c>
      <c r="T85" s="1">
        <f t="shared" ref="T85:T87" si="8">R85-S85</f>
        <v>1</v>
      </c>
      <c r="U85" s="4"/>
      <c r="V85" s="13"/>
      <c r="W85" s="2" t="s">
        <v>70</v>
      </c>
      <c r="X85" s="1">
        <f>X54+X70+W81</f>
        <v>3</v>
      </c>
      <c r="Y85" s="1">
        <f>X52+X68+W79</f>
        <v>3</v>
      </c>
      <c r="Z85" s="1">
        <f>W52+W68+X79</f>
        <v>3</v>
      </c>
      <c r="AA85" s="1">
        <f t="shared" ref="AA85:AA87" si="9">Y85-Z85</f>
        <v>0</v>
      </c>
      <c r="AB85" s="4"/>
      <c r="AC85" s="13"/>
      <c r="AD85" s="2" t="s">
        <v>72</v>
      </c>
      <c r="AE85" s="1">
        <f>AE54+AE70+AD81</f>
        <v>3</v>
      </c>
      <c r="AF85" s="1">
        <f>AE52+AE68+AD79</f>
        <v>1</v>
      </c>
      <c r="AG85" s="1">
        <f>AD52+AD68+AE79</f>
        <v>4</v>
      </c>
      <c r="AH85" s="1">
        <f t="shared" ref="AH85:AH87" si="10">AF85-AG85</f>
        <v>-3</v>
      </c>
      <c r="AI85" s="4"/>
      <c r="AJ85" s="4"/>
      <c r="AK85" s="2" t="s">
        <v>74</v>
      </c>
      <c r="AL85" s="1">
        <f>AL54+AL70+AK81</f>
        <v>6</v>
      </c>
      <c r="AM85" s="1">
        <f>AL52+AL68+AK79</f>
        <v>5</v>
      </c>
      <c r="AN85" s="1">
        <f>AK52+AK68+AL79</f>
        <v>2</v>
      </c>
      <c r="AO85" s="1">
        <f t="shared" ref="AO85:AO87" si="11">AM85-AN85</f>
        <v>3</v>
      </c>
      <c r="AP85" s="4"/>
    </row>
    <row r="86" spans="1:42" ht="17.399999999999999" customHeight="1" x14ac:dyDescent="0.45">
      <c r="A86" s="36"/>
      <c r="B86" s="2" t="s">
        <v>75</v>
      </c>
      <c r="C86" s="1">
        <f>B59+C65+C81</f>
        <v>3</v>
      </c>
      <c r="D86" s="1">
        <f>B57+C63+C79</f>
        <v>3</v>
      </c>
      <c r="E86" s="1">
        <f>C57+B63+B79</f>
        <v>5</v>
      </c>
      <c r="F86" s="1">
        <f t="shared" si="6"/>
        <v>-2</v>
      </c>
      <c r="G86" s="4"/>
      <c r="H86" s="36"/>
      <c r="I86" s="2" t="s">
        <v>77</v>
      </c>
      <c r="J86" s="1">
        <f>I59+J65+J81</f>
        <v>3</v>
      </c>
      <c r="K86" s="1">
        <f>I57+J63+J79</f>
        <v>2</v>
      </c>
      <c r="L86" s="1">
        <f>J57+I63+I79</f>
        <v>4</v>
      </c>
      <c r="M86" s="1">
        <f t="shared" si="7"/>
        <v>-2</v>
      </c>
      <c r="N86" s="4"/>
      <c r="O86" s="13"/>
      <c r="P86" s="2" t="s">
        <v>79</v>
      </c>
      <c r="Q86" s="1">
        <f>P59+Q65+Q81</f>
        <v>0</v>
      </c>
      <c r="R86" s="1">
        <f>P57+Q63+Q79</f>
        <v>0</v>
      </c>
      <c r="S86" s="1">
        <f>Q57+P63+P79</f>
        <v>7</v>
      </c>
      <c r="T86" s="1">
        <f t="shared" si="8"/>
        <v>-7</v>
      </c>
      <c r="U86" s="4"/>
      <c r="V86" s="13"/>
      <c r="W86" s="2" t="s">
        <v>81</v>
      </c>
      <c r="X86" s="1">
        <f>W59+X65+X81</f>
        <v>7</v>
      </c>
      <c r="Y86" s="1">
        <f>W57+X63+X79</f>
        <v>5</v>
      </c>
      <c r="Z86" s="1">
        <f>X57+W63+W79</f>
        <v>2</v>
      </c>
      <c r="AA86" s="1">
        <f t="shared" si="9"/>
        <v>3</v>
      </c>
      <c r="AB86" s="4"/>
      <c r="AC86" s="13"/>
      <c r="AD86" s="2" t="s">
        <v>83</v>
      </c>
      <c r="AE86" s="1">
        <f>AD59+AE65+AE81</f>
        <v>0</v>
      </c>
      <c r="AF86" s="1">
        <f>AD57+AE63+AE79</f>
        <v>0</v>
      </c>
      <c r="AG86" s="1">
        <f>AE57+AD63+AD79</f>
        <v>6</v>
      </c>
      <c r="AH86" s="1">
        <f t="shared" si="10"/>
        <v>-6</v>
      </c>
      <c r="AI86" s="4"/>
      <c r="AJ86" s="4"/>
      <c r="AK86" s="2" t="s">
        <v>85</v>
      </c>
      <c r="AL86" s="1">
        <f>AK59+AL65+AL81</f>
        <v>0</v>
      </c>
      <c r="AM86" s="1">
        <f>AK57+AL63+AL79</f>
        <v>1</v>
      </c>
      <c r="AN86" s="1">
        <f>AL57+AK63+AK79</f>
        <v>8</v>
      </c>
      <c r="AO86" s="1">
        <f t="shared" si="11"/>
        <v>-7</v>
      </c>
      <c r="AP86" s="4"/>
    </row>
    <row r="87" spans="1:42" x14ac:dyDescent="0.45">
      <c r="A87" s="35"/>
      <c r="B87" s="2" t="s">
        <v>76</v>
      </c>
      <c r="C87" s="1">
        <f>C59+B70+B76</f>
        <v>0</v>
      </c>
      <c r="D87" s="1">
        <f>C57+B68+B74</f>
        <v>0</v>
      </c>
      <c r="E87" s="1">
        <f>B57+C68+C74</f>
        <v>9</v>
      </c>
      <c r="F87" s="1">
        <f t="shared" si="6"/>
        <v>-9</v>
      </c>
      <c r="G87" s="4"/>
      <c r="H87" s="35"/>
      <c r="I87" s="2" t="s">
        <v>78</v>
      </c>
      <c r="J87" s="1">
        <f>J59+I70+I76</f>
        <v>5</v>
      </c>
      <c r="K87" s="1">
        <f>J57+I68+I74</f>
        <v>5</v>
      </c>
      <c r="L87" s="1">
        <f>I57+J68+J74</f>
        <v>2</v>
      </c>
      <c r="M87" s="1">
        <f t="shared" si="7"/>
        <v>3</v>
      </c>
      <c r="N87" s="4"/>
      <c r="O87" s="13"/>
      <c r="P87" s="2" t="s">
        <v>80</v>
      </c>
      <c r="Q87" s="1">
        <f>Q59+P70+P76</f>
        <v>4</v>
      </c>
      <c r="R87" s="1">
        <f>Q57+P68+P74</f>
        <v>4</v>
      </c>
      <c r="S87" s="1">
        <f>P57+Q68+Q74</f>
        <v>4</v>
      </c>
      <c r="T87" s="1">
        <f t="shared" si="8"/>
        <v>0</v>
      </c>
      <c r="U87" s="4"/>
      <c r="V87" s="13"/>
      <c r="W87" s="2" t="s">
        <v>82</v>
      </c>
      <c r="X87" s="1">
        <f>X59+W70+W76</f>
        <v>0</v>
      </c>
      <c r="Y87" s="1">
        <f>X57+W68+W74</f>
        <v>0</v>
      </c>
      <c r="Z87" s="1">
        <f>W57+X68+X74</f>
        <v>6</v>
      </c>
      <c r="AA87" s="1">
        <f t="shared" si="9"/>
        <v>-6</v>
      </c>
      <c r="AB87" s="4"/>
      <c r="AC87" s="13"/>
      <c r="AD87" s="2" t="s">
        <v>84</v>
      </c>
      <c r="AE87" s="1">
        <f>AE59+AD70+AD76</f>
        <v>7</v>
      </c>
      <c r="AF87" s="1">
        <f>AE57+AD68+AD74</f>
        <v>5</v>
      </c>
      <c r="AG87" s="1">
        <f>AD57+AE68+AE74</f>
        <v>1</v>
      </c>
      <c r="AH87" s="1">
        <f t="shared" si="10"/>
        <v>4</v>
      </c>
      <c r="AI87" s="4"/>
      <c r="AJ87" s="4"/>
      <c r="AK87" s="2" t="s">
        <v>86</v>
      </c>
      <c r="AL87" s="1">
        <f>AL59+AK70+AK76</f>
        <v>3</v>
      </c>
      <c r="AM87" s="1">
        <f>AL57+AK68+AK74</f>
        <v>3</v>
      </c>
      <c r="AN87" s="1">
        <f>AK57+AL68+AL74</f>
        <v>5</v>
      </c>
      <c r="AO87" s="1">
        <f t="shared" si="11"/>
        <v>-2</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7</v>
      </c>
      <c r="D90" s="1" cm="1">
        <f t="array" ref="D90:D93">_xlfn.SORTBY(D84:D87,C84:C87,-1,F84:F87,-1,D84:D87,-1)</f>
        <v>8</v>
      </c>
      <c r="E90" s="1" cm="1">
        <f t="array" ref="E90:E93">_xlfn.SORTBY(E84:E87,C84:C87,-1,F84:F87,-1,D84:D87,-1)</f>
        <v>2</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7</v>
      </c>
      <c r="L90" s="1" cm="1">
        <f t="array" ref="L90:L93">_xlfn.SORTBY(L84:L87,J84:J87,-1,M84:M87,-1,K84:K87,-1)</f>
        <v>1</v>
      </c>
      <c r="M90" s="1" cm="1">
        <f t="array" ref="M90:M93">_xlfn.SORTBY(M84:M87,J84:J87,-1,M84:M87,-1,K84:K87,-1)</f>
        <v>6</v>
      </c>
      <c r="N90" s="4"/>
      <c r="O90" s="33">
        <v>1</v>
      </c>
      <c r="P90" s="2" t="str" cm="1">
        <f t="array" ref="P90:P93">_xlfn.SORTBY(P84:P87,Q84:Q87,-1,T84:T87,-1,R84:R87,-1)</f>
        <v>Frankreich</v>
      </c>
      <c r="Q90" s="1" cm="1">
        <f t="array" ref="Q90:Q93">_xlfn.SORTBY(Q84:Q87,Q84:Q87,-1,T84:T87,-1,R84:R87,-1)</f>
        <v>9</v>
      </c>
      <c r="R90" s="1" cm="1">
        <f t="array" ref="R90:R93">_xlfn.SORTBY(R84:R87,Q84:Q87,-1,T84:T87,-1,R84:R87,-1)</f>
        <v>7</v>
      </c>
      <c r="S90" s="1" cm="1">
        <f t="array" ref="S90:S93">_xlfn.SORTBY(S84:S87,Q84:Q87,-1,T84:T87,-1,R84:R87,-1)</f>
        <v>1</v>
      </c>
      <c r="T90" s="1" cm="1">
        <f t="array" ref="T90:T93">_xlfn.SORTBY(T84:T87,Q84:Q87,-1,T84:T87,-1,R84:R87,-1)</f>
        <v>6</v>
      </c>
      <c r="U90" s="4"/>
      <c r="V90" s="33">
        <v>1</v>
      </c>
      <c r="W90" s="2" t="str" cm="1">
        <f t="array" ref="W90:W93">_xlfn.SORTBY(W84:W87,X84:X87,-1,AA84:AA87,-1,Y84:Y87,-1)</f>
        <v>Österreich</v>
      </c>
      <c r="X90" s="1" cm="1">
        <f t="array" ref="X90:X93">_xlfn.SORTBY(X84:X87,X84:X87,-1,AA84:AA87,-1,Y84:Y87,-1)</f>
        <v>7</v>
      </c>
      <c r="Y90" s="1" cm="1">
        <f t="array" ref="Y90:Y93">_xlfn.SORTBY(Y84:Y87,X84:X87,-1,AA84:AA87,-1,Y84:Y87,-1)</f>
        <v>5</v>
      </c>
      <c r="Z90" s="1" cm="1">
        <f t="array" ref="Z90:Z93">_xlfn.SORTBY(Z84:Z87,X84:X87,-1,AA84:AA87,-1,Y84:Y87,-1)</f>
        <v>2</v>
      </c>
      <c r="AA90" s="1" cm="1">
        <f t="array" ref="AA90:AA93">_xlfn.SORTBY(AA84:AA87,X84:X87,-1,AA84:AA87,-1,Y84:Y87,-1)</f>
        <v>3</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6</v>
      </c>
      <c r="AG90" s="1" cm="1">
        <f t="array" ref="AG90:AG93">_xlfn.SORTBY(AG84:AG87,AE84:AE87,-1,AH84:AH87,-1,AF84:AF87,-1)</f>
        <v>1</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7</v>
      </c>
      <c r="D91" s="1">
        <v>6</v>
      </c>
      <c r="E91" s="1">
        <v>1</v>
      </c>
      <c r="F91" s="1">
        <v>5</v>
      </c>
      <c r="G91" s="4"/>
      <c r="H91" s="33">
        <v>2</v>
      </c>
      <c r="I91" s="2" t="str">
        <v>Uruguay</v>
      </c>
      <c r="J91" s="1">
        <v>5</v>
      </c>
      <c r="K91" s="1">
        <v>5</v>
      </c>
      <c r="L91" s="1">
        <v>2</v>
      </c>
      <c r="M91" s="1">
        <v>3</v>
      </c>
      <c r="N91" s="4"/>
      <c r="O91" s="33">
        <v>2</v>
      </c>
      <c r="P91" s="2" t="str">
        <v>Senegal</v>
      </c>
      <c r="Q91" s="1">
        <v>4</v>
      </c>
      <c r="R91" s="1">
        <v>3</v>
      </c>
      <c r="S91" s="1">
        <v>2</v>
      </c>
      <c r="T91" s="1">
        <v>1</v>
      </c>
      <c r="U91" s="4"/>
      <c r="V91" s="33">
        <v>2</v>
      </c>
      <c r="W91" s="2" t="str">
        <v>Argentinien</v>
      </c>
      <c r="X91" s="1">
        <v>7</v>
      </c>
      <c r="Y91" s="1">
        <v>4</v>
      </c>
      <c r="Z91" s="1">
        <v>1</v>
      </c>
      <c r="AA91" s="1">
        <v>3</v>
      </c>
      <c r="AB91" s="4"/>
      <c r="AC91" s="33">
        <v>2</v>
      </c>
      <c r="AD91" s="2" t="str">
        <v>Kolumbien</v>
      </c>
      <c r="AE91" s="1">
        <v>7</v>
      </c>
      <c r="AF91" s="1">
        <v>5</v>
      </c>
      <c r="AG91" s="1">
        <v>1</v>
      </c>
      <c r="AH91" s="1">
        <v>4</v>
      </c>
      <c r="AI91" s="4"/>
      <c r="AJ91" s="33">
        <v>2</v>
      </c>
      <c r="AK91" s="2" t="str">
        <v>Kroatien</v>
      </c>
      <c r="AL91" s="1">
        <v>6</v>
      </c>
      <c r="AM91" s="1">
        <v>5</v>
      </c>
      <c r="AN91" s="1">
        <v>2</v>
      </c>
      <c r="AO91" s="1">
        <v>3</v>
      </c>
      <c r="AP91" s="4"/>
    </row>
    <row r="92" spans="1:42" x14ac:dyDescent="0.45">
      <c r="A92" s="34">
        <v>3</v>
      </c>
      <c r="B92" s="2" t="str">
        <v>Iran</v>
      </c>
      <c r="C92" s="1">
        <v>3</v>
      </c>
      <c r="D92" s="1">
        <v>3</v>
      </c>
      <c r="E92" s="1">
        <v>5</v>
      </c>
      <c r="F92" s="1">
        <v>-2</v>
      </c>
      <c r="G92" s="4"/>
      <c r="H92" s="34">
        <v>3</v>
      </c>
      <c r="I92" s="2" t="str">
        <v>Saudi-Arabien</v>
      </c>
      <c r="J92" s="1">
        <v>3</v>
      </c>
      <c r="K92" s="1">
        <v>2</v>
      </c>
      <c r="L92" s="1">
        <v>4</v>
      </c>
      <c r="M92" s="1">
        <v>-2</v>
      </c>
      <c r="N92" s="4"/>
      <c r="O92" s="34">
        <v>3</v>
      </c>
      <c r="P92" s="2" t="str">
        <v>Norwegen</v>
      </c>
      <c r="Q92" s="1">
        <v>4</v>
      </c>
      <c r="R92" s="1">
        <v>4</v>
      </c>
      <c r="S92" s="1">
        <v>4</v>
      </c>
      <c r="T92" s="1">
        <v>0</v>
      </c>
      <c r="U92" s="4"/>
      <c r="V92" s="34">
        <v>3</v>
      </c>
      <c r="W92" s="2" t="str">
        <v>Algerien</v>
      </c>
      <c r="X92" s="1">
        <v>3</v>
      </c>
      <c r="Y92" s="1">
        <v>3</v>
      </c>
      <c r="Z92" s="1">
        <v>3</v>
      </c>
      <c r="AA92" s="1">
        <v>0</v>
      </c>
      <c r="AB92" s="4"/>
      <c r="AC92" s="34">
        <v>3</v>
      </c>
      <c r="AD92" s="2" t="str">
        <v>DR Kongo</v>
      </c>
      <c r="AE92" s="1">
        <v>3</v>
      </c>
      <c r="AF92" s="1">
        <v>1</v>
      </c>
      <c r="AG92" s="1">
        <v>4</v>
      </c>
      <c r="AH92" s="1">
        <v>-3</v>
      </c>
      <c r="AI92" s="4"/>
      <c r="AJ92" s="34">
        <v>3</v>
      </c>
      <c r="AK92" s="2" t="str">
        <v>Panama</v>
      </c>
      <c r="AL92" s="1">
        <v>3</v>
      </c>
      <c r="AM92" s="1">
        <v>3</v>
      </c>
      <c r="AN92" s="1">
        <v>5</v>
      </c>
      <c r="AO92" s="1">
        <v>-2</v>
      </c>
      <c r="AP92" s="4"/>
    </row>
    <row r="93" spans="1:42" x14ac:dyDescent="0.45">
      <c r="A93" s="32">
        <v>4</v>
      </c>
      <c r="B93" s="2" t="str">
        <v>Neuseeland</v>
      </c>
      <c r="C93" s="1">
        <v>0</v>
      </c>
      <c r="D93" s="1">
        <v>0</v>
      </c>
      <c r="E93" s="1">
        <v>9</v>
      </c>
      <c r="F93" s="1">
        <v>-9</v>
      </c>
      <c r="G93" s="4"/>
      <c r="H93" s="32">
        <v>4</v>
      </c>
      <c r="I93" s="2" t="str">
        <v>Kap Verde</v>
      </c>
      <c r="J93" s="1">
        <v>0</v>
      </c>
      <c r="K93" s="1">
        <v>0</v>
      </c>
      <c r="L93" s="1">
        <v>7</v>
      </c>
      <c r="M93" s="1">
        <v>-7</v>
      </c>
      <c r="N93" s="4"/>
      <c r="O93" s="32">
        <v>4</v>
      </c>
      <c r="P93" s="2" t="str">
        <v>Irak</v>
      </c>
      <c r="Q93" s="1">
        <v>0</v>
      </c>
      <c r="R93" s="1">
        <v>0</v>
      </c>
      <c r="S93" s="1">
        <v>7</v>
      </c>
      <c r="T93" s="1">
        <v>-7</v>
      </c>
      <c r="U93" s="4"/>
      <c r="V93" s="32">
        <v>4</v>
      </c>
      <c r="W93" s="2" t="str">
        <v>Jordanien</v>
      </c>
      <c r="X93" s="1">
        <v>0</v>
      </c>
      <c r="Y93" s="1">
        <v>0</v>
      </c>
      <c r="Z93" s="1">
        <v>6</v>
      </c>
      <c r="AA93" s="1">
        <v>-6</v>
      </c>
      <c r="AB93" s="4"/>
      <c r="AC93" s="32">
        <v>4</v>
      </c>
      <c r="AD93" s="2" t="str">
        <v>Usbekistan</v>
      </c>
      <c r="AE93" s="1">
        <v>0</v>
      </c>
      <c r="AF93" s="1">
        <v>0</v>
      </c>
      <c r="AG93" s="1">
        <v>6</v>
      </c>
      <c r="AH93" s="1">
        <v>-6</v>
      </c>
      <c r="AI93" s="4"/>
      <c r="AJ93" s="32">
        <v>4</v>
      </c>
      <c r="AK93" s="2" t="str">
        <v>Ghana</v>
      </c>
      <c r="AL93" s="1">
        <v>0</v>
      </c>
      <c r="AM93" s="1">
        <v>1</v>
      </c>
      <c r="AN93" s="1">
        <v>8</v>
      </c>
      <c r="AO93" s="1">
        <v>-7</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3</v>
      </c>
      <c r="V98" s="2">
        <f>D92</f>
        <v>3</v>
      </c>
      <c r="W98" s="2">
        <f>E92</f>
        <v>5</v>
      </c>
      <c r="X98" s="2">
        <f>F92</f>
        <v>-2</v>
      </c>
    </row>
    <row r="99" spans="17:24" x14ac:dyDescent="0.45">
      <c r="Q99"/>
      <c r="R99" s="82" t="str">
        <f>I92</f>
        <v>Saudi-Arabien</v>
      </c>
      <c r="S99" s="82"/>
      <c r="T99" s="82"/>
      <c r="U99" s="2">
        <f>J92</f>
        <v>3</v>
      </c>
      <c r="V99" s="2">
        <f>K92</f>
        <v>2</v>
      </c>
      <c r="W99" s="2">
        <f>L92</f>
        <v>4</v>
      </c>
      <c r="X99" s="2">
        <f>M92</f>
        <v>-2</v>
      </c>
    </row>
    <row r="100" spans="17:24" x14ac:dyDescent="0.45">
      <c r="Q100"/>
      <c r="R100" s="82" t="str">
        <f>P92</f>
        <v>Norwegen</v>
      </c>
      <c r="S100" s="82"/>
      <c r="T100" s="82"/>
      <c r="U100" s="2">
        <f>Q92</f>
        <v>4</v>
      </c>
      <c r="V100" s="2">
        <f>R92</f>
        <v>4</v>
      </c>
      <c r="W100" s="2">
        <f>S92</f>
        <v>4</v>
      </c>
      <c r="X100" s="2">
        <f>T92</f>
        <v>0</v>
      </c>
    </row>
    <row r="101" spans="17:24" x14ac:dyDescent="0.45">
      <c r="Q101"/>
      <c r="R101" s="82" t="str">
        <f>W92</f>
        <v>Algerien</v>
      </c>
      <c r="S101" s="82"/>
      <c r="T101" s="82"/>
      <c r="U101" s="2">
        <f>X92</f>
        <v>3</v>
      </c>
      <c r="V101" s="2">
        <f>Y92</f>
        <v>3</v>
      </c>
      <c r="W101" s="2">
        <f>Z92</f>
        <v>3</v>
      </c>
      <c r="X101" s="2">
        <f>AA92</f>
        <v>0</v>
      </c>
    </row>
    <row r="102" spans="17:24" x14ac:dyDescent="0.45">
      <c r="Q102"/>
      <c r="R102" s="82" t="str">
        <f>AD92</f>
        <v>DR Kongo</v>
      </c>
      <c r="S102" s="82"/>
      <c r="T102" s="82"/>
      <c r="U102" s="2">
        <f>AE92</f>
        <v>3</v>
      </c>
      <c r="V102" s="2">
        <f>AF92</f>
        <v>1</v>
      </c>
      <c r="W102" s="2">
        <f>AG92</f>
        <v>4</v>
      </c>
      <c r="X102" s="2">
        <f t="shared" ref="X102" si="12">AH92</f>
        <v>-3</v>
      </c>
    </row>
    <row r="103" spans="17:24" x14ac:dyDescent="0.45">
      <c r="Q103"/>
      <c r="R103" s="82" t="str">
        <f>AK92</f>
        <v>Panama</v>
      </c>
      <c r="S103" s="82"/>
      <c r="T103" s="82"/>
      <c r="U103" s="2">
        <f>AL92</f>
        <v>3</v>
      </c>
      <c r="V103" s="2">
        <f t="shared" ref="V103:X103" si="13">AM92</f>
        <v>3</v>
      </c>
      <c r="W103" s="2">
        <f t="shared" si="13"/>
        <v>5</v>
      </c>
      <c r="X103" s="2">
        <f t="shared" si="13"/>
        <v>-2</v>
      </c>
    </row>
    <row r="104" spans="17:24" x14ac:dyDescent="0.45">
      <c r="R104" s="82" t="str">
        <f>B45</f>
        <v>Tschechien</v>
      </c>
      <c r="S104" s="82"/>
      <c r="T104" s="82"/>
      <c r="U104" s="2">
        <f>C45</f>
        <v>3</v>
      </c>
      <c r="V104" s="2">
        <f t="shared" ref="V104:X104" si="14">D45</f>
        <v>2</v>
      </c>
      <c r="W104" s="2">
        <f t="shared" si="14"/>
        <v>3</v>
      </c>
      <c r="X104" s="2">
        <f t="shared" si="14"/>
        <v>-1</v>
      </c>
    </row>
    <row r="105" spans="17:24" x14ac:dyDescent="0.45">
      <c r="R105" s="82" t="str">
        <f>I45</f>
        <v>Bosnien-Herz.</v>
      </c>
      <c r="S105" s="82"/>
      <c r="T105" s="82"/>
      <c r="U105" s="2">
        <f>J45</f>
        <v>3</v>
      </c>
      <c r="V105" s="2">
        <f t="shared" ref="V105:X105" si="15">K45</f>
        <v>2</v>
      </c>
      <c r="W105" s="2">
        <f t="shared" si="15"/>
        <v>3</v>
      </c>
      <c r="X105" s="2">
        <f t="shared" si="15"/>
        <v>-1</v>
      </c>
    </row>
    <row r="106" spans="17:24" x14ac:dyDescent="0.45">
      <c r="R106" s="82" t="str">
        <f>P45</f>
        <v>Schottland</v>
      </c>
      <c r="S106" s="82"/>
      <c r="T106" s="82"/>
      <c r="U106" s="2">
        <f>Q45</f>
        <v>3</v>
      </c>
      <c r="V106" s="2">
        <f t="shared" ref="V106:X106" si="16">R45</f>
        <v>2</v>
      </c>
      <c r="W106" s="2">
        <f t="shared" si="16"/>
        <v>5</v>
      </c>
      <c r="X106" s="2">
        <f t="shared" si="16"/>
        <v>-3</v>
      </c>
    </row>
    <row r="107" spans="17:24" x14ac:dyDescent="0.45">
      <c r="R107" s="82" t="str">
        <f>W45</f>
        <v>Türkei</v>
      </c>
      <c r="S107" s="82"/>
      <c r="T107" s="82"/>
      <c r="U107" s="2">
        <f>X45</f>
        <v>3</v>
      </c>
      <c r="V107" s="2">
        <f t="shared" ref="V107:W107" si="17">Y45</f>
        <v>4</v>
      </c>
      <c r="W107" s="2">
        <f t="shared" si="17"/>
        <v>4</v>
      </c>
      <c r="X107" s="2">
        <f>AA45</f>
        <v>0</v>
      </c>
    </row>
    <row r="108" spans="17:24" x14ac:dyDescent="0.45">
      <c r="R108" s="82" t="str">
        <f>AD45</f>
        <v>Elfenbeinküste</v>
      </c>
      <c r="S108" s="82"/>
      <c r="T108" s="82"/>
      <c r="U108" s="2">
        <f>AE45</f>
        <v>3</v>
      </c>
      <c r="V108" s="2">
        <f t="shared" ref="V108:X108" si="18">AF45</f>
        <v>4</v>
      </c>
      <c r="W108" s="2">
        <f t="shared" si="18"/>
        <v>4</v>
      </c>
      <c r="X108" s="2">
        <f t="shared" si="18"/>
        <v>0</v>
      </c>
    </row>
    <row r="109" spans="17:24" x14ac:dyDescent="0.45">
      <c r="R109" s="82" t="str">
        <f>AK45</f>
        <v>Schweden</v>
      </c>
      <c r="S109" s="82"/>
      <c r="T109" s="82"/>
      <c r="U109" s="2">
        <f>AL45</f>
        <v>1</v>
      </c>
      <c r="V109" s="2">
        <f t="shared" ref="V109:W109" si="19">AM45</f>
        <v>3</v>
      </c>
      <c r="W109" s="2">
        <f t="shared" si="19"/>
        <v>6</v>
      </c>
      <c r="X109" s="2">
        <f>AO45</f>
        <v>-3</v>
      </c>
    </row>
    <row r="112" spans="17:24" x14ac:dyDescent="0.45">
      <c r="Q112" s="33">
        <v>1</v>
      </c>
      <c r="R112" s="2" t="str" cm="1">
        <f t="array" ref="R112:R123">_xlfn.SORTBY(R98:R109,U98:U109,-1,X98:X109,-1,V98:V109,-1)</f>
        <v>Norwegen</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Türkei</v>
      </c>
      <c r="U113" s="2">
        <v>3</v>
      </c>
      <c r="V113" s="2">
        <v>4</v>
      </c>
      <c r="W113" s="2">
        <v>4</v>
      </c>
      <c r="X113" s="2">
        <v>0</v>
      </c>
    </row>
    <row r="114" spans="17:24" x14ac:dyDescent="0.45">
      <c r="Q114" s="33">
        <v>3</v>
      </c>
      <c r="R114" s="2" t="str">
        <v>Elfenbeinküste</v>
      </c>
      <c r="U114" s="2">
        <v>3</v>
      </c>
      <c r="V114" s="2">
        <v>4</v>
      </c>
      <c r="W114" s="2">
        <v>4</v>
      </c>
      <c r="X114" s="2">
        <v>0</v>
      </c>
    </row>
    <row r="115" spans="17:24" x14ac:dyDescent="0.45">
      <c r="Q115" s="33">
        <v>4</v>
      </c>
      <c r="R115" s="2" t="str">
        <v>Algerien</v>
      </c>
      <c r="U115" s="2">
        <v>3</v>
      </c>
      <c r="V115" s="2">
        <v>3</v>
      </c>
      <c r="W115" s="2">
        <v>3</v>
      </c>
      <c r="X115" s="2">
        <v>0</v>
      </c>
    </row>
    <row r="116" spans="17:24" x14ac:dyDescent="0.45">
      <c r="Q116" s="33">
        <v>5</v>
      </c>
      <c r="R116" s="2" t="str">
        <v>Tschechien</v>
      </c>
      <c r="U116" s="2">
        <v>3</v>
      </c>
      <c r="V116" s="2">
        <v>2</v>
      </c>
      <c r="W116" s="2">
        <v>3</v>
      </c>
      <c r="X116" s="2">
        <v>-1</v>
      </c>
    </row>
    <row r="117" spans="17:24" x14ac:dyDescent="0.45">
      <c r="Q117" s="33">
        <v>6</v>
      </c>
      <c r="R117" s="2" t="str">
        <v>Bosnien-Herz.</v>
      </c>
      <c r="U117" s="2">
        <v>3</v>
      </c>
      <c r="V117" s="2">
        <v>2</v>
      </c>
      <c r="W117" s="2">
        <v>3</v>
      </c>
      <c r="X117" s="2">
        <v>-1</v>
      </c>
    </row>
    <row r="118" spans="17:24" x14ac:dyDescent="0.45">
      <c r="Q118" s="33">
        <v>7</v>
      </c>
      <c r="R118" s="2" t="str">
        <v>Iran</v>
      </c>
      <c r="U118" s="2">
        <v>3</v>
      </c>
      <c r="V118" s="2">
        <v>3</v>
      </c>
      <c r="W118" s="2">
        <v>5</v>
      </c>
      <c r="X118" s="2">
        <v>-2</v>
      </c>
    </row>
    <row r="119" spans="17:24" x14ac:dyDescent="0.45">
      <c r="Q119" s="33">
        <v>8</v>
      </c>
      <c r="R119" s="2" t="str">
        <v>Panama</v>
      </c>
      <c r="U119" s="2">
        <v>3</v>
      </c>
      <c r="V119" s="2">
        <v>3</v>
      </c>
      <c r="W119" s="2">
        <v>5</v>
      </c>
      <c r="X119" s="2">
        <v>-2</v>
      </c>
    </row>
    <row r="120" spans="17:24" x14ac:dyDescent="0.45">
      <c r="Q120" s="32">
        <v>9</v>
      </c>
      <c r="R120" s="2" t="str">
        <v>Saudi-Arabien</v>
      </c>
      <c r="U120" s="2">
        <v>3</v>
      </c>
      <c r="V120" s="2">
        <v>2</v>
      </c>
      <c r="W120" s="2">
        <v>4</v>
      </c>
      <c r="X120" s="2">
        <v>-2</v>
      </c>
    </row>
    <row r="121" spans="17:24" x14ac:dyDescent="0.45">
      <c r="Q121" s="32">
        <v>10</v>
      </c>
      <c r="R121" s="2" t="str">
        <v>Schottland</v>
      </c>
      <c r="U121" s="2">
        <v>3</v>
      </c>
      <c r="V121" s="2">
        <v>2</v>
      </c>
      <c r="W121" s="2">
        <v>5</v>
      </c>
      <c r="X121" s="2">
        <v>-3</v>
      </c>
    </row>
    <row r="122" spans="17:24" x14ac:dyDescent="0.45">
      <c r="Q122" s="32">
        <v>11</v>
      </c>
      <c r="R122" s="2" t="str">
        <v>DR Kongo</v>
      </c>
      <c r="U122" s="2">
        <v>3</v>
      </c>
      <c r="V122" s="2">
        <v>1</v>
      </c>
      <c r="W122" s="2">
        <v>4</v>
      </c>
      <c r="X122" s="2">
        <v>-3</v>
      </c>
    </row>
    <row r="123" spans="17:24" x14ac:dyDescent="0.45">
      <c r="Q123" s="32">
        <v>12</v>
      </c>
      <c r="R123" s="2" t="str">
        <v>Schweden</v>
      </c>
      <c r="U123" s="2">
        <v>1</v>
      </c>
      <c r="V123" s="2">
        <v>3</v>
      </c>
      <c r="W123" s="2">
        <v>6</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225</v>
      </c>
    </row>
    <row r="155" spans="1:23" x14ac:dyDescent="0.45">
      <c r="A155" s="23" t="s">
        <v>103</v>
      </c>
      <c r="B155" s="24">
        <f>SUM(H160:H231)</f>
        <v>221</v>
      </c>
    </row>
    <row r="156" spans="1:23" x14ac:dyDescent="0.45">
      <c r="A156" s="23" t="s">
        <v>104</v>
      </c>
      <c r="B156" s="24">
        <f>SUM(E234:E265)</f>
        <v>130</v>
      </c>
    </row>
    <row r="157" spans="1:23" x14ac:dyDescent="0.45">
      <c r="A157" s="25" t="s">
        <v>105</v>
      </c>
      <c r="B157" s="26">
        <f>B154+B155+B156</f>
        <v>576</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3</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4</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2</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2</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2</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5</v>
      </c>
      <c r="H179" s="28">
        <f>IF(OR(W10="",Realität!W10=""),0,MAX(0,5-ABS(W10-Realität!W10)-ABS(X10-Realität!X10)))</f>
        <v>4</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2</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5</v>
      </c>
    </row>
    <row r="182" spans="1:8" x14ac:dyDescent="0.45">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3</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5</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2</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3</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5</v>
      </c>
      <c r="H196" s="28">
        <f>IF(OR(B52="",Realität!B52=""),0,MAX(0,5-ABS(B52-Realität!B52)-ABS(C52-Realität!C52)))</f>
        <v>5</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1</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4</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3</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3</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3</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2</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2</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4</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3</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2</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3</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2</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2</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2</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4</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225</v>
      </c>
      <c r="H232" s="24">
        <f>SUM(H160:H231)</f>
        <v>221</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Kanada</v>
      </c>
      <c r="E236" s="28">
        <f t="shared" si="20"/>
        <v>5</v>
      </c>
    </row>
    <row r="237" spans="1:8" x14ac:dyDescent="0.45">
      <c r="A237" s="28">
        <v>4</v>
      </c>
      <c r="B237" s="29" t="s">
        <v>337</v>
      </c>
      <c r="C237" s="29" t="str">
        <f>Realität!I44</f>
        <v>Kanada</v>
      </c>
      <c r="D237" s="29" t="str">
        <f>I44</f>
        <v>Schweiz</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Australien</v>
      </c>
      <c r="D241" s="29" t="str">
        <f>W44</f>
        <v>Australien</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Ecuador</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Senegal</v>
      </c>
      <c r="E251" s="28">
        <f t="shared" si="20"/>
        <v>5</v>
      </c>
    </row>
    <row r="252" spans="1:5" x14ac:dyDescent="0.45">
      <c r="A252" s="28">
        <v>19</v>
      </c>
      <c r="B252" s="29" t="s">
        <v>352</v>
      </c>
      <c r="C252" s="29" t="str">
        <f>Realität!W90</f>
        <v>Argentinien</v>
      </c>
      <c r="D252" s="29" t="str">
        <f>W90</f>
        <v>Österreich</v>
      </c>
      <c r="E252" s="28">
        <f t="shared" si="20"/>
        <v>5</v>
      </c>
    </row>
    <row r="253" spans="1:5" x14ac:dyDescent="0.45">
      <c r="A253" s="28">
        <v>20</v>
      </c>
      <c r="B253" s="29" t="s">
        <v>353</v>
      </c>
      <c r="C253" s="29" t="str">
        <f>Realität!W91</f>
        <v>Österreich</v>
      </c>
      <c r="D253" s="29" t="str">
        <f>W91</f>
        <v>Argentinien</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Norwegen</v>
      </c>
      <c r="E258" s="28">
        <f t="shared" si="20"/>
        <v>5</v>
      </c>
    </row>
    <row r="259" spans="1:5" x14ac:dyDescent="0.45">
      <c r="A259" s="28">
        <v>26</v>
      </c>
      <c r="B259" s="29" t="s">
        <v>359</v>
      </c>
      <c r="C259" s="29" t="str">
        <f>Realität!R113</f>
        <v>Schweden</v>
      </c>
      <c r="D259" s="29" t="str">
        <f t="shared" si="21"/>
        <v>Türkei</v>
      </c>
      <c r="E259" s="28">
        <f t="shared" si="20"/>
        <v>0</v>
      </c>
    </row>
    <row r="260" spans="1:5" x14ac:dyDescent="0.45">
      <c r="A260" s="28">
        <v>27</v>
      </c>
      <c r="B260" s="29" t="s">
        <v>360</v>
      </c>
      <c r="C260" s="29" t="str">
        <f>Realität!R114</f>
        <v>Ghana</v>
      </c>
      <c r="D260" s="29" t="str">
        <f t="shared" si="21"/>
        <v>Elfenbeinküste</v>
      </c>
      <c r="E260" s="28">
        <f t="shared" si="20"/>
        <v>5</v>
      </c>
    </row>
    <row r="261" spans="1:5" x14ac:dyDescent="0.45">
      <c r="A261" s="28">
        <v>28</v>
      </c>
      <c r="B261" s="29" t="s">
        <v>361</v>
      </c>
      <c r="C261" s="29" t="str">
        <f>Realität!R115</f>
        <v>Ecuador</v>
      </c>
      <c r="D261" s="29" t="str">
        <f t="shared" si="21"/>
        <v>Algerien</v>
      </c>
      <c r="E261" s="28">
        <f t="shared" si="20"/>
        <v>5</v>
      </c>
    </row>
    <row r="262" spans="1:5" x14ac:dyDescent="0.45">
      <c r="A262" s="28">
        <v>29</v>
      </c>
      <c r="B262" s="29" t="s">
        <v>362</v>
      </c>
      <c r="C262" s="29" t="str">
        <f>Realität!R116</f>
        <v>Bosnien-Herz.</v>
      </c>
      <c r="D262" s="29" t="str">
        <f t="shared" si="21"/>
        <v>Tschechien</v>
      </c>
      <c r="E262" s="28">
        <f t="shared" si="20"/>
        <v>0</v>
      </c>
    </row>
    <row r="263" spans="1:5" x14ac:dyDescent="0.45">
      <c r="A263" s="28">
        <v>30</v>
      </c>
      <c r="B263" s="29" t="s">
        <v>363</v>
      </c>
      <c r="C263" s="29" t="str">
        <f>Realität!R117</f>
        <v>Algerien</v>
      </c>
      <c r="D263" s="29" t="str">
        <f t="shared" si="21"/>
        <v>Bosnien-Herz.</v>
      </c>
      <c r="E263" s="28">
        <f t="shared" si="20"/>
        <v>5</v>
      </c>
    </row>
    <row r="264" spans="1:5" x14ac:dyDescent="0.45">
      <c r="A264" s="28">
        <v>31</v>
      </c>
      <c r="B264" s="29" t="s">
        <v>364</v>
      </c>
      <c r="C264" s="29" t="str">
        <f>Realität!R118</f>
        <v>Paraguay</v>
      </c>
      <c r="D264" s="29" t="str">
        <f t="shared" si="21"/>
        <v>Iran</v>
      </c>
      <c r="E264" s="28">
        <f t="shared" si="20"/>
        <v>0</v>
      </c>
    </row>
    <row r="265" spans="1:5" x14ac:dyDescent="0.45">
      <c r="A265" s="28">
        <v>32</v>
      </c>
      <c r="B265" s="29" t="s">
        <v>365</v>
      </c>
      <c r="C265" s="29" t="str">
        <f>Realität!R119</f>
        <v>Senegal</v>
      </c>
      <c r="D265" s="29" t="str">
        <f t="shared" si="21"/>
        <v>Panama</v>
      </c>
      <c r="E265" s="28">
        <f t="shared" si="20"/>
        <v>0</v>
      </c>
    </row>
    <row r="266" spans="1:5" x14ac:dyDescent="0.45">
      <c r="D266" s="23" t="s">
        <v>330</v>
      </c>
      <c r="E266" s="24">
        <f>SUM(E234:E265)</f>
        <v>130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0BE9-8285-4B56-A9C2-61F6348498ED}">
  <dimension ref="A1:AP266"/>
  <sheetViews>
    <sheetView topLeftCell="A138" zoomScale="106" workbookViewId="0">
      <selection activeCell="A152" sqref="A152:H266"/>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3</v>
      </c>
      <c r="J5" s="38">
        <v>1</v>
      </c>
      <c r="K5" s="4"/>
      <c r="L5" s="4"/>
      <c r="M5" s="4"/>
      <c r="N5" s="4"/>
      <c r="O5" s="4"/>
      <c r="P5" s="38">
        <v>2</v>
      </c>
      <c r="Q5" s="38">
        <v>1</v>
      </c>
      <c r="R5" s="4"/>
      <c r="S5" s="4"/>
      <c r="T5" s="4"/>
      <c r="U5" s="4"/>
      <c r="V5" s="4"/>
      <c r="W5" s="38">
        <v>3</v>
      </c>
      <c r="X5" s="38">
        <v>1</v>
      </c>
      <c r="Y5" s="4"/>
      <c r="Z5" s="4"/>
      <c r="AA5" s="4"/>
      <c r="AB5" s="4"/>
      <c r="AC5" s="4"/>
      <c r="AD5" s="38">
        <v>4</v>
      </c>
      <c r="AE5" s="38">
        <v>0</v>
      </c>
      <c r="AF5" s="4"/>
      <c r="AG5" s="4"/>
      <c r="AH5" s="4"/>
      <c r="AI5" s="4"/>
      <c r="AJ5" s="4"/>
      <c r="AK5" s="38">
        <v>2</v>
      </c>
      <c r="AL5" s="38">
        <v>1</v>
      </c>
      <c r="AM5" s="4"/>
      <c r="AN5" s="4"/>
      <c r="AO5" s="4"/>
      <c r="AP5" s="4"/>
    </row>
    <row r="6" spans="1:42" x14ac:dyDescent="0.45">
      <c r="A6" s="4"/>
      <c r="B6" s="80" t="str">
        <f>IF(B5=C5,"Unentschieden",IF(B5&gt;C5,B4,C4))</f>
        <v>Mexiko</v>
      </c>
      <c r="C6" s="80"/>
      <c r="D6" s="4"/>
      <c r="E6" s="4"/>
      <c r="F6" s="4"/>
      <c r="G6" s="4"/>
      <c r="H6" s="4"/>
      <c r="I6" s="80" t="str">
        <f>IF(I5=J5,"Unentschieden",IF(I5&gt;J5,I4,J4))</f>
        <v>Kanada</v>
      </c>
      <c r="J6" s="80"/>
      <c r="K6" s="4"/>
      <c r="L6" s="4"/>
      <c r="M6" s="4"/>
      <c r="N6" s="4"/>
      <c r="O6" s="4"/>
      <c r="P6" s="80" t="str">
        <f>IF(P5=Q5,"Unentschieden",IF(P5&gt;Q5,P4,Q4))</f>
        <v>Brasilien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2</v>
      </c>
      <c r="K10" s="4"/>
      <c r="L10" s="4"/>
      <c r="M10" s="4"/>
      <c r="N10" s="4"/>
      <c r="O10" s="4"/>
      <c r="P10" s="38">
        <v>0</v>
      </c>
      <c r="Q10" s="38">
        <v>1</v>
      </c>
      <c r="R10" s="4"/>
      <c r="S10" s="4"/>
      <c r="T10" s="4"/>
      <c r="U10" s="4"/>
      <c r="V10" s="4"/>
      <c r="W10" s="38">
        <v>0</v>
      </c>
      <c r="X10" s="38">
        <v>2</v>
      </c>
      <c r="Y10" s="4"/>
      <c r="Z10" s="4"/>
      <c r="AA10" s="4"/>
      <c r="AB10" s="4"/>
      <c r="AC10" s="4"/>
      <c r="AD10" s="38">
        <v>2</v>
      </c>
      <c r="AE10" s="38">
        <v>1</v>
      </c>
      <c r="AF10" s="4"/>
      <c r="AG10" s="4"/>
      <c r="AH10" s="4"/>
      <c r="AI10" s="4"/>
      <c r="AJ10" s="4"/>
      <c r="AK10" s="38">
        <v>1</v>
      </c>
      <c r="AL10" s="38">
        <v>1</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Unentschieden</v>
      </c>
      <c r="AL11" s="80"/>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3</v>
      </c>
      <c r="J16" s="38">
        <v>1</v>
      </c>
      <c r="K16" s="4"/>
      <c r="L16" s="4"/>
      <c r="M16" s="4"/>
      <c r="N16" s="4"/>
      <c r="O16" s="4"/>
      <c r="P16" s="38">
        <v>0</v>
      </c>
      <c r="Q16" s="38">
        <v>3</v>
      </c>
      <c r="R16" s="4"/>
      <c r="S16" s="4"/>
      <c r="T16" s="4"/>
      <c r="U16" s="4"/>
      <c r="V16" s="4"/>
      <c r="W16" s="38">
        <v>2</v>
      </c>
      <c r="X16" s="38">
        <v>1</v>
      </c>
      <c r="Y16" s="4"/>
      <c r="Z16" s="4"/>
      <c r="AA16" s="4"/>
      <c r="AB16" s="4"/>
      <c r="AC16" s="4"/>
      <c r="AD16" s="38">
        <v>2</v>
      </c>
      <c r="AE16" s="38">
        <v>0</v>
      </c>
      <c r="AF16" s="4"/>
      <c r="AG16" s="4"/>
      <c r="AH16" s="4"/>
      <c r="AI16" s="4"/>
      <c r="AJ16" s="4"/>
      <c r="AK16" s="38">
        <v>1</v>
      </c>
      <c r="AL16" s="38">
        <v>0</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Tunesien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3</v>
      </c>
      <c r="AL18" s="1">
        <f>IF(AL16=AK16,1,IF(AL16&gt;AK16,3,0))</f>
        <v>0</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1</v>
      </c>
      <c r="J21" s="38">
        <v>0</v>
      </c>
      <c r="K21" s="4"/>
      <c r="L21" s="4"/>
      <c r="M21" s="4"/>
      <c r="N21" s="4"/>
      <c r="O21" s="4"/>
      <c r="P21" s="38">
        <v>4</v>
      </c>
      <c r="Q21" s="38">
        <v>0</v>
      </c>
      <c r="R21" s="4"/>
      <c r="S21" s="4"/>
      <c r="T21" s="4"/>
      <c r="U21" s="4"/>
      <c r="V21" s="4"/>
      <c r="W21" s="38">
        <v>2</v>
      </c>
      <c r="X21" s="38">
        <v>0</v>
      </c>
      <c r="Y21" s="4"/>
      <c r="Z21" s="4"/>
      <c r="AA21" s="4"/>
      <c r="AB21" s="4"/>
      <c r="AC21" s="4"/>
      <c r="AD21" s="38">
        <v>3</v>
      </c>
      <c r="AE21" s="38">
        <v>0</v>
      </c>
      <c r="AF21" s="4"/>
      <c r="AG21" s="4"/>
      <c r="AH21" s="4"/>
      <c r="AI21" s="4"/>
      <c r="AJ21" s="4"/>
      <c r="AK21" s="38">
        <v>2</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USA</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3</v>
      </c>
      <c r="Q27" s="38">
        <v>0</v>
      </c>
      <c r="R27" s="4"/>
      <c r="S27" s="4"/>
      <c r="T27" s="4"/>
      <c r="U27" s="4"/>
      <c r="V27" s="4"/>
      <c r="W27" s="38">
        <v>1</v>
      </c>
      <c r="X27" s="38">
        <v>2</v>
      </c>
      <c r="Y27" s="4"/>
      <c r="Z27" s="4"/>
      <c r="AA27" s="4"/>
      <c r="AB27" s="4"/>
      <c r="AC27" s="4"/>
      <c r="AD27" s="38">
        <v>1</v>
      </c>
      <c r="AE27" s="38">
        <v>3</v>
      </c>
      <c r="AF27" s="4"/>
      <c r="AG27" s="4"/>
      <c r="AH27" s="4"/>
      <c r="AI27" s="4"/>
      <c r="AJ27" s="4"/>
      <c r="AK27" s="38">
        <v>2</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Unentschieden</v>
      </c>
      <c r="J28" s="80"/>
      <c r="K28" s="4"/>
      <c r="L28" s="4"/>
      <c r="M28" s="4"/>
      <c r="N28" s="4"/>
      <c r="O28" s="4"/>
      <c r="P28" s="80" t="str">
        <f>IF(P27=Q27,"Unentschieden",IF(P27&gt;Q27,P26,Q26))</f>
        <v>Marokko</v>
      </c>
      <c r="Q28" s="80"/>
      <c r="R28" s="4"/>
      <c r="S28" s="4"/>
      <c r="T28" s="4"/>
      <c r="U28" s="4"/>
      <c r="V28" s="4"/>
      <c r="W28" s="80" t="str">
        <f>IF(W27=X27,"Unentschieden",IF(W27&gt;X27,W26,X26))</f>
        <v>Australien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1</v>
      </c>
      <c r="D32" s="4"/>
      <c r="E32" s="4"/>
      <c r="F32" s="4"/>
      <c r="G32" s="4"/>
      <c r="H32" s="4"/>
      <c r="I32" s="38">
        <v>2</v>
      </c>
      <c r="J32" s="38">
        <v>1</v>
      </c>
      <c r="K32" s="4"/>
      <c r="L32" s="4"/>
      <c r="M32" s="4"/>
      <c r="N32" s="4"/>
      <c r="O32" s="4"/>
      <c r="P32" s="38">
        <v>1</v>
      </c>
      <c r="Q32" s="38">
        <v>3</v>
      </c>
      <c r="R32" s="4"/>
      <c r="S32" s="4"/>
      <c r="T32" s="4"/>
      <c r="U32" s="4"/>
      <c r="V32" s="4"/>
      <c r="W32" s="38">
        <v>1</v>
      </c>
      <c r="X32" s="38">
        <v>2</v>
      </c>
      <c r="Y32" s="4"/>
      <c r="Z32" s="4"/>
      <c r="AA32" s="4"/>
      <c r="AB32" s="4"/>
      <c r="AC32" s="4"/>
      <c r="AD32" s="38">
        <v>1</v>
      </c>
      <c r="AE32" s="38">
        <v>3</v>
      </c>
      <c r="AF32" s="4"/>
      <c r="AG32" s="4"/>
      <c r="AH32" s="4"/>
      <c r="AI32" s="4"/>
      <c r="AJ32" s="4"/>
      <c r="AK32" s="38">
        <v>1</v>
      </c>
      <c r="AL32" s="38">
        <v>2</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USA</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5</v>
      </c>
      <c r="E37" s="1">
        <f>C5+C21+B32</f>
        <v>1</v>
      </c>
      <c r="F37" s="1">
        <f>D37-E37</f>
        <v>4</v>
      </c>
      <c r="G37" s="4"/>
      <c r="H37" s="37"/>
      <c r="I37" s="2" t="s">
        <v>27</v>
      </c>
      <c r="J37" s="1">
        <f>I7+I23+J34</f>
        <v>6</v>
      </c>
      <c r="K37" s="1">
        <f>I5+I21+J32</f>
        <v>5</v>
      </c>
      <c r="L37" s="1">
        <f>J5+J21+I32</f>
        <v>3</v>
      </c>
      <c r="M37" s="1">
        <f>K37-L37</f>
        <v>2</v>
      </c>
      <c r="N37" s="4"/>
      <c r="O37" s="13"/>
      <c r="P37" s="2" t="s">
        <v>29</v>
      </c>
      <c r="Q37" s="1">
        <f>P7+P23+Q34</f>
        <v>9</v>
      </c>
      <c r="R37" s="1">
        <f>P5+P21+Q32</f>
        <v>9</v>
      </c>
      <c r="S37" s="1">
        <f>Q5+Q21+P32</f>
        <v>2</v>
      </c>
      <c r="T37" s="1">
        <f>R37-S37</f>
        <v>7</v>
      </c>
      <c r="U37" s="4"/>
      <c r="V37" s="13"/>
      <c r="W37" s="2" t="s">
        <v>31</v>
      </c>
      <c r="X37" s="1">
        <f>W7+W23+X34</f>
        <v>9</v>
      </c>
      <c r="Y37" s="1">
        <f>W5+W21+X32</f>
        <v>7</v>
      </c>
      <c r="Z37" s="1">
        <f>X5+X21+W32</f>
        <v>2</v>
      </c>
      <c r="AA37" s="1">
        <f>Y37-Z37</f>
        <v>5</v>
      </c>
      <c r="AB37" s="4"/>
      <c r="AC37" s="13"/>
      <c r="AD37" s="2" t="s">
        <v>33</v>
      </c>
      <c r="AE37" s="1">
        <f>AD7+AD23+AE34</f>
        <v>9</v>
      </c>
      <c r="AF37" s="1">
        <f>AD5+AD21+AE32</f>
        <v>10</v>
      </c>
      <c r="AG37" s="1">
        <f>AE5+AE21+AD32</f>
        <v>1</v>
      </c>
      <c r="AH37" s="1">
        <f>AF37-AG37</f>
        <v>9</v>
      </c>
      <c r="AI37" s="4"/>
      <c r="AJ37" s="4"/>
      <c r="AK37" s="2" t="s">
        <v>35</v>
      </c>
      <c r="AL37" s="1">
        <f>AK7+AK23+AL34</f>
        <v>9</v>
      </c>
      <c r="AM37" s="1">
        <f>AK5+AK21+AL32</f>
        <v>6</v>
      </c>
      <c r="AN37" s="1">
        <f>AL5+AL21+AK32</f>
        <v>3</v>
      </c>
      <c r="AO37" s="1">
        <f>AM37-AN37</f>
        <v>3</v>
      </c>
      <c r="AP37" s="4"/>
    </row>
    <row r="38" spans="1:42" x14ac:dyDescent="0.45">
      <c r="A38" s="37"/>
      <c r="B38" s="2" t="s">
        <v>26</v>
      </c>
      <c r="C38" s="1">
        <f>C7+C18+B29</f>
        <v>0</v>
      </c>
      <c r="D38" s="1">
        <f>C5+C16+B27</f>
        <v>1</v>
      </c>
      <c r="E38" s="1">
        <f>B5+B16+C27</f>
        <v>5</v>
      </c>
      <c r="F38" s="1">
        <f t="shared" ref="F38:F40" si="0">D38-E38</f>
        <v>-4</v>
      </c>
      <c r="G38" s="4"/>
      <c r="H38" s="37"/>
      <c r="I38" s="2" t="s">
        <v>28</v>
      </c>
      <c r="J38" s="1">
        <f>J7+J18+I29</f>
        <v>1</v>
      </c>
      <c r="K38" s="1">
        <f>J5+J16+I27</f>
        <v>3</v>
      </c>
      <c r="L38" s="1">
        <f>I5+I16+J27</f>
        <v>7</v>
      </c>
      <c r="M38" s="1">
        <f t="shared" ref="M38:M40" si="1">K38-L38</f>
        <v>-4</v>
      </c>
      <c r="N38" s="4"/>
      <c r="O38" s="13"/>
      <c r="P38" s="2" t="s">
        <v>30</v>
      </c>
      <c r="Q38" s="1">
        <f>Q7+Q18+P29</f>
        <v>6</v>
      </c>
      <c r="R38" s="1">
        <f>Q5+Q16+P27</f>
        <v>7</v>
      </c>
      <c r="S38" s="1">
        <f>P5+P16+Q27</f>
        <v>2</v>
      </c>
      <c r="T38" s="1">
        <f t="shared" ref="T38:T40" si="2">R38-S38</f>
        <v>5</v>
      </c>
      <c r="U38" s="4"/>
      <c r="V38" s="13"/>
      <c r="W38" s="2" t="s">
        <v>32</v>
      </c>
      <c r="X38" s="1">
        <f>X7+X18+W29</f>
        <v>0</v>
      </c>
      <c r="Y38" s="1">
        <f>X5+X16+W27</f>
        <v>3</v>
      </c>
      <c r="Z38" s="1">
        <f>W5+W16+X27</f>
        <v>7</v>
      </c>
      <c r="AA38" s="1">
        <f t="shared" ref="AA38:AA40" si="3">Y38-Z38</f>
        <v>-4</v>
      </c>
      <c r="AB38" s="4"/>
      <c r="AC38" s="13"/>
      <c r="AD38" s="2" t="s">
        <v>34</v>
      </c>
      <c r="AE38" s="1">
        <f>AE7+AE18+AD29</f>
        <v>0</v>
      </c>
      <c r="AF38" s="1">
        <f>AE5+AE16+AD27</f>
        <v>1</v>
      </c>
      <c r="AG38" s="1">
        <f>AD5+AD16+AE27</f>
        <v>9</v>
      </c>
      <c r="AH38" s="1">
        <f t="shared" ref="AH38:AH40" si="4">AF38-AG38</f>
        <v>-8</v>
      </c>
      <c r="AI38" s="4"/>
      <c r="AJ38" s="4"/>
      <c r="AK38" s="2" t="s">
        <v>36</v>
      </c>
      <c r="AL38" s="1">
        <f>AL7+AL18+AK29</f>
        <v>3</v>
      </c>
      <c r="AM38" s="1">
        <f>AL5+AL16+AK27</f>
        <v>3</v>
      </c>
      <c r="AN38" s="1">
        <f>AK5+AK16+AL27</f>
        <v>4</v>
      </c>
      <c r="AO38" s="1">
        <f t="shared" ref="AO38:AO40" si="5">AM38-AN38</f>
        <v>-1</v>
      </c>
      <c r="AP38" s="4"/>
    </row>
    <row r="39" spans="1:42" x14ac:dyDescent="0.45">
      <c r="A39" s="36"/>
      <c r="B39" s="2" t="s">
        <v>37</v>
      </c>
      <c r="C39" s="1">
        <f>B12+C23+C29</f>
        <v>6</v>
      </c>
      <c r="D39" s="1">
        <f>B10+C21+C27</f>
        <v>4</v>
      </c>
      <c r="E39" s="1">
        <f>C10+B21+B27</f>
        <v>3</v>
      </c>
      <c r="F39" s="1">
        <f t="shared" si="0"/>
        <v>1</v>
      </c>
      <c r="G39" s="4"/>
      <c r="H39" s="36"/>
      <c r="I39" s="2" t="s">
        <v>39</v>
      </c>
      <c r="J39" s="1">
        <f>I12+J23+J29</f>
        <v>1</v>
      </c>
      <c r="K39" s="1">
        <f>I10+J21+J27</f>
        <v>1</v>
      </c>
      <c r="L39" s="1">
        <f>J10+I21+I27</f>
        <v>4</v>
      </c>
      <c r="M39" s="1">
        <f t="shared" si="1"/>
        <v>-3</v>
      </c>
      <c r="N39" s="4"/>
      <c r="O39" s="13"/>
      <c r="P39" s="2" t="s">
        <v>41</v>
      </c>
      <c r="Q39" s="1">
        <f>P12+Q23+Q29</f>
        <v>0</v>
      </c>
      <c r="R39" s="1">
        <f>P10+Q21+Q27</f>
        <v>0</v>
      </c>
      <c r="S39" s="1">
        <f>Q10+P21+P27</f>
        <v>8</v>
      </c>
      <c r="T39" s="1">
        <f t="shared" si="2"/>
        <v>-8</v>
      </c>
      <c r="U39" s="4"/>
      <c r="V39" s="13"/>
      <c r="W39" s="2" t="s">
        <v>43</v>
      </c>
      <c r="X39" s="1">
        <f>W12+X23+X29</f>
        <v>3</v>
      </c>
      <c r="Y39" s="1">
        <f>W10+X21+X27</f>
        <v>2</v>
      </c>
      <c r="Z39" s="1">
        <f>X10+W21+W27</f>
        <v>5</v>
      </c>
      <c r="AA39" s="1">
        <f t="shared" si="3"/>
        <v>-3</v>
      </c>
      <c r="AB39" s="4"/>
      <c r="AC39" s="13"/>
      <c r="AD39" s="2" t="s">
        <v>45</v>
      </c>
      <c r="AE39" s="1">
        <f>AD12+AE23+AE29</f>
        <v>6</v>
      </c>
      <c r="AF39" s="1">
        <f>AD10+AE21+AE27</f>
        <v>5</v>
      </c>
      <c r="AG39" s="1">
        <f>AE10+AD21+AD27</f>
        <v>5</v>
      </c>
      <c r="AH39" s="1">
        <f t="shared" si="4"/>
        <v>0</v>
      </c>
      <c r="AI39" s="4"/>
      <c r="AJ39" s="4"/>
      <c r="AK39" s="2" t="s">
        <v>47</v>
      </c>
      <c r="AL39" s="1">
        <f>AK12+AL23+AL29</f>
        <v>1</v>
      </c>
      <c r="AM39" s="1">
        <f>AK10+AL21+AL27</f>
        <v>3</v>
      </c>
      <c r="AN39" s="1">
        <f>AL10+AK21+AK27</f>
        <v>5</v>
      </c>
      <c r="AO39" s="1">
        <f t="shared" si="5"/>
        <v>-2</v>
      </c>
      <c r="AP39" s="4"/>
    </row>
    <row r="40" spans="1:42" x14ac:dyDescent="0.45">
      <c r="A40" s="35"/>
      <c r="B40" s="2" t="s">
        <v>38</v>
      </c>
      <c r="C40" s="1">
        <f>C12+B18+B34</f>
        <v>3</v>
      </c>
      <c r="D40" s="1">
        <f>C10+B16+B32</f>
        <v>3</v>
      </c>
      <c r="E40" s="1">
        <f>B10+C16+C32</f>
        <v>4</v>
      </c>
      <c r="F40" s="1">
        <f t="shared" si="0"/>
        <v>-1</v>
      </c>
      <c r="G40" s="4"/>
      <c r="H40" s="35"/>
      <c r="I40" s="2" t="s">
        <v>40</v>
      </c>
      <c r="J40" s="1">
        <f>J12+I18+I34</f>
        <v>9</v>
      </c>
      <c r="K40" s="1">
        <f>J10+I16+I32</f>
        <v>7</v>
      </c>
      <c r="L40" s="1">
        <f>I10+J16+J32</f>
        <v>2</v>
      </c>
      <c r="M40" s="1">
        <f t="shared" si="1"/>
        <v>5</v>
      </c>
      <c r="N40" s="4"/>
      <c r="O40" s="13"/>
      <c r="P40" s="2" t="s">
        <v>42</v>
      </c>
      <c r="Q40" s="1">
        <f>Q12+P18+P34</f>
        <v>3</v>
      </c>
      <c r="R40" s="1">
        <f>Q10+P16+P32</f>
        <v>2</v>
      </c>
      <c r="S40" s="1">
        <f>P10+Q16+Q32</f>
        <v>6</v>
      </c>
      <c r="T40" s="1">
        <f t="shared" si="2"/>
        <v>-4</v>
      </c>
      <c r="U40" s="4"/>
      <c r="V40" s="13"/>
      <c r="W40" s="2" t="s">
        <v>44</v>
      </c>
      <c r="X40" s="1">
        <f>X12+W18+W34</f>
        <v>6</v>
      </c>
      <c r="Y40" s="1">
        <f>X10+W16+W32</f>
        <v>5</v>
      </c>
      <c r="Z40" s="1">
        <f>W10+X16+X32</f>
        <v>3</v>
      </c>
      <c r="AA40" s="1">
        <f t="shared" si="3"/>
        <v>2</v>
      </c>
      <c r="AB40" s="4"/>
      <c r="AC40" s="13"/>
      <c r="AD40" s="2" t="s">
        <v>46</v>
      </c>
      <c r="AE40" s="1">
        <f>AE12+AD18+AD34</f>
        <v>3</v>
      </c>
      <c r="AF40" s="1">
        <f>AE10+AD16+AD32</f>
        <v>4</v>
      </c>
      <c r="AG40" s="1">
        <f>AD10+AE16+AE32</f>
        <v>5</v>
      </c>
      <c r="AH40" s="1">
        <f t="shared" si="4"/>
        <v>-1</v>
      </c>
      <c r="AI40" s="4"/>
      <c r="AJ40" s="4"/>
      <c r="AK40" s="2" t="s">
        <v>48</v>
      </c>
      <c r="AL40" s="1">
        <f>AL12+AK18+AK34</f>
        <v>4</v>
      </c>
      <c r="AM40" s="1">
        <f>AL10+AK16+AK32</f>
        <v>3</v>
      </c>
      <c r="AN40" s="1">
        <f>AK10+AL16+AL32</f>
        <v>3</v>
      </c>
      <c r="AO40" s="1">
        <f t="shared" si="5"/>
        <v>0</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5</v>
      </c>
      <c r="E43" s="1" cm="1">
        <f t="array" ref="E43:E46">_xlfn.SORTBY(E37:E40,C37:C40,-1,F37:F40,-1,D37:D40,-1)</f>
        <v>1</v>
      </c>
      <c r="F43" s="1" cm="1">
        <f t="array" ref="F43:F46">_xlfn.SORTBY(F37:F40,C37:C40,-1,F37:F40,-1,D37:D40,-1)</f>
        <v>4</v>
      </c>
      <c r="G43" s="4"/>
      <c r="H43" s="33">
        <v>1</v>
      </c>
      <c r="I43" s="2" t="str" cm="1">
        <f t="array" ref="I43:I46">_xlfn.SORTBY(I37:I40,J37:J40,-1,M37:M40,-1,K37:K40,-1)</f>
        <v>Schweiz</v>
      </c>
      <c r="J43" s="1" cm="1">
        <f t="array" ref="J43:J46">_xlfn.SORTBY(J37:J40,J37:J40,-1,M37:M40,-1,K37:K40,-1)</f>
        <v>9</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2</v>
      </c>
      <c r="T43" s="1" cm="1">
        <f t="array" ref="T43:T46">_xlfn.SORTBY(T37:T40,Q37:Q40,-1,T37:T40,-1,R37:R40,-1)</f>
        <v>7</v>
      </c>
      <c r="U43" s="4"/>
      <c r="V43" s="33">
        <v>1</v>
      </c>
      <c r="W43" s="2" t="str" cm="1">
        <f t="array" ref="W43:W46">_xlfn.SORTBY(W37:W40,X37:X40,-1,AA37:AA40,-1,Y37:Y40,-1)</f>
        <v>USA</v>
      </c>
      <c r="X43" s="1" cm="1">
        <f t="array" ref="X43:X46">_xlfn.SORTBY(X37:X40,X37:X40,-1,AA37:AA40,-1,Y37:Y40,-1)</f>
        <v>9</v>
      </c>
      <c r="Y43" s="1" cm="1">
        <f t="array" ref="Y43:Y46">_xlfn.SORTBY(Y37:Y40,X37:X40,-1,AA37:AA40,-1,Y37:Y40,-1)</f>
        <v>7</v>
      </c>
      <c r="Z43" s="1" cm="1">
        <f t="array" ref="Z43:Z46">_xlfn.SORTBY(Z37:Z40,X37:X40,-1,AA37:AA40,-1,Y37:Y40,-1)</f>
        <v>2</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10</v>
      </c>
      <c r="AG43" s="1" cm="1">
        <f t="array" ref="AG43:AG46">_xlfn.SORTBY(AG37:AG40,AE37:AE40,-1,AH37:AH40,-1,AF37:AF40,-1)</f>
        <v>1</v>
      </c>
      <c r="AH43" s="1" cm="1">
        <f t="array" ref="AH43:AH46">_xlfn.SORTBY(AH37:AH40,AE37:AE40,-1,AH37:AH40,-1,AF37:AF40,-1)</f>
        <v>9</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6</v>
      </c>
      <c r="AN43" s="1" cm="1">
        <f t="array" ref="AN43:AN46">_xlfn.SORTBY(AN37:AN40,AL37:AL40,-1,AO37:AO40,-1,AM37:AM40,-1)</f>
        <v>3</v>
      </c>
      <c r="AO43" s="1" cm="1">
        <f t="array" ref="AO43:AO46">_xlfn.SORTBY(AO37:AO40,AL37:AL40,-1,AO37:AO40,-1,AM37:AM40,-1)</f>
        <v>3</v>
      </c>
      <c r="AP43" s="4"/>
    </row>
    <row r="44" spans="1:42" x14ac:dyDescent="0.45">
      <c r="A44" s="33">
        <v>2</v>
      </c>
      <c r="B44" s="2" t="str">
        <v>Südkorea</v>
      </c>
      <c r="C44" s="1">
        <v>6</v>
      </c>
      <c r="D44" s="1">
        <v>4</v>
      </c>
      <c r="E44" s="1">
        <v>3</v>
      </c>
      <c r="F44" s="1">
        <v>1</v>
      </c>
      <c r="G44" s="4"/>
      <c r="H44" s="33">
        <v>2</v>
      </c>
      <c r="I44" s="2" t="str">
        <v>Kanada</v>
      </c>
      <c r="J44" s="1">
        <v>6</v>
      </c>
      <c r="K44" s="1">
        <v>5</v>
      </c>
      <c r="L44" s="1">
        <v>3</v>
      </c>
      <c r="M44" s="1">
        <v>2</v>
      </c>
      <c r="N44" s="4"/>
      <c r="O44" s="33">
        <v>2</v>
      </c>
      <c r="P44" s="2" t="str">
        <v>Marokko</v>
      </c>
      <c r="Q44" s="1">
        <v>6</v>
      </c>
      <c r="R44" s="1">
        <v>7</v>
      </c>
      <c r="S44" s="1">
        <v>2</v>
      </c>
      <c r="T44" s="1">
        <v>5</v>
      </c>
      <c r="U44" s="4"/>
      <c r="V44" s="33">
        <v>2</v>
      </c>
      <c r="W44" s="2" t="str">
        <v>Türkei</v>
      </c>
      <c r="X44" s="1">
        <v>6</v>
      </c>
      <c r="Y44" s="1">
        <v>5</v>
      </c>
      <c r="Z44" s="1">
        <v>3</v>
      </c>
      <c r="AA44" s="1">
        <v>2</v>
      </c>
      <c r="AB44" s="4"/>
      <c r="AC44" s="33">
        <v>2</v>
      </c>
      <c r="AD44" s="2" t="str">
        <v>Elfenbeinküste</v>
      </c>
      <c r="AE44" s="1">
        <v>6</v>
      </c>
      <c r="AF44" s="1">
        <v>5</v>
      </c>
      <c r="AG44" s="1">
        <v>5</v>
      </c>
      <c r="AH44" s="1">
        <v>0</v>
      </c>
      <c r="AI44" s="4"/>
      <c r="AJ44" s="33">
        <v>2</v>
      </c>
      <c r="AK44" s="2" t="str">
        <v>Tunesien</v>
      </c>
      <c r="AL44" s="1">
        <v>4</v>
      </c>
      <c r="AM44" s="1">
        <v>3</v>
      </c>
      <c r="AN44" s="1">
        <v>3</v>
      </c>
      <c r="AO44" s="1">
        <v>0</v>
      </c>
      <c r="AP44" s="4"/>
    </row>
    <row r="45" spans="1:42" x14ac:dyDescent="0.45">
      <c r="A45" s="34">
        <v>3</v>
      </c>
      <c r="B45" s="2" t="str">
        <v>Tschechien</v>
      </c>
      <c r="C45" s="1">
        <v>3</v>
      </c>
      <c r="D45" s="1">
        <v>3</v>
      </c>
      <c r="E45" s="1">
        <v>4</v>
      </c>
      <c r="F45" s="1">
        <v>-1</v>
      </c>
      <c r="G45" s="4"/>
      <c r="H45" s="34">
        <v>3</v>
      </c>
      <c r="I45" s="2" t="str">
        <v>Katar</v>
      </c>
      <c r="J45" s="1">
        <v>1</v>
      </c>
      <c r="K45" s="1">
        <v>1</v>
      </c>
      <c r="L45" s="1">
        <v>4</v>
      </c>
      <c r="M45" s="1">
        <v>-3</v>
      </c>
      <c r="N45" s="4"/>
      <c r="O45" s="34">
        <v>3</v>
      </c>
      <c r="P45" s="2" t="str">
        <v>Schottland</v>
      </c>
      <c r="Q45" s="1">
        <v>3</v>
      </c>
      <c r="R45" s="1">
        <v>2</v>
      </c>
      <c r="S45" s="1">
        <v>6</v>
      </c>
      <c r="T45" s="1">
        <v>-4</v>
      </c>
      <c r="U45" s="4"/>
      <c r="V45" s="34">
        <v>3</v>
      </c>
      <c r="W45" s="2" t="str">
        <v>Australien</v>
      </c>
      <c r="X45" s="1">
        <v>3</v>
      </c>
      <c r="Y45" s="1">
        <v>2</v>
      </c>
      <c r="Z45" s="1">
        <v>5</v>
      </c>
      <c r="AA45" s="1">
        <v>-3</v>
      </c>
      <c r="AB45" s="4"/>
      <c r="AC45" s="34">
        <v>3</v>
      </c>
      <c r="AD45" s="2" t="str">
        <v>Ecuador</v>
      </c>
      <c r="AE45" s="1">
        <v>3</v>
      </c>
      <c r="AF45" s="1">
        <v>4</v>
      </c>
      <c r="AG45" s="1">
        <v>5</v>
      </c>
      <c r="AH45" s="1">
        <v>-1</v>
      </c>
      <c r="AI45" s="4"/>
      <c r="AJ45" s="34">
        <v>3</v>
      </c>
      <c r="AK45" s="2" t="str">
        <v>Japan</v>
      </c>
      <c r="AL45" s="1">
        <v>3</v>
      </c>
      <c r="AM45" s="1">
        <v>3</v>
      </c>
      <c r="AN45" s="1">
        <v>4</v>
      </c>
      <c r="AO45" s="1">
        <v>-1</v>
      </c>
      <c r="AP45" s="4"/>
    </row>
    <row r="46" spans="1:42" x14ac:dyDescent="0.45">
      <c r="A46" s="32">
        <v>4</v>
      </c>
      <c r="B46" s="2" t="str">
        <v>Südafrika</v>
      </c>
      <c r="C46" s="1">
        <v>0</v>
      </c>
      <c r="D46" s="1">
        <v>1</v>
      </c>
      <c r="E46" s="1">
        <v>5</v>
      </c>
      <c r="F46" s="1">
        <v>-4</v>
      </c>
      <c r="G46" s="4"/>
      <c r="H46" s="32">
        <v>4</v>
      </c>
      <c r="I46" s="2" t="str">
        <v>Bosnien-Herz.</v>
      </c>
      <c r="J46" s="1">
        <v>1</v>
      </c>
      <c r="K46" s="1">
        <v>3</v>
      </c>
      <c r="L46" s="1">
        <v>7</v>
      </c>
      <c r="M46" s="1">
        <v>-4</v>
      </c>
      <c r="N46" s="4"/>
      <c r="O46" s="32">
        <v>4</v>
      </c>
      <c r="P46" s="2" t="str">
        <v>Haiti</v>
      </c>
      <c r="Q46" s="1">
        <v>0</v>
      </c>
      <c r="R46" s="1">
        <v>0</v>
      </c>
      <c r="S46" s="1">
        <v>8</v>
      </c>
      <c r="T46" s="1">
        <v>-8</v>
      </c>
      <c r="U46" s="4"/>
      <c r="V46" s="32">
        <v>4</v>
      </c>
      <c r="W46" s="2" t="str">
        <v>Paraguay</v>
      </c>
      <c r="X46" s="1">
        <v>0</v>
      </c>
      <c r="Y46" s="1">
        <v>3</v>
      </c>
      <c r="Z46" s="1">
        <v>7</v>
      </c>
      <c r="AA46" s="1">
        <v>-4</v>
      </c>
      <c r="AB46" s="4"/>
      <c r="AC46" s="32">
        <v>4</v>
      </c>
      <c r="AD46" s="2" t="str">
        <v>Curacao</v>
      </c>
      <c r="AE46" s="1">
        <v>0</v>
      </c>
      <c r="AF46" s="1">
        <v>1</v>
      </c>
      <c r="AG46" s="1">
        <v>9</v>
      </c>
      <c r="AH46" s="1">
        <v>-8</v>
      </c>
      <c r="AI46" s="4"/>
      <c r="AJ46" s="32">
        <v>4</v>
      </c>
      <c r="AK46" s="2" t="str">
        <v>Schweden</v>
      </c>
      <c r="AL46" s="1">
        <v>1</v>
      </c>
      <c r="AM46" s="1">
        <v>3</v>
      </c>
      <c r="AN46" s="1">
        <v>5</v>
      </c>
      <c r="AO46" s="1">
        <v>-2</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55"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4</v>
      </c>
      <c r="J52" s="38">
        <v>0</v>
      </c>
      <c r="K52" s="4"/>
      <c r="L52" s="4"/>
      <c r="M52" s="4"/>
      <c r="N52" s="4"/>
      <c r="O52" s="4"/>
      <c r="P52" s="38">
        <v>2</v>
      </c>
      <c r="Q52" s="38">
        <v>1</v>
      </c>
      <c r="R52" s="4"/>
      <c r="S52" s="4"/>
      <c r="T52" s="4"/>
      <c r="U52" s="4"/>
      <c r="V52" s="4"/>
      <c r="W52" s="38">
        <v>2</v>
      </c>
      <c r="X52" s="38">
        <v>0</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1</v>
      </c>
      <c r="J57" s="38">
        <v>2</v>
      </c>
      <c r="K57" s="4"/>
      <c r="L57" s="4"/>
      <c r="M57" s="4"/>
      <c r="N57" s="4"/>
      <c r="O57" s="4"/>
      <c r="P57" s="38">
        <v>0</v>
      </c>
      <c r="Q57" s="38">
        <v>2</v>
      </c>
      <c r="R57" s="4"/>
      <c r="S57" s="4"/>
      <c r="T57" s="4"/>
      <c r="U57" s="4"/>
      <c r="V57" s="4"/>
      <c r="W57" s="38">
        <v>2</v>
      </c>
      <c r="X57" s="38">
        <v>1</v>
      </c>
      <c r="Y57" s="4"/>
      <c r="Z57" s="4"/>
      <c r="AA57" s="4"/>
      <c r="AB57" s="4"/>
      <c r="AC57" s="4"/>
      <c r="AD57" s="38">
        <v>0</v>
      </c>
      <c r="AE57" s="38">
        <v>2</v>
      </c>
      <c r="AF57" s="4"/>
      <c r="AG57" s="4"/>
      <c r="AH57" s="4"/>
      <c r="AI57" s="4"/>
      <c r="AJ57" s="4"/>
      <c r="AK57" s="38">
        <v>0</v>
      </c>
      <c r="AL57" s="38">
        <v>1</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Panama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3</v>
      </c>
      <c r="J63" s="38">
        <v>0</v>
      </c>
      <c r="K63" s="4"/>
      <c r="L63" s="4"/>
      <c r="M63" s="4"/>
      <c r="N63" s="4"/>
      <c r="O63" s="4"/>
      <c r="P63" s="38">
        <v>4</v>
      </c>
      <c r="Q63" s="38">
        <v>0</v>
      </c>
      <c r="R63" s="4"/>
      <c r="S63" s="4"/>
      <c r="T63" s="4"/>
      <c r="U63" s="4"/>
      <c r="V63" s="4"/>
      <c r="W63" s="38">
        <v>3</v>
      </c>
      <c r="X63" s="38">
        <v>1</v>
      </c>
      <c r="Y63" s="4"/>
      <c r="Z63" s="4"/>
      <c r="AA63" s="4"/>
      <c r="AB63" s="4"/>
      <c r="AC63" s="4"/>
      <c r="AD63" s="38">
        <v>3</v>
      </c>
      <c r="AE63" s="38">
        <v>0</v>
      </c>
      <c r="AF63" s="4"/>
      <c r="AG63" s="4"/>
      <c r="AH63" s="4"/>
      <c r="AI63" s="4"/>
      <c r="AJ63" s="4"/>
      <c r="AK63" s="38">
        <v>2</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2</v>
      </c>
      <c r="D68" s="4"/>
      <c r="E68" s="4"/>
      <c r="F68" s="4"/>
      <c r="G68" s="4"/>
      <c r="H68" s="4"/>
      <c r="I68" s="38">
        <v>2</v>
      </c>
      <c r="J68" s="38">
        <v>1</v>
      </c>
      <c r="K68" s="4"/>
      <c r="L68" s="4"/>
      <c r="M68" s="4"/>
      <c r="N68" s="4"/>
      <c r="O68" s="4"/>
      <c r="P68" s="38">
        <v>1</v>
      </c>
      <c r="Q68" s="38">
        <v>2</v>
      </c>
      <c r="R68" s="4"/>
      <c r="S68" s="4"/>
      <c r="T68" s="4"/>
      <c r="U68" s="4"/>
      <c r="V68" s="4"/>
      <c r="W68" s="38">
        <v>1</v>
      </c>
      <c r="X68" s="38">
        <v>2</v>
      </c>
      <c r="Y68" s="4"/>
      <c r="Z68" s="4"/>
      <c r="AA68" s="4"/>
      <c r="AB68" s="4"/>
      <c r="AC68" s="4"/>
      <c r="AD68" s="38">
        <v>2</v>
      </c>
      <c r="AE68" s="38">
        <v>1</v>
      </c>
      <c r="AF68" s="4"/>
      <c r="AG68" s="4"/>
      <c r="AH68" s="4"/>
      <c r="AI68" s="4"/>
      <c r="AJ68" s="4"/>
      <c r="AK68" s="38">
        <v>1</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Senegal</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3</v>
      </c>
      <c r="D74" s="4"/>
      <c r="E74" s="4"/>
      <c r="F74" s="4"/>
      <c r="G74" s="4"/>
      <c r="H74" s="4"/>
      <c r="I74" s="38">
        <v>1</v>
      </c>
      <c r="J74" s="38">
        <v>3</v>
      </c>
      <c r="K74" s="4"/>
      <c r="L74" s="4"/>
      <c r="M74" s="4"/>
      <c r="N74" s="4"/>
      <c r="O74" s="4"/>
      <c r="P74" s="38">
        <v>1</v>
      </c>
      <c r="Q74" s="38">
        <v>3</v>
      </c>
      <c r="R74" s="4"/>
      <c r="S74" s="4"/>
      <c r="T74" s="4"/>
      <c r="U74" s="4"/>
      <c r="V74" s="4"/>
      <c r="W74" s="38">
        <v>0</v>
      </c>
      <c r="X74" s="38">
        <v>2</v>
      </c>
      <c r="Y74" s="4"/>
      <c r="Z74" s="4"/>
      <c r="AA74" s="4"/>
      <c r="AB74" s="4"/>
      <c r="AC74" s="4"/>
      <c r="AD74" s="38">
        <v>1</v>
      </c>
      <c r="AE74" s="38">
        <v>3</v>
      </c>
      <c r="AF74" s="4"/>
      <c r="AG74" s="4"/>
      <c r="AH74" s="4"/>
      <c r="AI74" s="4"/>
      <c r="AJ74" s="4"/>
      <c r="AK74" s="38">
        <v>1</v>
      </c>
      <c r="AL74" s="38">
        <v>2</v>
      </c>
      <c r="AM74" s="4"/>
      <c r="AN74" s="4"/>
      <c r="AO74" s="4"/>
      <c r="AP74" s="4"/>
    </row>
    <row r="75" spans="1:42" ht="17.55"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1</v>
      </c>
      <c r="D79" s="4"/>
      <c r="E79" s="4"/>
      <c r="F79" s="4"/>
      <c r="G79" s="4"/>
      <c r="H79" s="4"/>
      <c r="I79" s="38">
        <v>1</v>
      </c>
      <c r="J79" s="38">
        <v>1</v>
      </c>
      <c r="K79" s="4"/>
      <c r="L79" s="4"/>
      <c r="M79" s="4"/>
      <c r="N79" s="4"/>
      <c r="O79" s="4"/>
      <c r="P79" s="38">
        <v>3</v>
      </c>
      <c r="Q79" s="38">
        <v>1</v>
      </c>
      <c r="R79" s="4"/>
      <c r="S79" s="4"/>
      <c r="T79" s="4"/>
      <c r="U79" s="4"/>
      <c r="V79" s="4"/>
      <c r="W79" s="38">
        <v>2</v>
      </c>
      <c r="X79" s="38">
        <v>2</v>
      </c>
      <c r="Y79" s="4"/>
      <c r="Z79" s="4"/>
      <c r="AA79" s="4"/>
      <c r="AB79" s="4"/>
      <c r="AC79" s="4"/>
      <c r="AD79" s="38">
        <v>0</v>
      </c>
      <c r="AE79" s="38">
        <v>1</v>
      </c>
      <c r="AF79" s="4"/>
      <c r="AG79" s="4"/>
      <c r="AH79" s="4"/>
      <c r="AI79" s="4"/>
      <c r="AJ79" s="4"/>
      <c r="AK79" s="38">
        <v>2</v>
      </c>
      <c r="AL79" s="38">
        <v>0</v>
      </c>
      <c r="AM79" s="4"/>
      <c r="AN79" s="4"/>
      <c r="AO79" s="4"/>
      <c r="AP79" s="4"/>
    </row>
    <row r="80" spans="1:42" ht="17.55" customHeight="1" x14ac:dyDescent="0.45">
      <c r="A80" s="4"/>
      <c r="B80" s="80" t="str">
        <f>IF(B79=C79,"Unentschieden",IF(B79&gt;C79,B78,C78))</f>
        <v>Ägypten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Usbekistan</v>
      </c>
      <c r="AE80" s="80"/>
      <c r="AF80" s="4"/>
      <c r="AG80" s="4"/>
      <c r="AH80" s="4"/>
      <c r="AI80" s="4"/>
      <c r="AJ80" s="4"/>
      <c r="AK80" s="80" t="str">
        <f>IF(AK79=AL79,"Unentschieden",IF(AK79&gt;AL79,AK78,AL78))</f>
        <v>Kroatien</v>
      </c>
      <c r="AL80" s="80"/>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0</v>
      </c>
      <c r="AE81" s="1">
        <f>IF(AE79=AD79,1,IF(AE79&gt;AD79,3,0))</f>
        <v>3</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8</v>
      </c>
      <c r="E84" s="1">
        <f>C52+C63+B74</f>
        <v>2</v>
      </c>
      <c r="F84" s="1">
        <f>D84-E84</f>
        <v>6</v>
      </c>
      <c r="G84" s="4"/>
      <c r="H84" s="37"/>
      <c r="I84" s="2" t="s">
        <v>65</v>
      </c>
      <c r="J84" s="1">
        <f>I54+I65+J76</f>
        <v>9</v>
      </c>
      <c r="K84" s="1">
        <f>I52+I63+J74</f>
        <v>10</v>
      </c>
      <c r="L84" s="1">
        <f>J52+J63+I74</f>
        <v>1</v>
      </c>
      <c r="M84" s="1">
        <f>K84-L84</f>
        <v>9</v>
      </c>
      <c r="N84" s="4"/>
      <c r="O84" s="13"/>
      <c r="P84" s="2" t="s">
        <v>67</v>
      </c>
      <c r="Q84" s="1">
        <f>P54+P65+Q76</f>
        <v>9</v>
      </c>
      <c r="R84" s="1">
        <f>P52+P63+Q74</f>
        <v>9</v>
      </c>
      <c r="S84" s="1">
        <f>Q52+Q63+P74</f>
        <v>2</v>
      </c>
      <c r="T84" s="1">
        <f>R84-S84</f>
        <v>7</v>
      </c>
      <c r="U84" s="4"/>
      <c r="V84" s="13"/>
      <c r="W84" s="2" t="s">
        <v>69</v>
      </c>
      <c r="X84" s="1">
        <f>W54+W65+X76</f>
        <v>9</v>
      </c>
      <c r="Y84" s="1">
        <f>W52+W63+X74</f>
        <v>7</v>
      </c>
      <c r="Z84" s="1">
        <f>X52+X63+W74</f>
        <v>1</v>
      </c>
      <c r="AA84" s="1">
        <f>Y84-Z84</f>
        <v>6</v>
      </c>
      <c r="AB84" s="4"/>
      <c r="AC84" s="13"/>
      <c r="AD84" s="2" t="s">
        <v>71</v>
      </c>
      <c r="AE84" s="1">
        <f>AD54+AD65+AE76</f>
        <v>9</v>
      </c>
      <c r="AF84" s="1">
        <f>AD52+AD63+AE74</f>
        <v>9</v>
      </c>
      <c r="AG84" s="1">
        <f>AE52+AE63+AD74</f>
        <v>2</v>
      </c>
      <c r="AH84" s="1">
        <f>AF84-AG84</f>
        <v>7</v>
      </c>
      <c r="AI84" s="4"/>
      <c r="AJ84" s="4"/>
      <c r="AK84" s="2" t="s">
        <v>73</v>
      </c>
      <c r="AL84" s="1">
        <f>AK54+AK65+AL76</f>
        <v>9</v>
      </c>
      <c r="AM84" s="1">
        <f>AK52+AK63+AL74</f>
        <v>6</v>
      </c>
      <c r="AN84" s="1">
        <f>AL52+AL63+AK74</f>
        <v>2</v>
      </c>
      <c r="AO84" s="1">
        <f>AM84-AN84</f>
        <v>4</v>
      </c>
      <c r="AP84" s="4"/>
    </row>
    <row r="85" spans="1:42" ht="17.55" customHeight="1" x14ac:dyDescent="0.45">
      <c r="A85" s="37"/>
      <c r="B85" s="2" t="s">
        <v>64</v>
      </c>
      <c r="C85" s="1">
        <f>C54+C70+B81</f>
        <v>6</v>
      </c>
      <c r="D85" s="1">
        <f>C52+C68+B79</f>
        <v>5</v>
      </c>
      <c r="E85" s="1">
        <f>B52+B68+C79</f>
        <v>3</v>
      </c>
      <c r="F85" s="1">
        <f t="shared" ref="F85:F87" si="6">D85-E85</f>
        <v>2</v>
      </c>
      <c r="G85" s="4"/>
      <c r="H85" s="37"/>
      <c r="I85" s="2" t="s">
        <v>66</v>
      </c>
      <c r="J85" s="1">
        <f>J54+J70+I81</f>
        <v>1</v>
      </c>
      <c r="K85" s="1">
        <f>J52+J68+I79</f>
        <v>2</v>
      </c>
      <c r="L85" s="1">
        <f>I52+I68+J79</f>
        <v>7</v>
      </c>
      <c r="M85" s="1">
        <f t="shared" ref="M85:M87" si="7">K85-L85</f>
        <v>-5</v>
      </c>
      <c r="N85" s="4"/>
      <c r="O85" s="13"/>
      <c r="P85" s="2" t="s">
        <v>68</v>
      </c>
      <c r="Q85" s="1">
        <f>Q54+Q70+P81</f>
        <v>6</v>
      </c>
      <c r="R85" s="1">
        <f>Q52+Q68+P79</f>
        <v>6</v>
      </c>
      <c r="S85" s="1">
        <f>P52+P68+Q79</f>
        <v>4</v>
      </c>
      <c r="T85" s="1">
        <f t="shared" ref="T85:T87" si="8">R85-S85</f>
        <v>2</v>
      </c>
      <c r="U85" s="4"/>
      <c r="V85" s="13"/>
      <c r="W85" s="2" t="s">
        <v>70</v>
      </c>
      <c r="X85" s="1">
        <f>X54+X70+W81</f>
        <v>4</v>
      </c>
      <c r="Y85" s="1">
        <f>X52+X68+W79</f>
        <v>4</v>
      </c>
      <c r="Z85" s="1">
        <f>W52+W68+X79</f>
        <v>5</v>
      </c>
      <c r="AA85" s="1">
        <f t="shared" ref="AA85:AA87" si="9">Y85-Z85</f>
        <v>-1</v>
      </c>
      <c r="AB85" s="4"/>
      <c r="AC85" s="13"/>
      <c r="AD85" s="2" t="s">
        <v>72</v>
      </c>
      <c r="AE85" s="1">
        <f>AE54+AE70+AD81</f>
        <v>0</v>
      </c>
      <c r="AF85" s="1">
        <f>AE52+AE68+AD79</f>
        <v>2</v>
      </c>
      <c r="AG85" s="1">
        <f>AD52+AD68+AE79</f>
        <v>6</v>
      </c>
      <c r="AH85" s="1">
        <f t="shared" ref="AH85:AH87" si="10">AF85-AG85</f>
        <v>-4</v>
      </c>
      <c r="AI85" s="4"/>
      <c r="AJ85" s="4"/>
      <c r="AK85" s="2" t="s">
        <v>74</v>
      </c>
      <c r="AL85" s="1">
        <f>AL54+AL70+AK81</f>
        <v>6</v>
      </c>
      <c r="AM85" s="1">
        <f>AL52+AL68+AK79</f>
        <v>5</v>
      </c>
      <c r="AN85" s="1">
        <f>AK52+AK68+AL79</f>
        <v>3</v>
      </c>
      <c r="AO85" s="1">
        <f t="shared" ref="AO85:AO87" si="11">AM85-AN85</f>
        <v>2</v>
      </c>
      <c r="AP85" s="4"/>
    </row>
    <row r="86" spans="1:42" ht="17.55" customHeight="1" x14ac:dyDescent="0.45">
      <c r="A86" s="36"/>
      <c r="B86" s="2" t="s">
        <v>75</v>
      </c>
      <c r="C86" s="1">
        <f>B59+C65+C81</f>
        <v>3</v>
      </c>
      <c r="D86" s="1">
        <f>B57+C63+C79</f>
        <v>4</v>
      </c>
      <c r="E86" s="1">
        <f>C57+B63+B79</f>
        <v>6</v>
      </c>
      <c r="F86" s="1">
        <f t="shared" si="6"/>
        <v>-2</v>
      </c>
      <c r="G86" s="4"/>
      <c r="H86" s="36"/>
      <c r="I86" s="2" t="s">
        <v>77</v>
      </c>
      <c r="J86" s="1">
        <f>I59+J65+J81</f>
        <v>1</v>
      </c>
      <c r="K86" s="1">
        <f>I57+J63+J79</f>
        <v>2</v>
      </c>
      <c r="L86" s="1">
        <f>J57+I63+I79</f>
        <v>6</v>
      </c>
      <c r="M86" s="1">
        <f t="shared" si="7"/>
        <v>-4</v>
      </c>
      <c r="N86" s="4"/>
      <c r="O86" s="13"/>
      <c r="P86" s="2" t="s">
        <v>79</v>
      </c>
      <c r="Q86" s="1">
        <f>P59+Q65+Q81</f>
        <v>0</v>
      </c>
      <c r="R86" s="1">
        <f>P57+Q63+Q79</f>
        <v>1</v>
      </c>
      <c r="S86" s="1">
        <f>Q57+P63+P79</f>
        <v>9</v>
      </c>
      <c r="T86" s="1">
        <f t="shared" si="8"/>
        <v>-8</v>
      </c>
      <c r="U86" s="4"/>
      <c r="V86" s="13"/>
      <c r="W86" s="2" t="s">
        <v>81</v>
      </c>
      <c r="X86" s="1">
        <f>W59+X65+X81</f>
        <v>4</v>
      </c>
      <c r="Y86" s="1">
        <f>W57+X63+X79</f>
        <v>5</v>
      </c>
      <c r="Z86" s="1">
        <f>X57+W63+W79</f>
        <v>6</v>
      </c>
      <c r="AA86" s="1">
        <f t="shared" si="9"/>
        <v>-1</v>
      </c>
      <c r="AB86" s="4"/>
      <c r="AC86" s="13"/>
      <c r="AD86" s="2" t="s">
        <v>83</v>
      </c>
      <c r="AE86" s="1">
        <f>AD59+AE65+AE81</f>
        <v>3</v>
      </c>
      <c r="AF86" s="1">
        <f>AD57+AE63+AE79</f>
        <v>1</v>
      </c>
      <c r="AG86" s="1">
        <f>AE57+AD63+AD79</f>
        <v>5</v>
      </c>
      <c r="AH86" s="1">
        <f t="shared" si="10"/>
        <v>-4</v>
      </c>
      <c r="AI86" s="4"/>
      <c r="AJ86" s="4"/>
      <c r="AK86" s="2" t="s">
        <v>85</v>
      </c>
      <c r="AL86" s="1">
        <f>AK59+AL65+AL81</f>
        <v>0</v>
      </c>
      <c r="AM86" s="1">
        <f>AK57+AL63+AL79</f>
        <v>0</v>
      </c>
      <c r="AN86" s="1">
        <f>AL57+AK63+AK79</f>
        <v>5</v>
      </c>
      <c r="AO86" s="1">
        <f t="shared" si="11"/>
        <v>-5</v>
      </c>
      <c r="AP86" s="4"/>
    </row>
    <row r="87" spans="1:42" x14ac:dyDescent="0.45">
      <c r="A87" s="35"/>
      <c r="B87" s="2" t="s">
        <v>76</v>
      </c>
      <c r="C87" s="1">
        <f>C59+B70+B76</f>
        <v>0</v>
      </c>
      <c r="D87" s="1">
        <f>C57+B68+B74</f>
        <v>1</v>
      </c>
      <c r="E87" s="1">
        <f>B57+C68+C74</f>
        <v>7</v>
      </c>
      <c r="F87" s="1">
        <f t="shared" si="6"/>
        <v>-6</v>
      </c>
      <c r="G87" s="4"/>
      <c r="H87" s="35"/>
      <c r="I87" s="2" t="s">
        <v>78</v>
      </c>
      <c r="J87" s="1">
        <f>J59+I70+I76</f>
        <v>6</v>
      </c>
      <c r="K87" s="1">
        <f>J57+I68+I74</f>
        <v>5</v>
      </c>
      <c r="L87" s="1">
        <f>I57+J68+J74</f>
        <v>5</v>
      </c>
      <c r="M87" s="1">
        <f t="shared" si="7"/>
        <v>0</v>
      </c>
      <c r="N87" s="4"/>
      <c r="O87" s="13"/>
      <c r="P87" s="2" t="s">
        <v>80</v>
      </c>
      <c r="Q87" s="1">
        <f>Q59+P70+P76</f>
        <v>3</v>
      </c>
      <c r="R87" s="1">
        <f>Q57+P68+P74</f>
        <v>4</v>
      </c>
      <c r="S87" s="1">
        <f>P57+Q68+Q74</f>
        <v>5</v>
      </c>
      <c r="T87" s="1">
        <f t="shared" si="8"/>
        <v>-1</v>
      </c>
      <c r="U87" s="4"/>
      <c r="V87" s="13"/>
      <c r="W87" s="2" t="s">
        <v>82</v>
      </c>
      <c r="X87" s="1">
        <f>X59+W70+W76</f>
        <v>0</v>
      </c>
      <c r="Y87" s="1">
        <f>X57+W68+W74</f>
        <v>2</v>
      </c>
      <c r="Z87" s="1">
        <f>W57+X68+X74</f>
        <v>6</v>
      </c>
      <c r="AA87" s="1">
        <f t="shared" si="9"/>
        <v>-4</v>
      </c>
      <c r="AB87" s="4"/>
      <c r="AC87" s="13"/>
      <c r="AD87" s="2" t="s">
        <v>84</v>
      </c>
      <c r="AE87" s="1">
        <f>AE59+AD70+AD76</f>
        <v>6</v>
      </c>
      <c r="AF87" s="1">
        <f>AE57+AD68+AD74</f>
        <v>5</v>
      </c>
      <c r="AG87" s="1">
        <f>AD57+AE68+AE74</f>
        <v>4</v>
      </c>
      <c r="AH87" s="1">
        <f t="shared" si="10"/>
        <v>1</v>
      </c>
      <c r="AI87" s="4"/>
      <c r="AJ87" s="4"/>
      <c r="AK87" s="2" t="s">
        <v>86</v>
      </c>
      <c r="AL87" s="1">
        <f>AL59+AK70+AK76</f>
        <v>3</v>
      </c>
      <c r="AM87" s="1">
        <f>AL57+AK68+AK74</f>
        <v>3</v>
      </c>
      <c r="AN87" s="1">
        <f>AK57+AL68+AL74</f>
        <v>4</v>
      </c>
      <c r="AO87" s="1">
        <f t="shared" si="11"/>
        <v>-1</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8</v>
      </c>
      <c r="E90" s="1" cm="1">
        <f t="array" ref="E90:E93">_xlfn.SORTBY(E84:E87,C84:C87,-1,F84:F87,-1,D84:D87,-1)</f>
        <v>2</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10</v>
      </c>
      <c r="L90" s="1" cm="1">
        <f t="array" ref="L90:L93">_xlfn.SORTBY(L84:L87,J84:J87,-1,M84:M87,-1,K84:K87,-1)</f>
        <v>1</v>
      </c>
      <c r="M90" s="1" cm="1">
        <f t="array" ref="M90:M93">_xlfn.SORTBY(M84:M87,J84:J87,-1,M84:M87,-1,K84:K87,-1)</f>
        <v>9</v>
      </c>
      <c r="N90" s="4"/>
      <c r="O90" s="33">
        <v>1</v>
      </c>
      <c r="P90" s="2" t="str" cm="1">
        <f t="array" ref="P90:P93">_xlfn.SORTBY(P84:P87,Q84:Q87,-1,T84:T87,-1,R84:R87,-1)</f>
        <v>Frankreich</v>
      </c>
      <c r="Q90" s="1" cm="1">
        <f t="array" ref="Q90:Q93">_xlfn.SORTBY(Q84:Q87,Q84:Q87,-1,T84:T87,-1,R84:R87,-1)</f>
        <v>9</v>
      </c>
      <c r="R90" s="1" cm="1">
        <f t="array" ref="R90:R93">_xlfn.SORTBY(R84:R87,Q84:Q87,-1,T84:T87,-1,R84:R87,-1)</f>
        <v>9</v>
      </c>
      <c r="S90" s="1" cm="1">
        <f t="array" ref="S90:S93">_xlfn.SORTBY(S84:S87,Q84:Q87,-1,T84:T87,-1,R84:R87,-1)</f>
        <v>2</v>
      </c>
      <c r="T90" s="1" cm="1">
        <f t="array" ref="T90:T93">_xlfn.SORTBY(T84:T87,Q84:Q87,-1,T84:T87,-1,R84:R87,-1)</f>
        <v>7</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7</v>
      </c>
      <c r="Z90" s="1" cm="1">
        <f t="array" ref="Z90:Z93">_xlfn.SORTBY(Z84:Z87,X84:X87,-1,AA84:AA87,-1,Y84:Y87,-1)</f>
        <v>1</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Ägypten</v>
      </c>
      <c r="C91" s="1">
        <v>6</v>
      </c>
      <c r="D91" s="1">
        <v>5</v>
      </c>
      <c r="E91" s="1">
        <v>3</v>
      </c>
      <c r="F91" s="1">
        <v>2</v>
      </c>
      <c r="G91" s="4"/>
      <c r="H91" s="33">
        <v>2</v>
      </c>
      <c r="I91" s="2" t="str">
        <v>Uruguay</v>
      </c>
      <c r="J91" s="1">
        <v>6</v>
      </c>
      <c r="K91" s="1">
        <v>5</v>
      </c>
      <c r="L91" s="1">
        <v>5</v>
      </c>
      <c r="M91" s="1">
        <v>0</v>
      </c>
      <c r="N91" s="4"/>
      <c r="O91" s="33">
        <v>2</v>
      </c>
      <c r="P91" s="2" t="str">
        <v>Senegal</v>
      </c>
      <c r="Q91" s="1">
        <v>6</v>
      </c>
      <c r="R91" s="1">
        <v>6</v>
      </c>
      <c r="S91" s="1">
        <v>4</v>
      </c>
      <c r="T91" s="1">
        <v>2</v>
      </c>
      <c r="U91" s="4"/>
      <c r="V91" s="33">
        <v>2</v>
      </c>
      <c r="W91" s="2" t="str">
        <v>Österreich</v>
      </c>
      <c r="X91" s="1">
        <v>4</v>
      </c>
      <c r="Y91" s="1">
        <v>5</v>
      </c>
      <c r="Z91" s="1">
        <v>6</v>
      </c>
      <c r="AA91" s="1">
        <v>-1</v>
      </c>
      <c r="AB91" s="4"/>
      <c r="AC91" s="33">
        <v>2</v>
      </c>
      <c r="AD91" s="2" t="str">
        <v>Kolumbien</v>
      </c>
      <c r="AE91" s="1">
        <v>6</v>
      </c>
      <c r="AF91" s="1">
        <v>5</v>
      </c>
      <c r="AG91" s="1">
        <v>4</v>
      </c>
      <c r="AH91" s="1">
        <v>1</v>
      </c>
      <c r="AI91" s="4"/>
      <c r="AJ91" s="33">
        <v>2</v>
      </c>
      <c r="AK91" s="2" t="str">
        <v>Kroatien</v>
      </c>
      <c r="AL91" s="1">
        <v>6</v>
      </c>
      <c r="AM91" s="1">
        <v>5</v>
      </c>
      <c r="AN91" s="1">
        <v>3</v>
      </c>
      <c r="AO91" s="1">
        <v>2</v>
      </c>
      <c r="AP91" s="4"/>
    </row>
    <row r="92" spans="1:42" x14ac:dyDescent="0.45">
      <c r="A92" s="34">
        <v>3</v>
      </c>
      <c r="B92" s="2" t="str">
        <v>Iran</v>
      </c>
      <c r="C92" s="1">
        <v>3</v>
      </c>
      <c r="D92" s="1">
        <v>4</v>
      </c>
      <c r="E92" s="1">
        <v>6</v>
      </c>
      <c r="F92" s="1">
        <v>-2</v>
      </c>
      <c r="G92" s="4"/>
      <c r="H92" s="34">
        <v>3</v>
      </c>
      <c r="I92" s="2" t="str">
        <v>Saudi-Arabien</v>
      </c>
      <c r="J92" s="1">
        <v>1</v>
      </c>
      <c r="K92" s="1">
        <v>2</v>
      </c>
      <c r="L92" s="1">
        <v>6</v>
      </c>
      <c r="M92" s="1">
        <v>-4</v>
      </c>
      <c r="N92" s="4"/>
      <c r="O92" s="34">
        <v>3</v>
      </c>
      <c r="P92" s="2" t="str">
        <v>Norwegen</v>
      </c>
      <c r="Q92" s="1">
        <v>3</v>
      </c>
      <c r="R92" s="1">
        <v>4</v>
      </c>
      <c r="S92" s="1">
        <v>5</v>
      </c>
      <c r="T92" s="1">
        <v>-1</v>
      </c>
      <c r="U92" s="4"/>
      <c r="V92" s="34">
        <v>3</v>
      </c>
      <c r="W92" s="2" t="str">
        <v>Algerien</v>
      </c>
      <c r="X92" s="1">
        <v>4</v>
      </c>
      <c r="Y92" s="1">
        <v>4</v>
      </c>
      <c r="Z92" s="1">
        <v>5</v>
      </c>
      <c r="AA92" s="1">
        <v>-1</v>
      </c>
      <c r="AB92" s="4"/>
      <c r="AC92" s="34">
        <v>3</v>
      </c>
      <c r="AD92" s="2" t="str">
        <v>Usbekistan</v>
      </c>
      <c r="AE92" s="1">
        <v>3</v>
      </c>
      <c r="AF92" s="1">
        <v>1</v>
      </c>
      <c r="AG92" s="1">
        <v>5</v>
      </c>
      <c r="AH92" s="1">
        <v>-4</v>
      </c>
      <c r="AI92" s="4"/>
      <c r="AJ92" s="34">
        <v>3</v>
      </c>
      <c r="AK92" s="2" t="str">
        <v>Panama</v>
      </c>
      <c r="AL92" s="1">
        <v>3</v>
      </c>
      <c r="AM92" s="1">
        <v>3</v>
      </c>
      <c r="AN92" s="1">
        <v>4</v>
      </c>
      <c r="AO92" s="1">
        <v>-1</v>
      </c>
      <c r="AP92" s="4"/>
    </row>
    <row r="93" spans="1:42" x14ac:dyDescent="0.45">
      <c r="A93" s="32">
        <v>4</v>
      </c>
      <c r="B93" s="2" t="str">
        <v>Neuseeland</v>
      </c>
      <c r="C93" s="1">
        <v>0</v>
      </c>
      <c r="D93" s="1">
        <v>1</v>
      </c>
      <c r="E93" s="1">
        <v>7</v>
      </c>
      <c r="F93" s="1">
        <v>-6</v>
      </c>
      <c r="G93" s="4"/>
      <c r="H93" s="32">
        <v>4</v>
      </c>
      <c r="I93" s="2" t="str">
        <v>Kap Verde</v>
      </c>
      <c r="J93" s="1">
        <v>1</v>
      </c>
      <c r="K93" s="1">
        <v>2</v>
      </c>
      <c r="L93" s="1">
        <v>7</v>
      </c>
      <c r="M93" s="1">
        <v>-5</v>
      </c>
      <c r="N93" s="4"/>
      <c r="O93" s="32">
        <v>4</v>
      </c>
      <c r="P93" s="2" t="str">
        <v>Irak</v>
      </c>
      <c r="Q93" s="1">
        <v>0</v>
      </c>
      <c r="R93" s="1">
        <v>1</v>
      </c>
      <c r="S93" s="1">
        <v>9</v>
      </c>
      <c r="T93" s="1">
        <v>-8</v>
      </c>
      <c r="U93" s="4"/>
      <c r="V93" s="32">
        <v>4</v>
      </c>
      <c r="W93" s="2" t="str">
        <v>Jordanien</v>
      </c>
      <c r="X93" s="1">
        <v>0</v>
      </c>
      <c r="Y93" s="1">
        <v>2</v>
      </c>
      <c r="Z93" s="1">
        <v>6</v>
      </c>
      <c r="AA93" s="1">
        <v>-4</v>
      </c>
      <c r="AB93" s="4"/>
      <c r="AC93" s="32">
        <v>4</v>
      </c>
      <c r="AD93" s="2" t="str">
        <v>DR Kongo</v>
      </c>
      <c r="AE93" s="1">
        <v>0</v>
      </c>
      <c r="AF93" s="1">
        <v>2</v>
      </c>
      <c r="AG93" s="1">
        <v>6</v>
      </c>
      <c r="AH93" s="1">
        <v>-4</v>
      </c>
      <c r="AI93" s="4"/>
      <c r="AJ93" s="32">
        <v>4</v>
      </c>
      <c r="AK93" s="2" t="str">
        <v>Ghana</v>
      </c>
      <c r="AL93" s="1">
        <v>0</v>
      </c>
      <c r="AM93" s="1">
        <v>0</v>
      </c>
      <c r="AN93" s="1">
        <v>5</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3</v>
      </c>
      <c r="V98" s="2">
        <f>D92</f>
        <v>4</v>
      </c>
      <c r="W98" s="2">
        <f>E92</f>
        <v>6</v>
      </c>
      <c r="X98" s="2">
        <f>F92</f>
        <v>-2</v>
      </c>
    </row>
    <row r="99" spans="17:24" x14ac:dyDescent="0.45">
      <c r="Q99"/>
      <c r="R99" s="82" t="str">
        <f>I92</f>
        <v>Saudi-Arabien</v>
      </c>
      <c r="S99" s="82"/>
      <c r="T99" s="82"/>
      <c r="U99" s="2">
        <f>J92</f>
        <v>1</v>
      </c>
      <c r="V99" s="2">
        <f>K92</f>
        <v>2</v>
      </c>
      <c r="W99" s="2">
        <f>L92</f>
        <v>6</v>
      </c>
      <c r="X99" s="2">
        <f>M92</f>
        <v>-4</v>
      </c>
    </row>
    <row r="100" spans="17:24" x14ac:dyDescent="0.45">
      <c r="Q100"/>
      <c r="R100" s="82" t="str">
        <f>P92</f>
        <v>Norwegen</v>
      </c>
      <c r="S100" s="82"/>
      <c r="T100" s="82"/>
      <c r="U100" s="2">
        <f>Q92</f>
        <v>3</v>
      </c>
      <c r="V100" s="2">
        <f>R92</f>
        <v>4</v>
      </c>
      <c r="W100" s="2">
        <f>S92</f>
        <v>5</v>
      </c>
      <c r="X100" s="2">
        <f>T92</f>
        <v>-1</v>
      </c>
    </row>
    <row r="101" spans="17:24" x14ac:dyDescent="0.45">
      <c r="Q101"/>
      <c r="R101" s="82" t="str">
        <f>W92</f>
        <v>Algerien</v>
      </c>
      <c r="S101" s="82"/>
      <c r="T101" s="82"/>
      <c r="U101" s="2">
        <f>X92</f>
        <v>4</v>
      </c>
      <c r="V101" s="2">
        <f>Y92</f>
        <v>4</v>
      </c>
      <c r="W101" s="2">
        <f>Z92</f>
        <v>5</v>
      </c>
      <c r="X101" s="2">
        <f>AA92</f>
        <v>-1</v>
      </c>
    </row>
    <row r="102" spans="17:24" x14ac:dyDescent="0.45">
      <c r="Q102"/>
      <c r="R102" s="82" t="str">
        <f>AD92</f>
        <v>Usbekistan</v>
      </c>
      <c r="S102" s="82"/>
      <c r="T102" s="82"/>
      <c r="U102" s="2">
        <f>AE92</f>
        <v>3</v>
      </c>
      <c r="V102" s="2">
        <f>AF92</f>
        <v>1</v>
      </c>
      <c r="W102" s="2">
        <f>AG92</f>
        <v>5</v>
      </c>
      <c r="X102" s="2">
        <f t="shared" ref="X102" si="12">AH92</f>
        <v>-4</v>
      </c>
    </row>
    <row r="103" spans="17:24" x14ac:dyDescent="0.45">
      <c r="Q103"/>
      <c r="R103" s="82" t="str">
        <f>AK92</f>
        <v>Panama</v>
      </c>
      <c r="S103" s="82"/>
      <c r="T103" s="82"/>
      <c r="U103" s="2">
        <f>AL92</f>
        <v>3</v>
      </c>
      <c r="V103" s="2">
        <f t="shared" ref="V103:X103" si="13">AM92</f>
        <v>3</v>
      </c>
      <c r="W103" s="2">
        <f t="shared" si="13"/>
        <v>4</v>
      </c>
      <c r="X103" s="2">
        <f t="shared" si="13"/>
        <v>-1</v>
      </c>
    </row>
    <row r="104" spans="17:24" x14ac:dyDescent="0.45">
      <c r="R104" s="82" t="str">
        <f>B45</f>
        <v>Tschechien</v>
      </c>
      <c r="S104" s="82"/>
      <c r="T104" s="82"/>
      <c r="U104" s="2">
        <f>C45</f>
        <v>3</v>
      </c>
      <c r="V104" s="2">
        <f t="shared" ref="V104:X104" si="14">D45</f>
        <v>3</v>
      </c>
      <c r="W104" s="2">
        <f t="shared" si="14"/>
        <v>4</v>
      </c>
      <c r="X104" s="2">
        <f t="shared" si="14"/>
        <v>-1</v>
      </c>
    </row>
    <row r="105" spans="17:24" x14ac:dyDescent="0.45">
      <c r="R105" s="82" t="str">
        <f>I45</f>
        <v>Katar</v>
      </c>
      <c r="S105" s="82"/>
      <c r="T105" s="82"/>
      <c r="U105" s="2">
        <f>J45</f>
        <v>1</v>
      </c>
      <c r="V105" s="2">
        <f t="shared" ref="V105:X105" si="15">K45</f>
        <v>1</v>
      </c>
      <c r="W105" s="2">
        <f t="shared" si="15"/>
        <v>4</v>
      </c>
      <c r="X105" s="2">
        <f t="shared" si="15"/>
        <v>-3</v>
      </c>
    </row>
    <row r="106" spans="17:24" x14ac:dyDescent="0.45">
      <c r="R106" s="82" t="str">
        <f>P45</f>
        <v>Schottland</v>
      </c>
      <c r="S106" s="82"/>
      <c r="T106" s="82"/>
      <c r="U106" s="2">
        <f>Q45</f>
        <v>3</v>
      </c>
      <c r="V106" s="2">
        <f t="shared" ref="V106:X106" si="16">R45</f>
        <v>2</v>
      </c>
      <c r="W106" s="2">
        <f t="shared" si="16"/>
        <v>6</v>
      </c>
      <c r="X106" s="2">
        <f t="shared" si="16"/>
        <v>-4</v>
      </c>
    </row>
    <row r="107" spans="17:24" x14ac:dyDescent="0.45">
      <c r="R107" s="82" t="str">
        <f>W45</f>
        <v>Australien</v>
      </c>
      <c r="S107" s="82"/>
      <c r="T107" s="82"/>
      <c r="U107" s="2">
        <f>X45</f>
        <v>3</v>
      </c>
      <c r="V107" s="2">
        <f t="shared" ref="V107:W107" si="17">Y45</f>
        <v>2</v>
      </c>
      <c r="W107" s="2">
        <f t="shared" si="17"/>
        <v>5</v>
      </c>
      <c r="X107" s="2">
        <f>AA45</f>
        <v>-3</v>
      </c>
    </row>
    <row r="108" spans="17:24" x14ac:dyDescent="0.45">
      <c r="R108" s="82" t="str">
        <f>AD45</f>
        <v>Ecuador</v>
      </c>
      <c r="S108" s="82"/>
      <c r="T108" s="82"/>
      <c r="U108" s="2">
        <f>AE45</f>
        <v>3</v>
      </c>
      <c r="V108" s="2">
        <f t="shared" ref="V108:X108" si="18">AF45</f>
        <v>4</v>
      </c>
      <c r="W108" s="2">
        <f t="shared" si="18"/>
        <v>5</v>
      </c>
      <c r="X108" s="2">
        <f t="shared" si="18"/>
        <v>-1</v>
      </c>
    </row>
    <row r="109" spans="17:24" x14ac:dyDescent="0.45">
      <c r="R109" s="82" t="str">
        <f>AK45</f>
        <v>Japan</v>
      </c>
      <c r="S109" s="82"/>
      <c r="T109" s="82"/>
      <c r="U109" s="2">
        <f>AL45</f>
        <v>3</v>
      </c>
      <c r="V109" s="2">
        <f t="shared" ref="V109:W109" si="19">AM45</f>
        <v>3</v>
      </c>
      <c r="W109" s="2">
        <f t="shared" si="19"/>
        <v>4</v>
      </c>
      <c r="X109" s="2">
        <f>AO45</f>
        <v>-1</v>
      </c>
    </row>
    <row r="112" spans="17:24" x14ac:dyDescent="0.45">
      <c r="Q112" s="33">
        <v>1</v>
      </c>
      <c r="R112" s="2" t="str" cm="1">
        <f t="array" ref="R112:R123">_xlfn.SORTBY(R98:R109,U98:U109,-1,X98:X109,-1,V98:V109,-1)</f>
        <v>Algerien</v>
      </c>
      <c r="U112" s="2" cm="1">
        <f t="array" ref="U112:U123">_xlfn.SORTBY(U98:U109,U98:U109,-1,X98:X109,-1,V98:V109,-1)</f>
        <v>4</v>
      </c>
      <c r="V112" s="2" cm="1">
        <f t="array" ref="V112:V123">_xlfn.SORTBY(V98:V109,U98:U109,-1,X98:X109,-1,V98:V109,-1)</f>
        <v>4</v>
      </c>
      <c r="W112" s="2" cm="1">
        <f t="array" ref="W112:W123">_xlfn.SORTBY(W98:W109,U98:U109,-1,X98:X109,-1,V98:V109,-1)</f>
        <v>5</v>
      </c>
      <c r="X112" s="2" cm="1">
        <f t="array" ref="X112:X123">_xlfn.SORTBY(X98:X109,U98:U109,-1,X98:X109,-1,V98:V109,-1)</f>
        <v>-1</v>
      </c>
    </row>
    <row r="113" spans="17:24" x14ac:dyDescent="0.45">
      <c r="Q113" s="33">
        <v>2</v>
      </c>
      <c r="R113" s="2" t="str">
        <v>Norwegen</v>
      </c>
      <c r="U113" s="2">
        <v>3</v>
      </c>
      <c r="V113" s="2">
        <v>4</v>
      </c>
      <c r="W113" s="2">
        <v>5</v>
      </c>
      <c r="X113" s="2">
        <v>-1</v>
      </c>
    </row>
    <row r="114" spans="17:24" x14ac:dyDescent="0.45">
      <c r="Q114" s="33">
        <v>3</v>
      </c>
      <c r="R114" s="2" t="str">
        <v>Ecuador</v>
      </c>
      <c r="U114" s="2">
        <v>3</v>
      </c>
      <c r="V114" s="2">
        <v>4</v>
      </c>
      <c r="W114" s="2">
        <v>5</v>
      </c>
      <c r="X114" s="2">
        <v>-1</v>
      </c>
    </row>
    <row r="115" spans="17:24" x14ac:dyDescent="0.45">
      <c r="Q115" s="33">
        <v>4</v>
      </c>
      <c r="R115" s="2" t="str">
        <v>Panama</v>
      </c>
      <c r="U115" s="2">
        <v>3</v>
      </c>
      <c r="V115" s="2">
        <v>3</v>
      </c>
      <c r="W115" s="2">
        <v>4</v>
      </c>
      <c r="X115" s="2">
        <v>-1</v>
      </c>
    </row>
    <row r="116" spans="17:24" x14ac:dyDescent="0.45">
      <c r="Q116" s="33">
        <v>5</v>
      </c>
      <c r="R116" s="2" t="str">
        <v>Tschechien</v>
      </c>
      <c r="U116" s="2">
        <v>3</v>
      </c>
      <c r="V116" s="2">
        <v>3</v>
      </c>
      <c r="W116" s="2">
        <v>4</v>
      </c>
      <c r="X116" s="2">
        <v>-1</v>
      </c>
    </row>
    <row r="117" spans="17:24" x14ac:dyDescent="0.45">
      <c r="Q117" s="33">
        <v>6</v>
      </c>
      <c r="R117" s="2" t="str">
        <v>Japan</v>
      </c>
      <c r="U117" s="2">
        <v>3</v>
      </c>
      <c r="V117" s="2">
        <v>3</v>
      </c>
      <c r="W117" s="2">
        <v>4</v>
      </c>
      <c r="X117" s="2">
        <v>-1</v>
      </c>
    </row>
    <row r="118" spans="17:24" x14ac:dyDescent="0.45">
      <c r="Q118" s="33">
        <v>7</v>
      </c>
      <c r="R118" s="2" t="str">
        <v>Iran</v>
      </c>
      <c r="U118" s="2">
        <v>3</v>
      </c>
      <c r="V118" s="2">
        <v>4</v>
      </c>
      <c r="W118" s="2">
        <v>6</v>
      </c>
      <c r="X118" s="2">
        <v>-2</v>
      </c>
    </row>
    <row r="119" spans="17:24" x14ac:dyDescent="0.45">
      <c r="Q119" s="33">
        <v>8</v>
      </c>
      <c r="R119" s="2" t="str">
        <v>Australien</v>
      </c>
      <c r="U119" s="2">
        <v>3</v>
      </c>
      <c r="V119" s="2">
        <v>2</v>
      </c>
      <c r="W119" s="2">
        <v>5</v>
      </c>
      <c r="X119" s="2">
        <v>-3</v>
      </c>
    </row>
    <row r="120" spans="17:24" x14ac:dyDescent="0.45">
      <c r="Q120" s="32">
        <v>9</v>
      </c>
      <c r="R120" s="2" t="str">
        <v>Schottland</v>
      </c>
      <c r="U120" s="2">
        <v>3</v>
      </c>
      <c r="V120" s="2">
        <v>2</v>
      </c>
      <c r="W120" s="2">
        <v>6</v>
      </c>
      <c r="X120" s="2">
        <v>-4</v>
      </c>
    </row>
    <row r="121" spans="17:24" x14ac:dyDescent="0.45">
      <c r="Q121" s="32">
        <v>10</v>
      </c>
      <c r="R121" s="2" t="str">
        <v>Usbekistan</v>
      </c>
      <c r="U121" s="2">
        <v>3</v>
      </c>
      <c r="V121" s="2">
        <v>1</v>
      </c>
      <c r="W121" s="2">
        <v>5</v>
      </c>
      <c r="X121" s="2">
        <v>-4</v>
      </c>
    </row>
    <row r="122" spans="17:24" x14ac:dyDescent="0.45">
      <c r="Q122" s="32">
        <v>11</v>
      </c>
      <c r="R122" s="2" t="str">
        <v>Katar</v>
      </c>
      <c r="U122" s="2">
        <v>1</v>
      </c>
      <c r="V122" s="2">
        <v>1</v>
      </c>
      <c r="W122" s="2">
        <v>4</v>
      </c>
      <c r="X122" s="2">
        <v>-3</v>
      </c>
    </row>
    <row r="123" spans="17:24" x14ac:dyDescent="0.45">
      <c r="Q123" s="32">
        <v>12</v>
      </c>
      <c r="R123" s="2" t="str">
        <v>Saudi-Arabien</v>
      </c>
      <c r="U123" s="2">
        <v>1</v>
      </c>
      <c r="V123" s="2">
        <v>2</v>
      </c>
      <c r="W123" s="2">
        <v>6</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215</v>
      </c>
    </row>
    <row r="155" spans="1:23" x14ac:dyDescent="0.45">
      <c r="A155" s="23" t="s">
        <v>103</v>
      </c>
      <c r="B155" s="24">
        <f>SUM(H160:H231)</f>
        <v>222</v>
      </c>
    </row>
    <row r="156" spans="1:23" x14ac:dyDescent="0.45">
      <c r="A156" s="23" t="s">
        <v>104</v>
      </c>
      <c r="B156" s="24">
        <f>SUM(E234:E265)</f>
        <v>125</v>
      </c>
    </row>
    <row r="157" spans="1:23" x14ac:dyDescent="0.45">
      <c r="A157" s="25" t="s">
        <v>105</v>
      </c>
      <c r="B157" s="26">
        <f>B154+B155+B156</f>
        <v>562</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5</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3</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4</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0</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4</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2</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4</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5</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2</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3</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3</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4</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4</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1</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2</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1</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4</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4</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2</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2</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4</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4</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3</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3</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3</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1</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2</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215</v>
      </c>
      <c r="H232" s="24">
        <f>SUM(H160:H231)</f>
        <v>222</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Australien</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Elfenbeinküste</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Tunesien</v>
      </c>
      <c r="E245" s="28">
        <f t="shared" si="20"/>
        <v>0</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Österreich</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Algerien</v>
      </c>
      <c r="E258" s="28">
        <f t="shared" si="20"/>
        <v>5</v>
      </c>
    </row>
    <row r="259" spans="1:5" x14ac:dyDescent="0.45">
      <c r="A259" s="28">
        <v>26</v>
      </c>
      <c r="B259" s="29" t="s">
        <v>359</v>
      </c>
      <c r="C259" s="29" t="str">
        <f>Realität!R113</f>
        <v>Schweden</v>
      </c>
      <c r="D259" s="29" t="str">
        <f t="shared" si="21"/>
        <v>Norwegen</v>
      </c>
      <c r="E259" s="28">
        <f t="shared" si="20"/>
        <v>5</v>
      </c>
    </row>
    <row r="260" spans="1:5" x14ac:dyDescent="0.45">
      <c r="A260" s="28">
        <v>27</v>
      </c>
      <c r="B260" s="29" t="s">
        <v>360</v>
      </c>
      <c r="C260" s="29" t="str">
        <f>Realität!R114</f>
        <v>Ghana</v>
      </c>
      <c r="D260" s="29" t="str">
        <f t="shared" si="21"/>
        <v>Ecuador</v>
      </c>
      <c r="E260" s="28">
        <f t="shared" si="20"/>
        <v>5</v>
      </c>
    </row>
    <row r="261" spans="1:5" x14ac:dyDescent="0.45">
      <c r="A261" s="28">
        <v>28</v>
      </c>
      <c r="B261" s="29" t="s">
        <v>361</v>
      </c>
      <c r="C261" s="29" t="str">
        <f>Realität!R115</f>
        <v>Ecuador</v>
      </c>
      <c r="D261" s="29" t="str">
        <f t="shared" si="21"/>
        <v>Panama</v>
      </c>
      <c r="E261" s="28">
        <f t="shared" si="20"/>
        <v>0</v>
      </c>
    </row>
    <row r="262" spans="1:5" x14ac:dyDescent="0.45">
      <c r="A262" s="28">
        <v>29</v>
      </c>
      <c r="B262" s="29" t="s">
        <v>362</v>
      </c>
      <c r="C262" s="29" t="str">
        <f>Realität!R116</f>
        <v>Bosnien-Herz.</v>
      </c>
      <c r="D262" s="29" t="str">
        <f t="shared" si="21"/>
        <v>Tschechien</v>
      </c>
      <c r="E262" s="28">
        <f t="shared" si="20"/>
        <v>0</v>
      </c>
    </row>
    <row r="263" spans="1:5" x14ac:dyDescent="0.45">
      <c r="A263" s="28">
        <v>30</v>
      </c>
      <c r="B263" s="29" t="s">
        <v>363</v>
      </c>
      <c r="C263" s="29" t="str">
        <f>Realität!R117</f>
        <v>Algerien</v>
      </c>
      <c r="D263" s="29" t="str">
        <f t="shared" si="21"/>
        <v>Japan</v>
      </c>
      <c r="E263" s="28">
        <f t="shared" si="20"/>
        <v>5</v>
      </c>
    </row>
    <row r="264" spans="1:5" x14ac:dyDescent="0.45">
      <c r="A264" s="28">
        <v>31</v>
      </c>
      <c r="B264" s="29" t="s">
        <v>364</v>
      </c>
      <c r="C264" s="29" t="str">
        <f>Realität!R118</f>
        <v>Paraguay</v>
      </c>
      <c r="D264" s="29" t="str">
        <f t="shared" si="21"/>
        <v>Iran</v>
      </c>
      <c r="E264" s="28">
        <f t="shared" si="20"/>
        <v>0</v>
      </c>
    </row>
    <row r="265" spans="1:5" x14ac:dyDescent="0.45">
      <c r="A265" s="28">
        <v>32</v>
      </c>
      <c r="B265" s="29" t="s">
        <v>365</v>
      </c>
      <c r="C265" s="29" t="str">
        <f>Realität!R119</f>
        <v>Senegal</v>
      </c>
      <c r="D265" s="29" t="str">
        <f t="shared" si="21"/>
        <v>Australien</v>
      </c>
      <c r="E265" s="28">
        <f t="shared" si="20"/>
        <v>5</v>
      </c>
    </row>
    <row r="266" spans="1:5" x14ac:dyDescent="0.45">
      <c r="D266" s="23" t="s">
        <v>330</v>
      </c>
      <c r="E266" s="24">
        <f>SUM(E234:E265)</f>
        <v>125</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04CC-2D7C-4B11-B657-007A563A431A}">
  <dimension ref="A1:AP266"/>
  <sheetViews>
    <sheetView topLeftCell="A124" zoomScale="80" zoomScaleNormal="80" workbookViewId="0">
      <selection activeCell="D157" sqref="D157"/>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1</v>
      </c>
      <c r="K5" s="4"/>
      <c r="L5" s="4"/>
      <c r="M5" s="4"/>
      <c r="N5" s="4"/>
      <c r="O5" s="4"/>
      <c r="P5" s="38">
        <v>1</v>
      </c>
      <c r="Q5" s="38">
        <v>1</v>
      </c>
      <c r="R5" s="4"/>
      <c r="S5" s="4"/>
      <c r="T5" s="4"/>
      <c r="U5" s="4"/>
      <c r="V5" s="4"/>
      <c r="W5" s="38">
        <v>2</v>
      </c>
      <c r="X5" s="38">
        <v>1</v>
      </c>
      <c r="Y5" s="4"/>
      <c r="Z5" s="4"/>
      <c r="AA5" s="4"/>
      <c r="AB5" s="4"/>
      <c r="AC5" s="4"/>
      <c r="AD5" s="38">
        <v>4</v>
      </c>
      <c r="AE5" s="38">
        <v>0</v>
      </c>
      <c r="AF5" s="4"/>
      <c r="AG5" s="4"/>
      <c r="AH5" s="4"/>
      <c r="AI5" s="4"/>
      <c r="AJ5" s="4"/>
      <c r="AK5" s="38">
        <v>1</v>
      </c>
      <c r="AL5" s="38">
        <v>1</v>
      </c>
      <c r="AM5" s="4"/>
      <c r="AN5" s="4"/>
      <c r="AO5" s="4"/>
      <c r="AP5" s="4"/>
    </row>
    <row r="6" spans="1:42" x14ac:dyDescent="0.45">
      <c r="A6" s="4"/>
      <c r="B6" s="80" t="str">
        <f>IF(B5=C5,"Unentschieden",IF(B5&gt;C5,B4,C4))</f>
        <v>Mexiko</v>
      </c>
      <c r="C6" s="80"/>
      <c r="D6" s="4"/>
      <c r="E6" s="4"/>
      <c r="F6" s="4"/>
      <c r="G6" s="4"/>
      <c r="H6" s="4"/>
      <c r="I6" s="80" t="str">
        <f>IF(I5=J5,"Unentschieden",IF(I5&gt;J5,I4,J4))</f>
        <v>Unentschieden</v>
      </c>
      <c r="J6" s="80"/>
      <c r="K6" s="4"/>
      <c r="L6" s="4"/>
      <c r="M6" s="4"/>
      <c r="N6" s="4"/>
      <c r="O6" s="4"/>
      <c r="P6" s="80" t="str">
        <f>IF(P5=Q5,"Unentschieden",IF(P5&gt;Q5,P4,Q4))</f>
        <v>Unentschieden</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Unentschieden</v>
      </c>
      <c r="AL6" s="80"/>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1</v>
      </c>
      <c r="D10" s="4"/>
      <c r="E10" s="4"/>
      <c r="F10" s="4"/>
      <c r="G10" s="4"/>
      <c r="H10" s="4"/>
      <c r="I10" s="38">
        <v>0</v>
      </c>
      <c r="J10" s="38">
        <v>4</v>
      </c>
      <c r="K10" s="4"/>
      <c r="L10" s="4"/>
      <c r="M10" s="4"/>
      <c r="N10" s="4"/>
      <c r="O10" s="4"/>
      <c r="P10" s="38">
        <v>0</v>
      </c>
      <c r="Q10" s="38">
        <v>2</v>
      </c>
      <c r="R10" s="4"/>
      <c r="S10" s="4"/>
      <c r="T10" s="4"/>
      <c r="U10" s="4"/>
      <c r="V10" s="4"/>
      <c r="W10" s="38">
        <v>0</v>
      </c>
      <c r="X10" s="38">
        <v>2</v>
      </c>
      <c r="Y10" s="4"/>
      <c r="Z10" s="4"/>
      <c r="AA10" s="4"/>
      <c r="AB10" s="4"/>
      <c r="AC10" s="4"/>
      <c r="AD10" s="38">
        <v>2</v>
      </c>
      <c r="AE10" s="38">
        <v>2</v>
      </c>
      <c r="AF10" s="4"/>
      <c r="AG10" s="4"/>
      <c r="AH10" s="4"/>
      <c r="AI10" s="4"/>
      <c r="AJ10" s="4"/>
      <c r="AK10" s="38">
        <v>2</v>
      </c>
      <c r="AL10" s="38">
        <v>1</v>
      </c>
      <c r="AM10" s="4"/>
      <c r="AN10" s="4"/>
      <c r="AO10" s="4"/>
      <c r="AP10" s="4"/>
    </row>
    <row r="11" spans="1:42" x14ac:dyDescent="0.45">
      <c r="A11" s="4"/>
      <c r="B11" s="80" t="str">
        <f>IF(B10=C10,"Unentschieden",IF(B10&gt;C10,B9,C9))</f>
        <v>Tschechien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Unentschieden</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2</v>
      </c>
      <c r="D16" s="4"/>
      <c r="E16" s="4"/>
      <c r="F16" s="4"/>
      <c r="G16" s="4"/>
      <c r="H16" s="4"/>
      <c r="I16" s="38">
        <v>2</v>
      </c>
      <c r="J16" s="38">
        <v>1</v>
      </c>
      <c r="K16" s="4"/>
      <c r="L16" s="4"/>
      <c r="M16" s="4"/>
      <c r="N16" s="4"/>
      <c r="O16" s="4"/>
      <c r="P16" s="38">
        <v>1</v>
      </c>
      <c r="Q16" s="38">
        <v>2</v>
      </c>
      <c r="R16" s="4"/>
      <c r="S16" s="4"/>
      <c r="T16" s="4"/>
      <c r="U16" s="4"/>
      <c r="V16" s="4"/>
      <c r="W16" s="38">
        <v>1</v>
      </c>
      <c r="X16" s="38">
        <v>1</v>
      </c>
      <c r="Y16" s="4"/>
      <c r="Z16" s="4"/>
      <c r="AA16" s="4"/>
      <c r="AB16" s="4"/>
      <c r="AC16" s="4"/>
      <c r="AD16" s="38">
        <v>2</v>
      </c>
      <c r="AE16" s="38">
        <v>1</v>
      </c>
      <c r="AF16" s="4"/>
      <c r="AG16" s="4"/>
      <c r="AH16" s="4"/>
      <c r="AI16" s="4"/>
      <c r="AJ16" s="4"/>
      <c r="AK16" s="38">
        <v>1</v>
      </c>
      <c r="AL16" s="38">
        <v>2</v>
      </c>
      <c r="AM16" s="4"/>
      <c r="AN16" s="4"/>
      <c r="AO16" s="4"/>
      <c r="AP16" s="4"/>
    </row>
    <row r="17" spans="1:42" x14ac:dyDescent="0.45">
      <c r="A17" s="4"/>
      <c r="B17" s="80" t="str">
        <f>IF(B16=C16,"Unentschieden",IF(B16&gt;C16,B15,C15))</f>
        <v>Südafrika</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Unentschieden</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0</v>
      </c>
      <c r="C18" s="1">
        <f>IF(C16=B16,1,IF(C16&gt;B16,3,0))</f>
        <v>3</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3</v>
      </c>
      <c r="J21" s="38">
        <v>1</v>
      </c>
      <c r="K21" s="4"/>
      <c r="L21" s="4"/>
      <c r="M21" s="4"/>
      <c r="N21" s="4"/>
      <c r="O21" s="4"/>
      <c r="P21" s="38">
        <v>4</v>
      </c>
      <c r="Q21" s="38">
        <v>1</v>
      </c>
      <c r="R21" s="4"/>
      <c r="S21" s="4"/>
      <c r="T21" s="4"/>
      <c r="U21" s="4"/>
      <c r="V21" s="4"/>
      <c r="W21" s="38">
        <v>2</v>
      </c>
      <c r="X21" s="38">
        <v>1</v>
      </c>
      <c r="Y21" s="4"/>
      <c r="Z21" s="4"/>
      <c r="AA21" s="4"/>
      <c r="AB21" s="4"/>
      <c r="AC21" s="4"/>
      <c r="AD21" s="38">
        <v>1</v>
      </c>
      <c r="AE21" s="38">
        <v>0</v>
      </c>
      <c r="AF21" s="4"/>
      <c r="AG21" s="4"/>
      <c r="AH21" s="4"/>
      <c r="AI21" s="4"/>
      <c r="AJ21" s="4"/>
      <c r="AK21" s="38">
        <v>3</v>
      </c>
      <c r="AL21" s="38">
        <v>1</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USA</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2</v>
      </c>
      <c r="C27" s="38">
        <v>1</v>
      </c>
      <c r="D27" s="4"/>
      <c r="E27" s="4"/>
      <c r="F27" s="4"/>
      <c r="G27" s="4"/>
      <c r="H27" s="4"/>
      <c r="I27" s="38">
        <v>4</v>
      </c>
      <c r="J27" s="38">
        <v>2</v>
      </c>
      <c r="K27" s="4"/>
      <c r="L27" s="4"/>
      <c r="M27" s="4"/>
      <c r="N27" s="4"/>
      <c r="O27" s="4"/>
      <c r="P27" s="38">
        <v>2</v>
      </c>
      <c r="Q27" s="38">
        <v>0</v>
      </c>
      <c r="R27" s="4"/>
      <c r="S27" s="4"/>
      <c r="T27" s="4"/>
      <c r="U27" s="4"/>
      <c r="V27" s="4"/>
      <c r="W27" s="38">
        <v>2</v>
      </c>
      <c r="X27" s="38">
        <v>2</v>
      </c>
      <c r="Y27" s="4"/>
      <c r="Z27" s="4"/>
      <c r="AA27" s="4"/>
      <c r="AB27" s="4"/>
      <c r="AC27" s="4"/>
      <c r="AD27" s="38">
        <v>1</v>
      </c>
      <c r="AE27" s="38">
        <v>2</v>
      </c>
      <c r="AF27" s="4"/>
      <c r="AG27" s="4"/>
      <c r="AH27" s="4"/>
      <c r="AI27" s="4"/>
      <c r="AJ27" s="4"/>
      <c r="AK27" s="38">
        <v>1</v>
      </c>
      <c r="AL27" s="38">
        <v>0</v>
      </c>
      <c r="AM27" s="4"/>
      <c r="AN27" s="4"/>
      <c r="AO27" s="4"/>
      <c r="AP27" s="4"/>
    </row>
    <row r="28" spans="1:42" x14ac:dyDescent="0.45">
      <c r="A28" s="4"/>
      <c r="B28" s="80" t="str">
        <f>IF(B27=C27,"Unentschieden",IF(B27&gt;C27,B26,C26))</f>
        <v>Südafrika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Unentschieden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Japan</v>
      </c>
      <c r="AL28" s="80"/>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2</v>
      </c>
      <c r="Q32" s="38">
        <v>2</v>
      </c>
      <c r="R32" s="4"/>
      <c r="S32" s="4"/>
      <c r="T32" s="4"/>
      <c r="U32" s="4"/>
      <c r="V32" s="4"/>
      <c r="W32" s="38">
        <v>2</v>
      </c>
      <c r="X32" s="38">
        <v>2</v>
      </c>
      <c r="Y32" s="4"/>
      <c r="Z32" s="4"/>
      <c r="AA32" s="4"/>
      <c r="AB32" s="4"/>
      <c r="AC32" s="4"/>
      <c r="AD32" s="38">
        <v>1</v>
      </c>
      <c r="AE32" s="38">
        <v>1</v>
      </c>
      <c r="AF32" s="4"/>
      <c r="AG32" s="4"/>
      <c r="AH32" s="4"/>
      <c r="AI32" s="4"/>
      <c r="AJ32" s="4"/>
      <c r="AK32" s="38">
        <v>1</v>
      </c>
      <c r="AL32" s="38">
        <v>1</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Unentschieden</v>
      </c>
      <c r="J33" s="80"/>
      <c r="K33" s="4"/>
      <c r="L33" s="4"/>
      <c r="M33" s="4"/>
      <c r="N33" s="4"/>
      <c r="O33" s="4"/>
      <c r="P33" s="80" t="str">
        <f>IF(P32=Q32,"Unentschieden",IF(P32&gt;Q32,P31,Q31))</f>
        <v>Unentschieden</v>
      </c>
      <c r="Q33" s="80"/>
      <c r="R33" s="4"/>
      <c r="S33" s="4"/>
      <c r="T33" s="4"/>
      <c r="U33" s="4"/>
      <c r="V33" s="4"/>
      <c r="W33" s="80" t="str">
        <f>IF(W32=X32,"Unentschieden",IF(W32&gt;X32,W31,X31))</f>
        <v>Unentschieden</v>
      </c>
      <c r="X33" s="80"/>
      <c r="Y33" s="4"/>
      <c r="Z33" s="4"/>
      <c r="AA33" s="4"/>
      <c r="AB33" s="4"/>
      <c r="AC33" s="4"/>
      <c r="AD33" s="80" t="str">
        <f>IF(AD32=AE32,"Unentschieden",IF(AD32&gt;AE32,AD31,AE31))</f>
        <v>Unentschieden</v>
      </c>
      <c r="AE33" s="80"/>
      <c r="AF33" s="4"/>
      <c r="AG33" s="4"/>
      <c r="AH33" s="4"/>
      <c r="AI33" s="4"/>
      <c r="AJ33" s="4"/>
      <c r="AK33" s="80" t="str">
        <f>IF(AK32=AL32,"Unentschieden",IF(AK32&gt;AL32,AK31,AL31))</f>
        <v>Unentschieden</v>
      </c>
      <c r="AL33" s="80"/>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1</v>
      </c>
      <c r="Q34" s="1">
        <f>IF(Q32=P32,1,IF(Q32&gt;P32,3,0))</f>
        <v>1</v>
      </c>
      <c r="R34" s="4"/>
      <c r="S34" s="4"/>
      <c r="T34" s="4"/>
      <c r="U34" s="4"/>
      <c r="V34" s="4"/>
      <c r="W34" s="1">
        <f>IF(W32=X32,1,IF(W32&gt;X32,3,0))</f>
        <v>1</v>
      </c>
      <c r="X34" s="1">
        <f>IF(X32=W32,1,IF(X32&gt;W32,3,0))</f>
        <v>1</v>
      </c>
      <c r="Y34" s="4"/>
      <c r="Z34" s="4"/>
      <c r="AA34" s="4"/>
      <c r="AB34" s="4"/>
      <c r="AC34" s="4"/>
      <c r="AD34" s="1">
        <f>IF(AD32=AE32,1,IF(AD32&gt;AE32,3,0))</f>
        <v>1</v>
      </c>
      <c r="AE34" s="1">
        <f>IF(AE32=AD32,1,IF(AE32&gt;AD32,3,0))</f>
        <v>1</v>
      </c>
      <c r="AF34" s="4"/>
      <c r="AG34" s="4"/>
      <c r="AH34" s="4"/>
      <c r="AI34" s="4"/>
      <c r="AJ34" s="4"/>
      <c r="AK34" s="1">
        <f>IF(AK32=AL32,1,IF(AK32&gt;AL32,3,0))</f>
        <v>1</v>
      </c>
      <c r="AL34" s="1">
        <f>IF(AL32=AK32,1,IF(AL32&gt;AK32,3,0))</f>
        <v>1</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5</v>
      </c>
      <c r="E37" s="1">
        <f>C5+C21+B32</f>
        <v>2</v>
      </c>
      <c r="F37" s="1">
        <f>D37-E37</f>
        <v>3</v>
      </c>
      <c r="G37" s="4"/>
      <c r="H37" s="37"/>
      <c r="I37" s="2" t="s">
        <v>27</v>
      </c>
      <c r="J37" s="1">
        <f>I7+I23+J34</f>
        <v>5</v>
      </c>
      <c r="K37" s="1">
        <f>I5+I21+J32</f>
        <v>5</v>
      </c>
      <c r="L37" s="1">
        <f>J5+J21+I32</f>
        <v>3</v>
      </c>
      <c r="M37" s="1">
        <f>K37-L37</f>
        <v>2</v>
      </c>
      <c r="N37" s="4"/>
      <c r="O37" s="13"/>
      <c r="P37" s="2" t="s">
        <v>29</v>
      </c>
      <c r="Q37" s="1">
        <f>P7+P23+Q34</f>
        <v>5</v>
      </c>
      <c r="R37" s="1">
        <f>P5+P21+Q32</f>
        <v>7</v>
      </c>
      <c r="S37" s="1">
        <f>Q5+Q21+P32</f>
        <v>4</v>
      </c>
      <c r="T37" s="1">
        <f>R37-S37</f>
        <v>3</v>
      </c>
      <c r="U37" s="4"/>
      <c r="V37" s="13"/>
      <c r="W37" s="2" t="s">
        <v>31</v>
      </c>
      <c r="X37" s="1">
        <f>W7+W23+X34</f>
        <v>7</v>
      </c>
      <c r="Y37" s="1">
        <f>W5+W21+X32</f>
        <v>6</v>
      </c>
      <c r="Z37" s="1">
        <f>X5+X21+W32</f>
        <v>4</v>
      </c>
      <c r="AA37" s="1">
        <f>Y37-Z37</f>
        <v>2</v>
      </c>
      <c r="AB37" s="4"/>
      <c r="AC37" s="13"/>
      <c r="AD37" s="2" t="s">
        <v>33</v>
      </c>
      <c r="AE37" s="1">
        <f>AD7+AD23+AE34</f>
        <v>7</v>
      </c>
      <c r="AF37" s="1">
        <f>AD5+AD21+AE32</f>
        <v>6</v>
      </c>
      <c r="AG37" s="1">
        <f>AE5+AE21+AD32</f>
        <v>1</v>
      </c>
      <c r="AH37" s="1">
        <f>AF37-AG37</f>
        <v>5</v>
      </c>
      <c r="AI37" s="4"/>
      <c r="AJ37" s="4"/>
      <c r="AK37" s="2" t="s">
        <v>35</v>
      </c>
      <c r="AL37" s="1">
        <f>AK7+AK23+AL34</f>
        <v>5</v>
      </c>
      <c r="AM37" s="1">
        <f>AK5+AK21+AL32</f>
        <v>5</v>
      </c>
      <c r="AN37" s="1">
        <f>AL5+AL21+AK32</f>
        <v>3</v>
      </c>
      <c r="AO37" s="1">
        <f>AM37-AN37</f>
        <v>2</v>
      </c>
      <c r="AP37" s="4"/>
    </row>
    <row r="38" spans="1:42" x14ac:dyDescent="0.45">
      <c r="A38" s="37"/>
      <c r="B38" s="2" t="s">
        <v>26</v>
      </c>
      <c r="C38" s="1">
        <f>C7+C18+B29</f>
        <v>6</v>
      </c>
      <c r="D38" s="1">
        <f>C5+C16+B27</f>
        <v>4</v>
      </c>
      <c r="E38" s="1">
        <f>B5+B16+C27</f>
        <v>4</v>
      </c>
      <c r="F38" s="1">
        <f t="shared" ref="F38:F40" si="0">D38-E38</f>
        <v>0</v>
      </c>
      <c r="G38" s="4"/>
      <c r="H38" s="37"/>
      <c r="I38" s="2" t="s">
        <v>28</v>
      </c>
      <c r="J38" s="1">
        <f>J7+J18+I29</f>
        <v>4</v>
      </c>
      <c r="K38" s="1">
        <f>J5+J16+I27</f>
        <v>6</v>
      </c>
      <c r="L38" s="1">
        <f>I5+I16+J27</f>
        <v>5</v>
      </c>
      <c r="M38" s="1">
        <f t="shared" ref="M38:M40" si="1">K38-L38</f>
        <v>1</v>
      </c>
      <c r="N38" s="4"/>
      <c r="O38" s="13"/>
      <c r="P38" s="2" t="s">
        <v>30</v>
      </c>
      <c r="Q38" s="1">
        <f>Q7+Q18+P29</f>
        <v>7</v>
      </c>
      <c r="R38" s="1">
        <f>Q5+Q16+P27</f>
        <v>5</v>
      </c>
      <c r="S38" s="1">
        <f>P5+P16+Q27</f>
        <v>2</v>
      </c>
      <c r="T38" s="1">
        <f t="shared" ref="T38:T40" si="2">R38-S38</f>
        <v>3</v>
      </c>
      <c r="U38" s="4"/>
      <c r="V38" s="13"/>
      <c r="W38" s="2" t="s">
        <v>32</v>
      </c>
      <c r="X38" s="1">
        <f>X7+X18+W29</f>
        <v>2</v>
      </c>
      <c r="Y38" s="1">
        <f>X5+X16+W27</f>
        <v>4</v>
      </c>
      <c r="Z38" s="1">
        <f>W5+W16+X27</f>
        <v>5</v>
      </c>
      <c r="AA38" s="1">
        <f t="shared" ref="AA38:AA40" si="3">Y38-Z38</f>
        <v>-1</v>
      </c>
      <c r="AB38" s="4"/>
      <c r="AC38" s="13"/>
      <c r="AD38" s="2" t="s">
        <v>34</v>
      </c>
      <c r="AE38" s="1">
        <f>AE7+AE18+AD29</f>
        <v>0</v>
      </c>
      <c r="AF38" s="1">
        <f>AE5+AE16+AD27</f>
        <v>2</v>
      </c>
      <c r="AG38" s="1">
        <f>AD5+AD16+AE27</f>
        <v>8</v>
      </c>
      <c r="AH38" s="1">
        <f t="shared" ref="AH38:AH40" si="4">AF38-AG38</f>
        <v>-6</v>
      </c>
      <c r="AI38" s="4"/>
      <c r="AJ38" s="4"/>
      <c r="AK38" s="2" t="s">
        <v>36</v>
      </c>
      <c r="AL38" s="1">
        <f>AL7+AL18+AK29</f>
        <v>7</v>
      </c>
      <c r="AM38" s="1">
        <f>AL5+AL16+AK27</f>
        <v>4</v>
      </c>
      <c r="AN38" s="1">
        <f>AK5+AK16+AL27</f>
        <v>2</v>
      </c>
      <c r="AO38" s="1">
        <f t="shared" ref="AO38:AO40" si="5">AM38-AN38</f>
        <v>2</v>
      </c>
      <c r="AP38" s="4"/>
    </row>
    <row r="39" spans="1:42" x14ac:dyDescent="0.45">
      <c r="A39" s="36"/>
      <c r="B39" s="2" t="s">
        <v>37</v>
      </c>
      <c r="C39" s="1">
        <f>B12+C23+C29</f>
        <v>0</v>
      </c>
      <c r="D39" s="1">
        <f>B10+C21+C27</f>
        <v>2</v>
      </c>
      <c r="E39" s="1">
        <f>C10+B21+B27</f>
        <v>5</v>
      </c>
      <c r="F39" s="1">
        <f t="shared" si="0"/>
        <v>-3</v>
      </c>
      <c r="G39" s="4"/>
      <c r="H39" s="36"/>
      <c r="I39" s="2" t="s">
        <v>39</v>
      </c>
      <c r="J39" s="1">
        <f>I12+J23+J29</f>
        <v>0</v>
      </c>
      <c r="K39" s="1">
        <f>I10+J21+J27</f>
        <v>3</v>
      </c>
      <c r="L39" s="1">
        <f>J10+I21+I27</f>
        <v>11</v>
      </c>
      <c r="M39" s="1">
        <f t="shared" si="1"/>
        <v>-8</v>
      </c>
      <c r="N39" s="4"/>
      <c r="O39" s="13"/>
      <c r="P39" s="2" t="s">
        <v>41</v>
      </c>
      <c r="Q39" s="1">
        <f>P12+Q23+Q29</f>
        <v>0</v>
      </c>
      <c r="R39" s="1">
        <f>P10+Q21+Q27</f>
        <v>1</v>
      </c>
      <c r="S39" s="1">
        <f>Q10+P21+P27</f>
        <v>8</v>
      </c>
      <c r="T39" s="1">
        <f t="shared" si="2"/>
        <v>-7</v>
      </c>
      <c r="U39" s="4"/>
      <c r="V39" s="13"/>
      <c r="W39" s="2" t="s">
        <v>43</v>
      </c>
      <c r="X39" s="1">
        <f>W12+X23+X29</f>
        <v>1</v>
      </c>
      <c r="Y39" s="1">
        <f>W10+X21+X27</f>
        <v>3</v>
      </c>
      <c r="Z39" s="1">
        <f>X10+W21+W27</f>
        <v>6</v>
      </c>
      <c r="AA39" s="1">
        <f t="shared" si="3"/>
        <v>-3</v>
      </c>
      <c r="AB39" s="4"/>
      <c r="AC39" s="13"/>
      <c r="AD39" s="2" t="s">
        <v>45</v>
      </c>
      <c r="AE39" s="1">
        <f>AD12+AE23+AE29</f>
        <v>4</v>
      </c>
      <c r="AF39" s="1">
        <f>AD10+AE21+AE27</f>
        <v>4</v>
      </c>
      <c r="AG39" s="1">
        <f>AE10+AD21+AD27</f>
        <v>4</v>
      </c>
      <c r="AH39" s="1">
        <f t="shared" si="4"/>
        <v>0</v>
      </c>
      <c r="AI39" s="4"/>
      <c r="AJ39" s="4"/>
      <c r="AK39" s="2" t="s">
        <v>47</v>
      </c>
      <c r="AL39" s="1">
        <f>AK12+AL23+AL29</f>
        <v>3</v>
      </c>
      <c r="AM39" s="1">
        <f>AK10+AL21+AL27</f>
        <v>3</v>
      </c>
      <c r="AN39" s="1">
        <f>AL10+AK21+AK27</f>
        <v>5</v>
      </c>
      <c r="AO39" s="1">
        <f t="shared" si="5"/>
        <v>-2</v>
      </c>
      <c r="AP39" s="4"/>
    </row>
    <row r="40" spans="1:42" x14ac:dyDescent="0.45">
      <c r="A40" s="35"/>
      <c r="B40" s="2" t="s">
        <v>38</v>
      </c>
      <c r="C40" s="1">
        <f>C12+B18+B34</f>
        <v>4</v>
      </c>
      <c r="D40" s="1">
        <f>C10+B16+B32</f>
        <v>3</v>
      </c>
      <c r="E40" s="1">
        <f>B10+C16+C32</f>
        <v>3</v>
      </c>
      <c r="F40" s="1">
        <f t="shared" si="0"/>
        <v>0</v>
      </c>
      <c r="G40" s="4"/>
      <c r="H40" s="35"/>
      <c r="I40" s="2" t="s">
        <v>40</v>
      </c>
      <c r="J40" s="1">
        <f>J12+I18+I34</f>
        <v>7</v>
      </c>
      <c r="K40" s="1">
        <f>J10+I16+I32</f>
        <v>7</v>
      </c>
      <c r="L40" s="1">
        <f>I10+J16+J32</f>
        <v>2</v>
      </c>
      <c r="M40" s="1">
        <f t="shared" si="1"/>
        <v>5</v>
      </c>
      <c r="N40" s="4"/>
      <c r="O40" s="13"/>
      <c r="P40" s="2" t="s">
        <v>42</v>
      </c>
      <c r="Q40" s="1">
        <f>Q12+P18+P34</f>
        <v>4</v>
      </c>
      <c r="R40" s="1">
        <f>Q10+P16+P32</f>
        <v>5</v>
      </c>
      <c r="S40" s="1">
        <f>P10+Q16+Q32</f>
        <v>4</v>
      </c>
      <c r="T40" s="1">
        <f t="shared" si="2"/>
        <v>1</v>
      </c>
      <c r="U40" s="4"/>
      <c r="V40" s="13"/>
      <c r="W40" s="2" t="s">
        <v>44</v>
      </c>
      <c r="X40" s="1">
        <f>X12+W18+W34</f>
        <v>5</v>
      </c>
      <c r="Y40" s="1">
        <f>X10+W16+W32</f>
        <v>5</v>
      </c>
      <c r="Z40" s="1">
        <f>W10+X16+X32</f>
        <v>3</v>
      </c>
      <c r="AA40" s="1">
        <f t="shared" si="3"/>
        <v>2</v>
      </c>
      <c r="AB40" s="4"/>
      <c r="AC40" s="13"/>
      <c r="AD40" s="2" t="s">
        <v>46</v>
      </c>
      <c r="AE40" s="1">
        <f>AE12+AD18+AD34</f>
        <v>5</v>
      </c>
      <c r="AF40" s="1">
        <f>AE10+AD16+AD32</f>
        <v>5</v>
      </c>
      <c r="AG40" s="1">
        <f>AD10+AE16+AE32</f>
        <v>4</v>
      </c>
      <c r="AH40" s="1">
        <f t="shared" si="4"/>
        <v>1</v>
      </c>
      <c r="AI40" s="4"/>
      <c r="AJ40" s="4"/>
      <c r="AK40" s="2" t="s">
        <v>48</v>
      </c>
      <c r="AL40" s="1">
        <f>AL12+AK18+AK34</f>
        <v>1</v>
      </c>
      <c r="AM40" s="1">
        <f>AL10+AK16+AK32</f>
        <v>3</v>
      </c>
      <c r="AN40" s="1">
        <f>AK10+AL16+AL32</f>
        <v>5</v>
      </c>
      <c r="AO40" s="1">
        <f t="shared" si="5"/>
        <v>-2</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5</v>
      </c>
      <c r="E43" s="1" cm="1">
        <f t="array" ref="E43:E46">_xlfn.SORTBY(E37:E40,C37:C40,-1,F37:F40,-1,D37:D40,-1)</f>
        <v>2</v>
      </c>
      <c r="F43" s="1" cm="1">
        <f t="array" ref="F43:F46">_xlfn.SORTBY(F37:F40,C37:C40,-1,F37:F40,-1,D37:D40,-1)</f>
        <v>3</v>
      </c>
      <c r="G43" s="4"/>
      <c r="H43" s="33">
        <v>1</v>
      </c>
      <c r="I43" s="2" t="str" cm="1">
        <f t="array" ref="I43:I46">_xlfn.SORTBY(I37:I40,J37:J40,-1,M37:M40,-1,K37:K40,-1)</f>
        <v>Schweiz</v>
      </c>
      <c r="J43" s="1" cm="1">
        <f t="array" ref="J43:J46">_xlfn.SORTBY(J37:J40,J37:J40,-1,M37:M40,-1,K37:K40,-1)</f>
        <v>7</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Marokko</v>
      </c>
      <c r="Q43" s="1" cm="1">
        <f t="array" ref="Q43:Q46">_xlfn.SORTBY(Q37:Q40,Q37:Q40,-1,T37:T40,-1,R37:R40,-1)</f>
        <v>7</v>
      </c>
      <c r="R43" s="1" cm="1">
        <f t="array" ref="R43:R46">_xlfn.SORTBY(R37:R40,Q37:Q40,-1,T37:T40,-1,R37:R40,-1)</f>
        <v>5</v>
      </c>
      <c r="S43" s="1" cm="1">
        <f t="array" ref="S43:S46">_xlfn.SORTBY(S37:S40,Q37:Q40,-1,T37:T40,-1,R37:R40,-1)</f>
        <v>2</v>
      </c>
      <c r="T43" s="1" cm="1">
        <f t="array" ref="T43:T46">_xlfn.SORTBY(T37:T40,Q37:Q40,-1,T37:T40,-1,R37:R40,-1)</f>
        <v>3</v>
      </c>
      <c r="U43" s="4"/>
      <c r="V43" s="33">
        <v>1</v>
      </c>
      <c r="W43" s="2" t="str" cm="1">
        <f t="array" ref="W43:W46">_xlfn.SORTBY(W37:W40,X37:X40,-1,AA37:AA40,-1,Y37:Y40,-1)</f>
        <v>USA</v>
      </c>
      <c r="X43" s="1" cm="1">
        <f t="array" ref="X43:X46">_xlfn.SORTBY(X37:X40,X37:X40,-1,AA37:AA40,-1,Y37:Y40,-1)</f>
        <v>7</v>
      </c>
      <c r="Y43" s="1" cm="1">
        <f t="array" ref="Y43:Y46">_xlfn.SORTBY(Y37:Y40,X37:X40,-1,AA37:AA40,-1,Y37:Y40,-1)</f>
        <v>6</v>
      </c>
      <c r="Z43" s="1" cm="1">
        <f t="array" ref="Z43:Z46">_xlfn.SORTBY(Z37:Z40,X37:X40,-1,AA37:AA40,-1,Y37:Y40,-1)</f>
        <v>4</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Japan</v>
      </c>
      <c r="AL43" s="1" cm="1">
        <f t="array" ref="AL43:AL46">_xlfn.SORTBY(AL37:AL40,AL37:AL40,-1,AO37:AO40,-1,AM37:AM40,-1)</f>
        <v>7</v>
      </c>
      <c r="AM43" s="1" cm="1">
        <f t="array" ref="AM43:AM46">_xlfn.SORTBY(AM37:AM40,AL37:AL40,-1,AO37:AO40,-1,AM37:AM40,-1)</f>
        <v>4</v>
      </c>
      <c r="AN43" s="1" cm="1">
        <f t="array" ref="AN43:AN46">_xlfn.SORTBY(AN37:AN40,AL37:AL40,-1,AO37:AO40,-1,AM37:AM40,-1)</f>
        <v>2</v>
      </c>
      <c r="AO43" s="1" cm="1">
        <f t="array" ref="AO43:AO46">_xlfn.SORTBY(AO37:AO40,AL37:AL40,-1,AO37:AO40,-1,AM37:AM40,-1)</f>
        <v>2</v>
      </c>
      <c r="AP43" s="4"/>
    </row>
    <row r="44" spans="1:42" x14ac:dyDescent="0.45">
      <c r="A44" s="33">
        <v>2</v>
      </c>
      <c r="B44" s="2" t="str">
        <v>Südafrika</v>
      </c>
      <c r="C44" s="1">
        <v>6</v>
      </c>
      <c r="D44" s="1">
        <v>4</v>
      </c>
      <c r="E44" s="1">
        <v>4</v>
      </c>
      <c r="F44" s="1">
        <v>0</v>
      </c>
      <c r="G44" s="4"/>
      <c r="H44" s="33">
        <v>2</v>
      </c>
      <c r="I44" s="2" t="str">
        <v>Kanada</v>
      </c>
      <c r="J44" s="1">
        <v>5</v>
      </c>
      <c r="K44" s="1">
        <v>5</v>
      </c>
      <c r="L44" s="1">
        <v>3</v>
      </c>
      <c r="M44" s="1">
        <v>2</v>
      </c>
      <c r="N44" s="4"/>
      <c r="O44" s="33">
        <v>2</v>
      </c>
      <c r="P44" s="2" t="str">
        <v>Brasilien</v>
      </c>
      <c r="Q44" s="1">
        <v>5</v>
      </c>
      <c r="R44" s="1">
        <v>7</v>
      </c>
      <c r="S44" s="1">
        <v>4</v>
      </c>
      <c r="T44" s="1">
        <v>3</v>
      </c>
      <c r="U44" s="4"/>
      <c r="V44" s="33">
        <v>2</v>
      </c>
      <c r="W44" s="2" t="str">
        <v>Türkei</v>
      </c>
      <c r="X44" s="1">
        <v>5</v>
      </c>
      <c r="Y44" s="1">
        <v>5</v>
      </c>
      <c r="Z44" s="1">
        <v>3</v>
      </c>
      <c r="AA44" s="1">
        <v>2</v>
      </c>
      <c r="AB44" s="4"/>
      <c r="AC44" s="33">
        <v>2</v>
      </c>
      <c r="AD44" s="2" t="str">
        <v>Ecuador</v>
      </c>
      <c r="AE44" s="1">
        <v>5</v>
      </c>
      <c r="AF44" s="1">
        <v>5</v>
      </c>
      <c r="AG44" s="1">
        <v>4</v>
      </c>
      <c r="AH44" s="1">
        <v>1</v>
      </c>
      <c r="AI44" s="4"/>
      <c r="AJ44" s="33">
        <v>2</v>
      </c>
      <c r="AK44" s="2" t="str">
        <v>Niederlande</v>
      </c>
      <c r="AL44" s="1">
        <v>5</v>
      </c>
      <c r="AM44" s="1">
        <v>5</v>
      </c>
      <c r="AN44" s="1">
        <v>3</v>
      </c>
      <c r="AO44" s="1">
        <v>2</v>
      </c>
      <c r="AP44" s="4"/>
    </row>
    <row r="45" spans="1:42" x14ac:dyDescent="0.45">
      <c r="A45" s="34">
        <v>3</v>
      </c>
      <c r="B45" s="2" t="str">
        <v>Tschechien</v>
      </c>
      <c r="C45" s="1">
        <v>4</v>
      </c>
      <c r="D45" s="1">
        <v>3</v>
      </c>
      <c r="E45" s="1">
        <v>3</v>
      </c>
      <c r="F45" s="1">
        <v>0</v>
      </c>
      <c r="G45" s="4"/>
      <c r="H45" s="34">
        <v>3</v>
      </c>
      <c r="I45" s="2" t="str">
        <v>Bosnien-Herz.</v>
      </c>
      <c r="J45" s="1">
        <v>4</v>
      </c>
      <c r="K45" s="1">
        <v>6</v>
      </c>
      <c r="L45" s="1">
        <v>5</v>
      </c>
      <c r="M45" s="1">
        <v>1</v>
      </c>
      <c r="N45" s="4"/>
      <c r="O45" s="34">
        <v>3</v>
      </c>
      <c r="P45" s="2" t="str">
        <v>Schottland</v>
      </c>
      <c r="Q45" s="1">
        <v>4</v>
      </c>
      <c r="R45" s="1">
        <v>5</v>
      </c>
      <c r="S45" s="1">
        <v>4</v>
      </c>
      <c r="T45" s="1">
        <v>1</v>
      </c>
      <c r="U45" s="4"/>
      <c r="V45" s="34">
        <v>3</v>
      </c>
      <c r="W45" s="2" t="str">
        <v>Paraguay</v>
      </c>
      <c r="X45" s="1">
        <v>2</v>
      </c>
      <c r="Y45" s="1">
        <v>4</v>
      </c>
      <c r="Z45" s="1">
        <v>5</v>
      </c>
      <c r="AA45" s="1">
        <v>-1</v>
      </c>
      <c r="AB45" s="4"/>
      <c r="AC45" s="34">
        <v>3</v>
      </c>
      <c r="AD45" s="2" t="str">
        <v>Elfenbeinküste</v>
      </c>
      <c r="AE45" s="1">
        <v>4</v>
      </c>
      <c r="AF45" s="1">
        <v>4</v>
      </c>
      <c r="AG45" s="1">
        <v>4</v>
      </c>
      <c r="AH45" s="1">
        <v>0</v>
      </c>
      <c r="AI45" s="4"/>
      <c r="AJ45" s="34">
        <v>3</v>
      </c>
      <c r="AK45" s="2" t="str">
        <v>Schweden</v>
      </c>
      <c r="AL45" s="1">
        <v>3</v>
      </c>
      <c r="AM45" s="1">
        <v>3</v>
      </c>
      <c r="AN45" s="1">
        <v>5</v>
      </c>
      <c r="AO45" s="1">
        <v>-2</v>
      </c>
      <c r="AP45" s="4"/>
    </row>
    <row r="46" spans="1:42" x14ac:dyDescent="0.45">
      <c r="A46" s="32">
        <v>4</v>
      </c>
      <c r="B46" s="2" t="str">
        <v>Südkorea</v>
      </c>
      <c r="C46" s="1">
        <v>0</v>
      </c>
      <c r="D46" s="1">
        <v>2</v>
      </c>
      <c r="E46" s="1">
        <v>5</v>
      </c>
      <c r="F46" s="1">
        <v>-3</v>
      </c>
      <c r="G46" s="4"/>
      <c r="H46" s="32">
        <v>4</v>
      </c>
      <c r="I46" s="2" t="str">
        <v>Katar</v>
      </c>
      <c r="J46" s="1">
        <v>0</v>
      </c>
      <c r="K46" s="1">
        <v>3</v>
      </c>
      <c r="L46" s="1">
        <v>11</v>
      </c>
      <c r="M46" s="1">
        <v>-8</v>
      </c>
      <c r="N46" s="4"/>
      <c r="O46" s="32">
        <v>4</v>
      </c>
      <c r="P46" s="2" t="str">
        <v>Haiti</v>
      </c>
      <c r="Q46" s="1">
        <v>0</v>
      </c>
      <c r="R46" s="1">
        <v>1</v>
      </c>
      <c r="S46" s="1">
        <v>8</v>
      </c>
      <c r="T46" s="1">
        <v>-7</v>
      </c>
      <c r="U46" s="4"/>
      <c r="V46" s="32">
        <v>4</v>
      </c>
      <c r="W46" s="2" t="str">
        <v>Australien</v>
      </c>
      <c r="X46" s="1">
        <v>1</v>
      </c>
      <c r="Y46" s="1">
        <v>3</v>
      </c>
      <c r="Z46" s="1">
        <v>6</v>
      </c>
      <c r="AA46" s="1">
        <v>-3</v>
      </c>
      <c r="AB46" s="4"/>
      <c r="AC46" s="32">
        <v>4</v>
      </c>
      <c r="AD46" s="2" t="str">
        <v>Curacao</v>
      </c>
      <c r="AE46" s="1">
        <v>0</v>
      </c>
      <c r="AF46" s="1">
        <v>2</v>
      </c>
      <c r="AG46" s="1">
        <v>8</v>
      </c>
      <c r="AH46" s="1">
        <v>-6</v>
      </c>
      <c r="AI46" s="4"/>
      <c r="AJ46" s="32">
        <v>4</v>
      </c>
      <c r="AK46" s="2" t="str">
        <v>Tunesien</v>
      </c>
      <c r="AL46" s="1">
        <v>1</v>
      </c>
      <c r="AM46" s="1">
        <v>3</v>
      </c>
      <c r="AN46" s="1">
        <v>5</v>
      </c>
      <c r="AO46" s="1">
        <v>-2</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55"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3</v>
      </c>
      <c r="J52" s="38">
        <v>0</v>
      </c>
      <c r="K52" s="4"/>
      <c r="L52" s="4"/>
      <c r="M52" s="4"/>
      <c r="N52" s="4"/>
      <c r="O52" s="4"/>
      <c r="P52" s="38">
        <v>2</v>
      </c>
      <c r="Q52" s="38">
        <v>2</v>
      </c>
      <c r="R52" s="4"/>
      <c r="S52" s="4"/>
      <c r="T52" s="4"/>
      <c r="U52" s="4"/>
      <c r="V52" s="4"/>
      <c r="W52" s="38">
        <v>1</v>
      </c>
      <c r="X52" s="38">
        <v>1</v>
      </c>
      <c r="Y52" s="4"/>
      <c r="Z52" s="4"/>
      <c r="AA52" s="4"/>
      <c r="AB52" s="4"/>
      <c r="AC52" s="4"/>
      <c r="AD52" s="38">
        <v>4</v>
      </c>
      <c r="AE52" s="38">
        <v>1</v>
      </c>
      <c r="AF52" s="4"/>
      <c r="AG52" s="4"/>
      <c r="AH52" s="4"/>
      <c r="AI52" s="4"/>
      <c r="AJ52" s="4"/>
      <c r="AK52" s="38">
        <v>3</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Unentschieden</v>
      </c>
      <c r="Q53" s="80"/>
      <c r="R53" s="4"/>
      <c r="S53" s="4"/>
      <c r="T53" s="4"/>
      <c r="U53" s="4"/>
      <c r="V53" s="4"/>
      <c r="W53" s="80" t="str">
        <f>IF(W52=X52,"Unentschieden",IF(W52&gt;X52,W51,X51))</f>
        <v>Unentschieden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1</v>
      </c>
      <c r="Q54" s="1">
        <f>IF(Q52=P52,1,IF(Q52&gt;P52,3,0))</f>
        <v>1</v>
      </c>
      <c r="R54" s="4"/>
      <c r="S54" s="4"/>
      <c r="T54" s="4"/>
      <c r="U54" s="4"/>
      <c r="V54" s="4"/>
      <c r="W54" s="1">
        <f>IF(W52=X52,1,IF(W52&gt;X52,3,0))</f>
        <v>1</v>
      </c>
      <c r="X54" s="1">
        <f>IF(X52=W52,1,IF(X52&gt;W52,3,0))</f>
        <v>1</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1</v>
      </c>
      <c r="D57" s="4"/>
      <c r="E57" s="4"/>
      <c r="F57" s="4"/>
      <c r="G57" s="4"/>
      <c r="H57" s="4"/>
      <c r="I57" s="38">
        <v>2</v>
      </c>
      <c r="J57" s="38">
        <v>2</v>
      </c>
      <c r="K57" s="4"/>
      <c r="L57" s="4"/>
      <c r="M57" s="4"/>
      <c r="N57" s="4"/>
      <c r="O57" s="4"/>
      <c r="P57" s="38">
        <v>0</v>
      </c>
      <c r="Q57" s="38">
        <v>1</v>
      </c>
      <c r="R57" s="4"/>
      <c r="S57" s="4"/>
      <c r="T57" s="4"/>
      <c r="U57" s="4"/>
      <c r="V57" s="4"/>
      <c r="W57" s="38">
        <v>1</v>
      </c>
      <c r="X57" s="38">
        <v>0</v>
      </c>
      <c r="Y57" s="4"/>
      <c r="Z57" s="4"/>
      <c r="AA57" s="4"/>
      <c r="AB57" s="4"/>
      <c r="AC57" s="4"/>
      <c r="AD57" s="38">
        <v>0</v>
      </c>
      <c r="AE57" s="38">
        <v>2</v>
      </c>
      <c r="AF57" s="4"/>
      <c r="AG57" s="4"/>
      <c r="AH57" s="4"/>
      <c r="AI57" s="4"/>
      <c r="AJ57" s="4"/>
      <c r="AK57" s="38">
        <v>1</v>
      </c>
      <c r="AL57" s="38">
        <v>1</v>
      </c>
      <c r="AM57" s="4"/>
      <c r="AN57" s="4"/>
      <c r="AO57" s="4"/>
      <c r="AP57" s="4"/>
    </row>
    <row r="58" spans="1:42" x14ac:dyDescent="0.45">
      <c r="A58" s="4"/>
      <c r="B58" s="80" t="str">
        <f>IF(B57=C57,"Unentschieden",IF(B57&gt;C57,B56,C56))</f>
        <v>Unentschieden</v>
      </c>
      <c r="C58" s="80"/>
      <c r="D58" s="4"/>
      <c r="E58" s="4"/>
      <c r="F58" s="4"/>
      <c r="G58" s="4"/>
      <c r="H58" s="4"/>
      <c r="I58" s="80" t="str">
        <f>IF(I57=J57,"Unentschieden",IF(I57&gt;J57,I56,J56))</f>
        <v>Unentschieden</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Unentschieden</v>
      </c>
      <c r="AL58" s="80"/>
      <c r="AM58" s="4"/>
      <c r="AN58" s="4"/>
      <c r="AO58" s="4"/>
      <c r="AP58" s="4"/>
    </row>
    <row r="59" spans="1:42" x14ac:dyDescent="0.45">
      <c r="A59" s="4"/>
      <c r="B59" s="1">
        <f>IF(B57=C57,1,IF(B57&gt;C57,3,0))</f>
        <v>1</v>
      </c>
      <c r="C59" s="1">
        <f>IF(C57=B57,1,IF(C57&gt;B57,3,0))</f>
        <v>1</v>
      </c>
      <c r="D59" s="4"/>
      <c r="E59" s="4"/>
      <c r="F59" s="4"/>
      <c r="G59" s="4"/>
      <c r="H59" s="4"/>
      <c r="I59" s="1">
        <f>IF(I57=J57,1,IF(I57&gt;J57,3,0))</f>
        <v>1</v>
      </c>
      <c r="J59" s="1">
        <v>1</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3</v>
      </c>
      <c r="J63" s="38">
        <v>0</v>
      </c>
      <c r="K63" s="4"/>
      <c r="L63" s="4"/>
      <c r="M63" s="4"/>
      <c r="N63" s="4"/>
      <c r="O63" s="4"/>
      <c r="P63" s="38">
        <v>3</v>
      </c>
      <c r="Q63" s="38">
        <v>1</v>
      </c>
      <c r="R63" s="4"/>
      <c r="S63" s="4"/>
      <c r="T63" s="4"/>
      <c r="U63" s="4"/>
      <c r="V63" s="4"/>
      <c r="W63" s="38">
        <v>2</v>
      </c>
      <c r="X63" s="38">
        <v>2</v>
      </c>
      <c r="Y63" s="4"/>
      <c r="Z63" s="4"/>
      <c r="AA63" s="4"/>
      <c r="AB63" s="4"/>
      <c r="AC63" s="4"/>
      <c r="AD63" s="38">
        <v>2</v>
      </c>
      <c r="AE63" s="38">
        <v>0</v>
      </c>
      <c r="AF63" s="4"/>
      <c r="AG63" s="4"/>
      <c r="AH63" s="4"/>
      <c r="AI63" s="4"/>
      <c r="AJ63" s="4"/>
      <c r="AK63" s="38">
        <v>1</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Unentschieden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1</v>
      </c>
      <c r="J68" s="38">
        <v>1</v>
      </c>
      <c r="K68" s="4"/>
      <c r="L68" s="4"/>
      <c r="M68" s="4"/>
      <c r="N68" s="4"/>
      <c r="O68" s="4"/>
      <c r="P68" s="38">
        <v>2</v>
      </c>
      <c r="Q68" s="38">
        <v>3</v>
      </c>
      <c r="R68" s="4"/>
      <c r="S68" s="4"/>
      <c r="T68" s="4"/>
      <c r="U68" s="4"/>
      <c r="V68" s="4"/>
      <c r="W68" s="38">
        <v>1</v>
      </c>
      <c r="X68" s="38">
        <v>2</v>
      </c>
      <c r="Y68" s="4"/>
      <c r="Z68" s="4"/>
      <c r="AA68" s="4"/>
      <c r="AB68" s="4"/>
      <c r="AC68" s="4"/>
      <c r="AD68" s="38">
        <v>1</v>
      </c>
      <c r="AE68" s="38">
        <v>1</v>
      </c>
      <c r="AF68" s="4"/>
      <c r="AG68" s="4"/>
      <c r="AH68" s="4"/>
      <c r="AI68" s="4"/>
      <c r="AJ68" s="4"/>
      <c r="AK68" s="38">
        <v>3</v>
      </c>
      <c r="AL68" s="38">
        <v>3</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Unentschieden</v>
      </c>
      <c r="J69" s="80"/>
      <c r="K69" s="4"/>
      <c r="L69" s="4"/>
      <c r="M69" s="4"/>
      <c r="N69" s="4"/>
      <c r="O69" s="4"/>
      <c r="P69" s="80" t="str">
        <f>IF(P68=Q68,"Unentschieden",IF(P68&gt;Q68,P67,Q67))</f>
        <v>Senegal</v>
      </c>
      <c r="Q69" s="80"/>
      <c r="R69" s="4"/>
      <c r="S69" s="4"/>
      <c r="T69" s="4"/>
      <c r="U69" s="4"/>
      <c r="V69" s="4"/>
      <c r="W69" s="80" t="str">
        <f>IF(W68=X68,"Unentschieden",IF(W68&gt;X68,W67,X67))</f>
        <v>Algerien</v>
      </c>
      <c r="X69" s="80"/>
      <c r="Y69" s="4"/>
      <c r="Z69" s="4"/>
      <c r="AA69" s="4"/>
      <c r="AB69" s="4"/>
      <c r="AC69" s="4"/>
      <c r="AD69" s="80" t="str">
        <f>IF(AD68=AE68,"Unentschieden",IF(AD68&gt;AE68,AD67,AE67))</f>
        <v>Unentschieden</v>
      </c>
      <c r="AE69" s="80"/>
      <c r="AF69" s="4"/>
      <c r="AG69" s="4"/>
      <c r="AH69" s="4"/>
      <c r="AI69" s="4"/>
      <c r="AJ69" s="4"/>
      <c r="AK69" s="80" t="str">
        <f>IF(AK68=AL68,"Unentschieden",IF(AK68&gt;AL68,AK67,AL67))</f>
        <v>Unentschieden</v>
      </c>
      <c r="AL69" s="80"/>
      <c r="AM69" s="4"/>
      <c r="AN69" s="4"/>
      <c r="AO69" s="4"/>
      <c r="AP69" s="4"/>
    </row>
    <row r="70" spans="1:42" x14ac:dyDescent="0.45">
      <c r="A70" s="4"/>
      <c r="B70" s="1">
        <f>IF(B68=C68,1,IF(B68&gt;C68,3,0))</f>
        <v>0</v>
      </c>
      <c r="C70" s="1">
        <f>IF(C68=B68,1,IF(C68&gt;B68,3,0))</f>
        <v>3</v>
      </c>
      <c r="D70" s="4"/>
      <c r="E70" s="4"/>
      <c r="F70" s="4"/>
      <c r="G70" s="4"/>
      <c r="H70" s="4"/>
      <c r="I70" s="1">
        <f>IF(I68=J68,1,IF(I68&gt;J68,3,0))</f>
        <v>1</v>
      </c>
      <c r="J70" s="1">
        <f>IF(J68=I68,1,IF(J68&gt;I68,3,0))</f>
        <v>1</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1</v>
      </c>
      <c r="AE70" s="1">
        <f>IF(AE68=AD68,1,IF(AE68&gt;AD68,3,0))</f>
        <v>1</v>
      </c>
      <c r="AF70" s="4"/>
      <c r="AG70" s="4"/>
      <c r="AH70" s="4"/>
      <c r="AI70" s="4"/>
      <c r="AJ70" s="4"/>
      <c r="AK70" s="1">
        <f>IF(AK68=AL68,1,IF(AK68&gt;AL68,3,0))</f>
        <v>1</v>
      </c>
      <c r="AL70" s="1">
        <f>IF(AL68=AK68,1,IF(AL68&gt;AK68,3,0))</f>
        <v>1</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2</v>
      </c>
      <c r="D74" s="4"/>
      <c r="E74" s="4"/>
      <c r="F74" s="4"/>
      <c r="G74" s="4"/>
      <c r="H74" s="4"/>
      <c r="I74" s="38">
        <v>2</v>
      </c>
      <c r="J74" s="38">
        <v>2</v>
      </c>
      <c r="K74" s="4"/>
      <c r="L74" s="4"/>
      <c r="M74" s="4"/>
      <c r="N74" s="4"/>
      <c r="O74" s="4"/>
      <c r="P74" s="38">
        <v>1</v>
      </c>
      <c r="Q74" s="38">
        <v>1</v>
      </c>
      <c r="R74" s="4"/>
      <c r="S74" s="4"/>
      <c r="T74" s="4"/>
      <c r="U74" s="4"/>
      <c r="V74" s="4"/>
      <c r="W74" s="38">
        <v>1</v>
      </c>
      <c r="X74" s="38">
        <v>3</v>
      </c>
      <c r="Y74" s="4"/>
      <c r="Z74" s="4"/>
      <c r="AA74" s="4"/>
      <c r="AB74" s="4"/>
      <c r="AC74" s="4"/>
      <c r="AD74" s="38">
        <v>2</v>
      </c>
      <c r="AE74" s="38">
        <v>2</v>
      </c>
      <c r="AF74" s="4"/>
      <c r="AG74" s="4"/>
      <c r="AH74" s="4"/>
      <c r="AI74" s="4"/>
      <c r="AJ74" s="4"/>
      <c r="AK74" s="38">
        <v>1</v>
      </c>
      <c r="AL74" s="38">
        <v>1</v>
      </c>
      <c r="AM74" s="4"/>
      <c r="AN74" s="4"/>
      <c r="AO74" s="4"/>
      <c r="AP74" s="4"/>
    </row>
    <row r="75" spans="1:42" ht="17.55" customHeight="1" x14ac:dyDescent="0.45">
      <c r="A75" s="4"/>
      <c r="B75" s="80" t="str">
        <f>IF(B74=C74,"Unentschieden",IF(B74&gt;C74,B73,C73))</f>
        <v>Belgien</v>
      </c>
      <c r="C75" s="80"/>
      <c r="D75" s="4"/>
      <c r="E75" s="4"/>
      <c r="F75" s="4"/>
      <c r="G75" s="4"/>
      <c r="H75" s="4"/>
      <c r="I75" s="80" t="str">
        <f>IF(I74=J74,"Unentschieden",IF(I74&gt;J74,I73,J73))</f>
        <v>Unentschieden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Unentschieden</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1</v>
      </c>
      <c r="J76" s="1">
        <f>IF(J74=I74,1,IF(J74&gt;I74,3,0))</f>
        <v>1</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1</v>
      </c>
      <c r="AL76" s="1">
        <f>IF(AL74=AK74,1,IF(AL74&gt;AK74,3,0))</f>
        <v>1</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1</v>
      </c>
      <c r="C79" s="38">
        <v>1</v>
      </c>
      <c r="D79" s="4"/>
      <c r="E79" s="4"/>
      <c r="F79" s="4"/>
      <c r="G79" s="4"/>
      <c r="H79" s="4"/>
      <c r="I79" s="38">
        <v>0</v>
      </c>
      <c r="J79" s="38">
        <v>0</v>
      </c>
      <c r="K79" s="4"/>
      <c r="L79" s="4"/>
      <c r="M79" s="4"/>
      <c r="N79" s="4"/>
      <c r="O79" s="4"/>
      <c r="P79" s="38">
        <v>3</v>
      </c>
      <c r="Q79" s="38">
        <v>0</v>
      </c>
      <c r="R79" s="4"/>
      <c r="S79" s="4"/>
      <c r="T79" s="4"/>
      <c r="U79" s="4"/>
      <c r="V79" s="4"/>
      <c r="W79" s="38">
        <v>1</v>
      </c>
      <c r="X79" s="38">
        <v>1</v>
      </c>
      <c r="Y79" s="4"/>
      <c r="Z79" s="4"/>
      <c r="AA79" s="4"/>
      <c r="AB79" s="4"/>
      <c r="AC79" s="4"/>
      <c r="AD79" s="38">
        <v>1</v>
      </c>
      <c r="AE79" s="38">
        <v>0</v>
      </c>
      <c r="AF79" s="4"/>
      <c r="AG79" s="4"/>
      <c r="AH79" s="4"/>
      <c r="AI79" s="4"/>
      <c r="AJ79" s="4"/>
      <c r="AK79" s="38">
        <v>2</v>
      </c>
      <c r="AL79" s="38">
        <v>2</v>
      </c>
      <c r="AM79" s="4"/>
      <c r="AN79" s="4"/>
      <c r="AO79" s="4"/>
      <c r="AP79" s="4"/>
    </row>
    <row r="80" spans="1:42" ht="17.55" customHeight="1" x14ac:dyDescent="0.45">
      <c r="A80" s="4"/>
      <c r="B80" s="80" t="str">
        <f>IF(B79=C79,"Unentschieden",IF(B79&gt;C79,B78,C78))</f>
        <v>Unentschieden</v>
      </c>
      <c r="C80" s="80"/>
      <c r="D80" s="4"/>
      <c r="E80" s="4"/>
      <c r="F80" s="4"/>
      <c r="G80" s="4"/>
      <c r="H80" s="4"/>
      <c r="I80" s="80" t="str">
        <f>IF(I79=J79,"Unentschieden",IF(I79&gt;J79,I78,J78))</f>
        <v>Unentschieden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DR Kongo</v>
      </c>
      <c r="AE80" s="80"/>
      <c r="AF80" s="4"/>
      <c r="AG80" s="4"/>
      <c r="AH80" s="4"/>
      <c r="AI80" s="4"/>
      <c r="AJ80" s="4"/>
      <c r="AK80" s="80" t="str">
        <f>IF(AK79=AL79,"Unentschieden",IF(AK79&gt;AL79,AK78,AL78))</f>
        <v>Unentschieden</v>
      </c>
      <c r="AL80" s="80"/>
      <c r="AM80" s="4"/>
      <c r="AN80" s="4"/>
      <c r="AO80" s="4"/>
      <c r="AP80" s="4"/>
    </row>
    <row r="81" spans="1:42" ht="17.55" customHeight="1"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6</v>
      </c>
      <c r="E84" s="1">
        <f>C52+C63+B74</f>
        <v>2</v>
      </c>
      <c r="F84" s="1">
        <f>D84-E84</f>
        <v>4</v>
      </c>
      <c r="G84" s="4"/>
      <c r="H84" s="37"/>
      <c r="I84" s="2" t="s">
        <v>65</v>
      </c>
      <c r="J84" s="1">
        <f>I54+I65+J76</f>
        <v>7</v>
      </c>
      <c r="K84" s="1">
        <f>I52+I63+J74</f>
        <v>8</v>
      </c>
      <c r="L84" s="1">
        <f>J52+J63+I74</f>
        <v>2</v>
      </c>
      <c r="M84" s="1">
        <f>K84-L84</f>
        <v>6</v>
      </c>
      <c r="N84" s="4"/>
      <c r="O84" s="13"/>
      <c r="P84" s="2" t="s">
        <v>67</v>
      </c>
      <c r="Q84" s="1">
        <f>P54+P65+Q76</f>
        <v>5</v>
      </c>
      <c r="R84" s="1">
        <f>P52+P63+Q74</f>
        <v>6</v>
      </c>
      <c r="S84" s="1">
        <f>Q52+Q63+P74</f>
        <v>4</v>
      </c>
      <c r="T84" s="1">
        <f>R84-S84</f>
        <v>2</v>
      </c>
      <c r="U84" s="4"/>
      <c r="V84" s="13"/>
      <c r="W84" s="2" t="s">
        <v>69</v>
      </c>
      <c r="X84" s="1">
        <f>W54+W65+X76</f>
        <v>5</v>
      </c>
      <c r="Y84" s="1">
        <f>W52+W63+X74</f>
        <v>6</v>
      </c>
      <c r="Z84" s="1">
        <f>X52+X63+W74</f>
        <v>4</v>
      </c>
      <c r="AA84" s="1">
        <f>Y84-Z84</f>
        <v>2</v>
      </c>
      <c r="AB84" s="4"/>
      <c r="AC84" s="13"/>
      <c r="AD84" s="2" t="s">
        <v>71</v>
      </c>
      <c r="AE84" s="1">
        <f>AD54+AD65+AE76</f>
        <v>7</v>
      </c>
      <c r="AF84" s="1">
        <f>AD52+AD63+AE74</f>
        <v>8</v>
      </c>
      <c r="AG84" s="1">
        <f>AE52+AE63+AD74</f>
        <v>3</v>
      </c>
      <c r="AH84" s="1">
        <f>AF84-AG84</f>
        <v>5</v>
      </c>
      <c r="AI84" s="4"/>
      <c r="AJ84" s="4"/>
      <c r="AK84" s="2" t="s">
        <v>73</v>
      </c>
      <c r="AL84" s="1">
        <f>AK54+AK65+AL76</f>
        <v>7</v>
      </c>
      <c r="AM84" s="1">
        <f>AK52+AK63+AL74</f>
        <v>5</v>
      </c>
      <c r="AN84" s="1">
        <f>AL52+AL63+AK74</f>
        <v>2</v>
      </c>
      <c r="AO84" s="1">
        <f>AM84-AN84</f>
        <v>3</v>
      </c>
      <c r="AP84" s="4"/>
    </row>
    <row r="85" spans="1:42" ht="17.55" customHeight="1" x14ac:dyDescent="0.45">
      <c r="A85" s="37"/>
      <c r="B85" s="2" t="s">
        <v>64</v>
      </c>
      <c r="C85" s="1">
        <f>C54+C70+B81</f>
        <v>4</v>
      </c>
      <c r="D85" s="1">
        <f>C52+C68+B79</f>
        <v>4</v>
      </c>
      <c r="E85" s="1">
        <f>B52+B68+C79</f>
        <v>4</v>
      </c>
      <c r="F85" s="1">
        <f t="shared" ref="F85:F87" si="6">D85-E85</f>
        <v>0</v>
      </c>
      <c r="G85" s="4"/>
      <c r="H85" s="37"/>
      <c r="I85" s="2" t="s">
        <v>66</v>
      </c>
      <c r="J85" s="1">
        <f>J54+J70+I81</f>
        <v>2</v>
      </c>
      <c r="K85" s="1">
        <f>J52+J68+I79</f>
        <v>1</v>
      </c>
      <c r="L85" s="1">
        <f>I52+I68+J79</f>
        <v>4</v>
      </c>
      <c r="M85" s="1">
        <f t="shared" ref="M85:M87" si="7">K85-L85</f>
        <v>-3</v>
      </c>
      <c r="N85" s="4"/>
      <c r="O85" s="13"/>
      <c r="P85" s="2" t="s">
        <v>68</v>
      </c>
      <c r="Q85" s="1">
        <f>Q54+Q70+P81</f>
        <v>7</v>
      </c>
      <c r="R85" s="1">
        <f>Q52+Q68+P79</f>
        <v>8</v>
      </c>
      <c r="S85" s="1">
        <f>P52+P68+Q79</f>
        <v>4</v>
      </c>
      <c r="T85" s="1">
        <f t="shared" ref="T85:T87" si="8">R85-S85</f>
        <v>4</v>
      </c>
      <c r="U85" s="4"/>
      <c r="V85" s="13"/>
      <c r="W85" s="2" t="s">
        <v>70</v>
      </c>
      <c r="X85" s="1">
        <f>X54+X70+W81</f>
        <v>5</v>
      </c>
      <c r="Y85" s="1">
        <f>X52+X68+W79</f>
        <v>4</v>
      </c>
      <c r="Z85" s="1">
        <f>W52+W68+X79</f>
        <v>3</v>
      </c>
      <c r="AA85" s="1">
        <f t="shared" ref="AA85:AA87" si="9">Y85-Z85</f>
        <v>1</v>
      </c>
      <c r="AB85" s="4"/>
      <c r="AC85" s="13"/>
      <c r="AD85" s="2" t="s">
        <v>72</v>
      </c>
      <c r="AE85" s="1">
        <f>AE54+AE70+AD81</f>
        <v>4</v>
      </c>
      <c r="AF85" s="1">
        <f>AE52+AE68+AD79</f>
        <v>3</v>
      </c>
      <c r="AG85" s="1">
        <f>AD52+AD68+AE79</f>
        <v>5</v>
      </c>
      <c r="AH85" s="1">
        <f t="shared" ref="AH85:AH87" si="10">AF85-AG85</f>
        <v>-2</v>
      </c>
      <c r="AI85" s="4"/>
      <c r="AJ85" s="4"/>
      <c r="AK85" s="2" t="s">
        <v>74</v>
      </c>
      <c r="AL85" s="1">
        <f>AL54+AL70+AK81</f>
        <v>2</v>
      </c>
      <c r="AM85" s="1">
        <f>AL52+AL68+AK79</f>
        <v>6</v>
      </c>
      <c r="AN85" s="1">
        <f>AK52+AK68+AL79</f>
        <v>8</v>
      </c>
      <c r="AO85" s="1">
        <f t="shared" ref="AO85:AO87" si="11">AM85-AN85</f>
        <v>-2</v>
      </c>
      <c r="AP85" s="4"/>
    </row>
    <row r="86" spans="1:42" ht="17.55" customHeight="1" x14ac:dyDescent="0.45">
      <c r="A86" s="36"/>
      <c r="B86" s="2" t="s">
        <v>75</v>
      </c>
      <c r="C86" s="1">
        <f>B59+C65+C81</f>
        <v>2</v>
      </c>
      <c r="D86" s="1">
        <f>B57+C63+C79</f>
        <v>3</v>
      </c>
      <c r="E86" s="1">
        <f>C57+B63+B79</f>
        <v>4</v>
      </c>
      <c r="F86" s="1">
        <f t="shared" si="6"/>
        <v>-1</v>
      </c>
      <c r="G86" s="4"/>
      <c r="H86" s="36"/>
      <c r="I86" s="2" t="s">
        <v>77</v>
      </c>
      <c r="J86" s="1">
        <f>I59+J65+J81</f>
        <v>2</v>
      </c>
      <c r="K86" s="1">
        <f>I57+J63+J79</f>
        <v>2</v>
      </c>
      <c r="L86" s="1">
        <f>J57+I63+I79</f>
        <v>5</v>
      </c>
      <c r="M86" s="1">
        <f t="shared" si="7"/>
        <v>-3</v>
      </c>
      <c r="N86" s="4"/>
      <c r="O86" s="13"/>
      <c r="P86" s="2" t="s">
        <v>79</v>
      </c>
      <c r="Q86" s="1">
        <f>P59+Q65+Q81</f>
        <v>0</v>
      </c>
      <c r="R86" s="1">
        <f>P57+Q63+Q79</f>
        <v>1</v>
      </c>
      <c r="S86" s="1">
        <f>Q57+P63+P79</f>
        <v>7</v>
      </c>
      <c r="T86" s="1">
        <f t="shared" si="8"/>
        <v>-6</v>
      </c>
      <c r="U86" s="4"/>
      <c r="V86" s="13"/>
      <c r="W86" s="2" t="s">
        <v>81</v>
      </c>
      <c r="X86" s="1">
        <f>W59+X65+X81</f>
        <v>5</v>
      </c>
      <c r="Y86" s="1">
        <f>W57+X63+X79</f>
        <v>4</v>
      </c>
      <c r="Z86" s="1">
        <f>X57+W63+W79</f>
        <v>3</v>
      </c>
      <c r="AA86" s="1">
        <f t="shared" si="9"/>
        <v>1</v>
      </c>
      <c r="AB86" s="4"/>
      <c r="AC86" s="13"/>
      <c r="AD86" s="2" t="s">
        <v>83</v>
      </c>
      <c r="AE86" s="1">
        <f>AD59+AE65+AE81</f>
        <v>0</v>
      </c>
      <c r="AF86" s="1">
        <f>AD57+AE63+AE79</f>
        <v>0</v>
      </c>
      <c r="AG86" s="1">
        <f>AE57+AD63+AD79</f>
        <v>5</v>
      </c>
      <c r="AH86" s="1">
        <f t="shared" si="10"/>
        <v>-5</v>
      </c>
      <c r="AI86" s="4"/>
      <c r="AJ86" s="4"/>
      <c r="AK86" s="2" t="s">
        <v>85</v>
      </c>
      <c r="AL86" s="1">
        <f>AK59+AL65+AL81</f>
        <v>2</v>
      </c>
      <c r="AM86" s="1">
        <f>AK57+AL63+AL79</f>
        <v>3</v>
      </c>
      <c r="AN86" s="1">
        <f>AL57+AK63+AK79</f>
        <v>4</v>
      </c>
      <c r="AO86" s="1">
        <f t="shared" si="11"/>
        <v>-1</v>
      </c>
      <c r="AP86" s="4"/>
    </row>
    <row r="87" spans="1:42" x14ac:dyDescent="0.45">
      <c r="A87" s="35"/>
      <c r="B87" s="2" t="s">
        <v>76</v>
      </c>
      <c r="C87" s="1">
        <f>C59+B70+B76</f>
        <v>1</v>
      </c>
      <c r="D87" s="1">
        <f>C57+B68+B74</f>
        <v>2</v>
      </c>
      <c r="E87" s="1">
        <f>B57+C68+C74</f>
        <v>5</v>
      </c>
      <c r="F87" s="1">
        <f t="shared" si="6"/>
        <v>-3</v>
      </c>
      <c r="G87" s="4"/>
      <c r="H87" s="35"/>
      <c r="I87" s="2" t="s">
        <v>78</v>
      </c>
      <c r="J87" s="1">
        <f>J59+I70+I76</f>
        <v>3</v>
      </c>
      <c r="K87" s="1">
        <f>J57+I68+I74</f>
        <v>5</v>
      </c>
      <c r="L87" s="1">
        <f>I57+J68+J74</f>
        <v>5</v>
      </c>
      <c r="M87" s="1">
        <f t="shared" si="7"/>
        <v>0</v>
      </c>
      <c r="N87" s="4"/>
      <c r="O87" s="13"/>
      <c r="P87" s="2" t="s">
        <v>80</v>
      </c>
      <c r="Q87" s="1">
        <f>Q59+P70+P76</f>
        <v>4</v>
      </c>
      <c r="R87" s="1">
        <f>Q57+P68+P74</f>
        <v>4</v>
      </c>
      <c r="S87" s="1">
        <f>P57+Q68+Q74</f>
        <v>4</v>
      </c>
      <c r="T87" s="1">
        <f t="shared" si="8"/>
        <v>0</v>
      </c>
      <c r="U87" s="4"/>
      <c r="V87" s="13"/>
      <c r="W87" s="2" t="s">
        <v>82</v>
      </c>
      <c r="X87" s="1">
        <f>X59+W70+W76</f>
        <v>0</v>
      </c>
      <c r="Y87" s="1">
        <f>X57+W68+W74</f>
        <v>2</v>
      </c>
      <c r="Z87" s="1">
        <f>W57+X68+X74</f>
        <v>6</v>
      </c>
      <c r="AA87" s="1">
        <f t="shared" si="9"/>
        <v>-4</v>
      </c>
      <c r="AB87" s="4"/>
      <c r="AC87" s="13"/>
      <c r="AD87" s="2" t="s">
        <v>84</v>
      </c>
      <c r="AE87" s="1">
        <f>AE59+AD70+AD76</f>
        <v>5</v>
      </c>
      <c r="AF87" s="1">
        <f>AE57+AD68+AD74</f>
        <v>5</v>
      </c>
      <c r="AG87" s="1">
        <f>AD57+AE68+AE74</f>
        <v>3</v>
      </c>
      <c r="AH87" s="1">
        <f t="shared" si="10"/>
        <v>2</v>
      </c>
      <c r="AI87" s="4"/>
      <c r="AJ87" s="4"/>
      <c r="AK87" s="2" t="s">
        <v>86</v>
      </c>
      <c r="AL87" s="1">
        <f>AL59+AK70+AK76</f>
        <v>3</v>
      </c>
      <c r="AM87" s="1">
        <f>AL57+AK68+AK74</f>
        <v>5</v>
      </c>
      <c r="AN87" s="1">
        <f>AK57+AL68+AL74</f>
        <v>5</v>
      </c>
      <c r="AO87" s="1">
        <f t="shared" si="11"/>
        <v>0</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6</v>
      </c>
      <c r="E90" s="1" cm="1">
        <f t="array" ref="E90:E93">_xlfn.SORTBY(E84:E87,C84:C87,-1,F84:F87,-1,D84:D87,-1)</f>
        <v>2</v>
      </c>
      <c r="F90" s="1" cm="1">
        <f t="array" ref="F90:F93">_xlfn.SORTBY(F84:F87,C84:C87,-1,F84:F87,-1,D84:D87,-1)</f>
        <v>4</v>
      </c>
      <c r="G90" s="4"/>
      <c r="H90" s="33">
        <v>1</v>
      </c>
      <c r="I90" s="2" t="str" cm="1">
        <f t="array" ref="I90:I93">_xlfn.SORTBY(I84:I87,J84:J87,-1,M84:M87,-1,K84:K87,-1)</f>
        <v>Spanien</v>
      </c>
      <c r="J90" s="1" cm="1">
        <f t="array" ref="J90:J93">_xlfn.SORTBY(J84:J87,J84:J87,-1,M84:M87,-1,K84:K87,-1)</f>
        <v>7</v>
      </c>
      <c r="K90" s="1" cm="1">
        <f t="array" ref="K90:K93">_xlfn.SORTBY(K84:K87,J84:J87,-1,M84:M87,-1,K84:K87,-1)</f>
        <v>8</v>
      </c>
      <c r="L90" s="1" cm="1">
        <f t="array" ref="L90:L93">_xlfn.SORTBY(L84:L87,J84:J87,-1,M84:M87,-1,K84:K87,-1)</f>
        <v>2</v>
      </c>
      <c r="M90" s="1" cm="1">
        <f t="array" ref="M90:M93">_xlfn.SORTBY(M84:M87,J84:J87,-1,M84:M87,-1,K84:K87,-1)</f>
        <v>6</v>
      </c>
      <c r="N90" s="4"/>
      <c r="O90" s="33">
        <v>1</v>
      </c>
      <c r="P90" s="2" t="str" cm="1">
        <f t="array" ref="P90:P93">_xlfn.SORTBY(P84:P87,Q84:Q87,-1,T84:T87,-1,R84:R87,-1)</f>
        <v>Senegal</v>
      </c>
      <c r="Q90" s="1" cm="1">
        <f t="array" ref="Q90:Q93">_xlfn.SORTBY(Q84:Q87,Q84:Q87,-1,T84:T87,-1,R84:R87,-1)</f>
        <v>7</v>
      </c>
      <c r="R90" s="1" cm="1">
        <f t="array" ref="R90:R93">_xlfn.SORTBY(R84:R87,Q84:Q87,-1,T84:T87,-1,R84:R87,-1)</f>
        <v>8</v>
      </c>
      <c r="S90" s="1" cm="1">
        <f t="array" ref="S90:S93">_xlfn.SORTBY(S84:S87,Q84:Q87,-1,T84:T87,-1,R84:R87,-1)</f>
        <v>4</v>
      </c>
      <c r="T90" s="1" cm="1">
        <f t="array" ref="T90:T93">_xlfn.SORTBY(T84:T87,Q84:Q87,-1,T84:T87,-1,R84:R87,-1)</f>
        <v>4</v>
      </c>
      <c r="U90" s="4"/>
      <c r="V90" s="33">
        <v>1</v>
      </c>
      <c r="W90" s="2" t="str" cm="1">
        <f t="array" ref="W90:W93">_xlfn.SORTBY(W84:W87,X84:X87,-1,AA84:AA87,-1,Y84:Y87,-1)</f>
        <v>Argentinien</v>
      </c>
      <c r="X90" s="1" cm="1">
        <f t="array" ref="X90:X93">_xlfn.SORTBY(X84:X87,X84:X87,-1,AA84:AA87,-1,Y84:Y87,-1)</f>
        <v>5</v>
      </c>
      <c r="Y90" s="1" cm="1">
        <f t="array" ref="Y90:Y93">_xlfn.SORTBY(Y84:Y87,X84:X87,-1,AA84:AA87,-1,Y84:Y87,-1)</f>
        <v>6</v>
      </c>
      <c r="Z90" s="1" cm="1">
        <f t="array" ref="Z90:Z93">_xlfn.SORTBY(Z84:Z87,X84:X87,-1,AA84:AA87,-1,Y84:Y87,-1)</f>
        <v>4</v>
      </c>
      <c r="AA90" s="1" cm="1">
        <f t="array" ref="AA90:AA93">_xlfn.SORTBY(AA84:AA87,X84:X87,-1,AA84:AA87,-1,Y84:Y87,-1)</f>
        <v>2</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8</v>
      </c>
      <c r="AG90" s="1" cm="1">
        <f t="array" ref="AG90:AG93">_xlfn.SORTBY(AG84:AG87,AE84:AE87,-1,AH84:AH87,-1,AF84:AF87,-1)</f>
        <v>3</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5</v>
      </c>
      <c r="AN90" s="1" cm="1">
        <f t="array" ref="AN90:AN93">_xlfn.SORTBY(AN84:AN87,AL84:AL87,-1,AO84:AO87,-1,AM84:AM87,-1)</f>
        <v>2</v>
      </c>
      <c r="AO90" s="1" cm="1">
        <f t="array" ref="AO90:AO93">_xlfn.SORTBY(AO84:AO87,AL84:AL87,-1,AO84:AO87,-1,AM84:AM87,-1)</f>
        <v>3</v>
      </c>
      <c r="AP90" s="4"/>
    </row>
    <row r="91" spans="1:42" x14ac:dyDescent="0.45">
      <c r="A91" s="33">
        <v>2</v>
      </c>
      <c r="B91" s="2" t="str">
        <v>Ägypten</v>
      </c>
      <c r="C91" s="1">
        <v>4</v>
      </c>
      <c r="D91" s="1">
        <v>4</v>
      </c>
      <c r="E91" s="1">
        <v>4</v>
      </c>
      <c r="F91" s="1">
        <v>0</v>
      </c>
      <c r="G91" s="4"/>
      <c r="H91" s="33">
        <v>2</v>
      </c>
      <c r="I91" s="2" t="str">
        <v>Uruguay</v>
      </c>
      <c r="J91" s="1">
        <v>3</v>
      </c>
      <c r="K91" s="1">
        <v>5</v>
      </c>
      <c r="L91" s="1">
        <v>5</v>
      </c>
      <c r="M91" s="1">
        <v>0</v>
      </c>
      <c r="N91" s="4"/>
      <c r="O91" s="33">
        <v>2</v>
      </c>
      <c r="P91" s="2" t="str">
        <v>Frankreich</v>
      </c>
      <c r="Q91" s="1">
        <v>5</v>
      </c>
      <c r="R91" s="1">
        <v>6</v>
      </c>
      <c r="S91" s="1">
        <v>4</v>
      </c>
      <c r="T91" s="1">
        <v>2</v>
      </c>
      <c r="U91" s="4"/>
      <c r="V91" s="33">
        <v>2</v>
      </c>
      <c r="W91" s="2" t="str">
        <v>Algerien</v>
      </c>
      <c r="X91" s="1">
        <v>5</v>
      </c>
      <c r="Y91" s="1">
        <v>4</v>
      </c>
      <c r="Z91" s="1">
        <v>3</v>
      </c>
      <c r="AA91" s="1">
        <v>1</v>
      </c>
      <c r="AB91" s="4"/>
      <c r="AC91" s="33">
        <v>2</v>
      </c>
      <c r="AD91" s="2" t="str">
        <v>Kolumbien</v>
      </c>
      <c r="AE91" s="1">
        <v>5</v>
      </c>
      <c r="AF91" s="1">
        <v>5</v>
      </c>
      <c r="AG91" s="1">
        <v>3</v>
      </c>
      <c r="AH91" s="1">
        <v>2</v>
      </c>
      <c r="AI91" s="4"/>
      <c r="AJ91" s="33">
        <v>2</v>
      </c>
      <c r="AK91" s="2" t="str">
        <v>Panama</v>
      </c>
      <c r="AL91" s="1">
        <v>3</v>
      </c>
      <c r="AM91" s="1">
        <v>5</v>
      </c>
      <c r="AN91" s="1">
        <v>5</v>
      </c>
      <c r="AO91" s="1">
        <v>0</v>
      </c>
      <c r="AP91" s="4"/>
    </row>
    <row r="92" spans="1:42" x14ac:dyDescent="0.45">
      <c r="A92" s="34">
        <v>3</v>
      </c>
      <c r="B92" s="2" t="str">
        <v>Iran</v>
      </c>
      <c r="C92" s="1">
        <v>2</v>
      </c>
      <c r="D92" s="1">
        <v>3</v>
      </c>
      <c r="E92" s="1">
        <v>4</v>
      </c>
      <c r="F92" s="1">
        <v>-1</v>
      </c>
      <c r="G92" s="4"/>
      <c r="H92" s="34">
        <v>3</v>
      </c>
      <c r="I92" s="2" t="str">
        <v>Saudi-Arabien</v>
      </c>
      <c r="J92" s="1">
        <v>2</v>
      </c>
      <c r="K92" s="1">
        <v>2</v>
      </c>
      <c r="L92" s="1">
        <v>5</v>
      </c>
      <c r="M92" s="1">
        <v>-3</v>
      </c>
      <c r="N92" s="4"/>
      <c r="O92" s="34">
        <v>3</v>
      </c>
      <c r="P92" s="2" t="str">
        <v>Norwegen</v>
      </c>
      <c r="Q92" s="1">
        <v>4</v>
      </c>
      <c r="R92" s="1">
        <v>4</v>
      </c>
      <c r="S92" s="1">
        <v>4</v>
      </c>
      <c r="T92" s="1">
        <v>0</v>
      </c>
      <c r="U92" s="4"/>
      <c r="V92" s="34">
        <v>3</v>
      </c>
      <c r="W92" s="2" t="str">
        <v>Österreich</v>
      </c>
      <c r="X92" s="1">
        <v>5</v>
      </c>
      <c r="Y92" s="1">
        <v>4</v>
      </c>
      <c r="Z92" s="1">
        <v>3</v>
      </c>
      <c r="AA92" s="1">
        <v>1</v>
      </c>
      <c r="AB92" s="4"/>
      <c r="AC92" s="34">
        <v>3</v>
      </c>
      <c r="AD92" s="2" t="str">
        <v>DR Kongo</v>
      </c>
      <c r="AE92" s="1">
        <v>4</v>
      </c>
      <c r="AF92" s="1">
        <v>3</v>
      </c>
      <c r="AG92" s="1">
        <v>5</v>
      </c>
      <c r="AH92" s="1">
        <v>-2</v>
      </c>
      <c r="AI92" s="4"/>
      <c r="AJ92" s="34">
        <v>3</v>
      </c>
      <c r="AK92" s="2" t="str">
        <v>Ghana</v>
      </c>
      <c r="AL92" s="1">
        <v>2</v>
      </c>
      <c r="AM92" s="1">
        <v>3</v>
      </c>
      <c r="AN92" s="1">
        <v>4</v>
      </c>
      <c r="AO92" s="1">
        <v>-1</v>
      </c>
      <c r="AP92" s="4"/>
    </row>
    <row r="93" spans="1:42" x14ac:dyDescent="0.45">
      <c r="A93" s="32">
        <v>4</v>
      </c>
      <c r="B93" s="2" t="str">
        <v>Neuseeland</v>
      </c>
      <c r="C93" s="1">
        <v>1</v>
      </c>
      <c r="D93" s="1">
        <v>2</v>
      </c>
      <c r="E93" s="1">
        <v>5</v>
      </c>
      <c r="F93" s="1">
        <v>-3</v>
      </c>
      <c r="G93" s="4"/>
      <c r="H93" s="32">
        <v>4</v>
      </c>
      <c r="I93" s="2" t="str">
        <v>Kap Verde</v>
      </c>
      <c r="J93" s="1">
        <v>2</v>
      </c>
      <c r="K93" s="1">
        <v>1</v>
      </c>
      <c r="L93" s="1">
        <v>4</v>
      </c>
      <c r="M93" s="1">
        <v>-3</v>
      </c>
      <c r="N93" s="4"/>
      <c r="O93" s="32">
        <v>4</v>
      </c>
      <c r="P93" s="2" t="str">
        <v>Irak</v>
      </c>
      <c r="Q93" s="1">
        <v>0</v>
      </c>
      <c r="R93" s="1">
        <v>1</v>
      </c>
      <c r="S93" s="1">
        <v>7</v>
      </c>
      <c r="T93" s="1">
        <v>-6</v>
      </c>
      <c r="U93" s="4"/>
      <c r="V93" s="32">
        <v>4</v>
      </c>
      <c r="W93" s="2" t="str">
        <v>Jordanien</v>
      </c>
      <c r="X93" s="1">
        <v>0</v>
      </c>
      <c r="Y93" s="1">
        <v>2</v>
      </c>
      <c r="Z93" s="1">
        <v>6</v>
      </c>
      <c r="AA93" s="1">
        <v>-4</v>
      </c>
      <c r="AB93" s="4"/>
      <c r="AC93" s="32">
        <v>4</v>
      </c>
      <c r="AD93" s="2" t="str">
        <v>Usbekistan</v>
      </c>
      <c r="AE93" s="1">
        <v>0</v>
      </c>
      <c r="AF93" s="1">
        <v>0</v>
      </c>
      <c r="AG93" s="1">
        <v>5</v>
      </c>
      <c r="AH93" s="1">
        <v>-5</v>
      </c>
      <c r="AI93" s="4"/>
      <c r="AJ93" s="32">
        <v>4</v>
      </c>
      <c r="AK93" s="2" t="str">
        <v>Kroatien</v>
      </c>
      <c r="AL93" s="1">
        <v>2</v>
      </c>
      <c r="AM93" s="1">
        <v>6</v>
      </c>
      <c r="AN93" s="1">
        <v>8</v>
      </c>
      <c r="AO93" s="1">
        <v>-2</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Iran</v>
      </c>
      <c r="S98" s="82"/>
      <c r="T98" s="82"/>
      <c r="U98" s="2">
        <f>C92</f>
        <v>2</v>
      </c>
      <c r="V98" s="2">
        <f>D92</f>
        <v>3</v>
      </c>
      <c r="W98" s="2">
        <f>E92</f>
        <v>4</v>
      </c>
      <c r="X98" s="2">
        <f>F92</f>
        <v>-1</v>
      </c>
    </row>
    <row r="99" spans="17:24" x14ac:dyDescent="0.45">
      <c r="Q99"/>
      <c r="R99" s="82" t="str">
        <f>I92</f>
        <v>Saudi-Arabien</v>
      </c>
      <c r="S99" s="82"/>
      <c r="T99" s="82"/>
      <c r="U99" s="2">
        <f>J92</f>
        <v>2</v>
      </c>
      <c r="V99" s="2">
        <f>K92</f>
        <v>2</v>
      </c>
      <c r="W99" s="2">
        <f>L92</f>
        <v>5</v>
      </c>
      <c r="X99" s="2">
        <f>M92</f>
        <v>-3</v>
      </c>
    </row>
    <row r="100" spans="17:24" x14ac:dyDescent="0.45">
      <c r="Q100"/>
      <c r="R100" s="82" t="str">
        <f>P92</f>
        <v>Norwegen</v>
      </c>
      <c r="S100" s="82"/>
      <c r="T100" s="82"/>
      <c r="U100" s="2">
        <f>Q92</f>
        <v>4</v>
      </c>
      <c r="V100" s="2">
        <f>R92</f>
        <v>4</v>
      </c>
      <c r="W100" s="2">
        <f>S92</f>
        <v>4</v>
      </c>
      <c r="X100" s="2">
        <f>T92</f>
        <v>0</v>
      </c>
    </row>
    <row r="101" spans="17:24" x14ac:dyDescent="0.45">
      <c r="Q101"/>
      <c r="R101" s="82" t="str">
        <f>W92</f>
        <v>Österreich</v>
      </c>
      <c r="S101" s="82"/>
      <c r="T101" s="82"/>
      <c r="U101" s="2">
        <f>X92</f>
        <v>5</v>
      </c>
      <c r="V101" s="2">
        <f>Y92</f>
        <v>4</v>
      </c>
      <c r="W101" s="2">
        <f>Z92</f>
        <v>3</v>
      </c>
      <c r="X101" s="2">
        <f>AA92</f>
        <v>1</v>
      </c>
    </row>
    <row r="102" spans="17:24" x14ac:dyDescent="0.45">
      <c r="Q102"/>
      <c r="R102" s="82" t="str">
        <f>AD92</f>
        <v>DR Kongo</v>
      </c>
      <c r="S102" s="82"/>
      <c r="T102" s="82"/>
      <c r="U102" s="2">
        <f>AE92</f>
        <v>4</v>
      </c>
      <c r="V102" s="2">
        <f>AF92</f>
        <v>3</v>
      </c>
      <c r="W102" s="2">
        <f>AG92</f>
        <v>5</v>
      </c>
      <c r="X102" s="2">
        <f t="shared" ref="X102" si="12">AH92</f>
        <v>-2</v>
      </c>
    </row>
    <row r="103" spans="17:24" x14ac:dyDescent="0.45">
      <c r="Q103"/>
      <c r="R103" s="82" t="str">
        <f>AK92</f>
        <v>Ghana</v>
      </c>
      <c r="S103" s="82"/>
      <c r="T103" s="82"/>
      <c r="U103" s="2">
        <f>AL92</f>
        <v>2</v>
      </c>
      <c r="V103" s="2">
        <f t="shared" ref="V103:X103" si="13">AM92</f>
        <v>3</v>
      </c>
      <c r="W103" s="2">
        <f t="shared" si="13"/>
        <v>4</v>
      </c>
      <c r="X103" s="2">
        <f t="shared" si="13"/>
        <v>-1</v>
      </c>
    </row>
    <row r="104" spans="17:24" x14ac:dyDescent="0.45">
      <c r="R104" s="82" t="str">
        <f>B45</f>
        <v>Tschechien</v>
      </c>
      <c r="S104" s="82"/>
      <c r="T104" s="82"/>
      <c r="U104" s="2">
        <f>C45</f>
        <v>4</v>
      </c>
      <c r="V104" s="2">
        <f t="shared" ref="V104:X104" si="14">D45</f>
        <v>3</v>
      </c>
      <c r="W104" s="2">
        <f t="shared" si="14"/>
        <v>3</v>
      </c>
      <c r="X104" s="2">
        <f t="shared" si="14"/>
        <v>0</v>
      </c>
    </row>
    <row r="105" spans="17:24" x14ac:dyDescent="0.45">
      <c r="R105" s="82" t="str">
        <f>I45</f>
        <v>Bosnien-Herz.</v>
      </c>
      <c r="S105" s="82"/>
      <c r="T105" s="82"/>
      <c r="U105" s="2">
        <f>J45</f>
        <v>4</v>
      </c>
      <c r="V105" s="2">
        <f t="shared" ref="V105:X105" si="15">K45</f>
        <v>6</v>
      </c>
      <c r="W105" s="2">
        <f t="shared" si="15"/>
        <v>5</v>
      </c>
      <c r="X105" s="2">
        <f t="shared" si="15"/>
        <v>1</v>
      </c>
    </row>
    <row r="106" spans="17:24" x14ac:dyDescent="0.45">
      <c r="R106" s="82" t="str">
        <f>P45</f>
        <v>Schottland</v>
      </c>
      <c r="S106" s="82"/>
      <c r="T106" s="82"/>
      <c r="U106" s="2">
        <f>Q45</f>
        <v>4</v>
      </c>
      <c r="V106" s="2">
        <f t="shared" ref="V106:X106" si="16">R45</f>
        <v>5</v>
      </c>
      <c r="W106" s="2">
        <f t="shared" si="16"/>
        <v>4</v>
      </c>
      <c r="X106" s="2">
        <f t="shared" si="16"/>
        <v>1</v>
      </c>
    </row>
    <row r="107" spans="17:24" x14ac:dyDescent="0.45">
      <c r="R107" s="82" t="str">
        <f>W45</f>
        <v>Paraguay</v>
      </c>
      <c r="S107" s="82"/>
      <c r="T107" s="82"/>
      <c r="U107" s="2">
        <f>X45</f>
        <v>2</v>
      </c>
      <c r="V107" s="2">
        <f t="shared" ref="V107:W107" si="17">Y45</f>
        <v>4</v>
      </c>
      <c r="W107" s="2">
        <f t="shared" si="17"/>
        <v>5</v>
      </c>
      <c r="X107" s="2">
        <f>AA45</f>
        <v>-1</v>
      </c>
    </row>
    <row r="108" spans="17:24" x14ac:dyDescent="0.45">
      <c r="R108" s="82" t="str">
        <f>AD45</f>
        <v>Elfenbeinküste</v>
      </c>
      <c r="S108" s="82"/>
      <c r="T108" s="82"/>
      <c r="U108" s="2">
        <f>AE45</f>
        <v>4</v>
      </c>
      <c r="V108" s="2">
        <f t="shared" ref="V108:X108" si="18">AF45</f>
        <v>4</v>
      </c>
      <c r="W108" s="2">
        <f t="shared" si="18"/>
        <v>4</v>
      </c>
      <c r="X108" s="2">
        <f t="shared" si="18"/>
        <v>0</v>
      </c>
    </row>
    <row r="109" spans="17:24" x14ac:dyDescent="0.45">
      <c r="R109" s="82" t="str">
        <f>AK45</f>
        <v>Schweden</v>
      </c>
      <c r="S109" s="82"/>
      <c r="T109" s="82"/>
      <c r="U109" s="2">
        <f>AL45</f>
        <v>3</v>
      </c>
      <c r="V109" s="2">
        <f t="shared" ref="V109:W109" si="19">AM45</f>
        <v>3</v>
      </c>
      <c r="W109" s="2">
        <f t="shared" si="19"/>
        <v>5</v>
      </c>
      <c r="X109" s="2">
        <f>AO45</f>
        <v>-2</v>
      </c>
    </row>
    <row r="112" spans="17:24" x14ac:dyDescent="0.45">
      <c r="Q112" s="33">
        <v>1</v>
      </c>
      <c r="R112" s="2" t="str" cm="1">
        <f t="array" ref="R112:R123">_xlfn.SORTBY(R98:R109,U98:U109,-1,X98:X109,-1,V98:V109,-1)</f>
        <v>Österreich</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Bosnien-Herz.</v>
      </c>
      <c r="U113" s="2">
        <v>4</v>
      </c>
      <c r="V113" s="2">
        <v>6</v>
      </c>
      <c r="W113" s="2">
        <v>5</v>
      </c>
      <c r="X113" s="2">
        <v>1</v>
      </c>
    </row>
    <row r="114" spans="17:24" x14ac:dyDescent="0.45">
      <c r="Q114" s="33">
        <v>3</v>
      </c>
      <c r="R114" s="2" t="str">
        <v>Schottland</v>
      </c>
      <c r="U114" s="2">
        <v>4</v>
      </c>
      <c r="V114" s="2">
        <v>5</v>
      </c>
      <c r="W114" s="2">
        <v>4</v>
      </c>
      <c r="X114" s="2">
        <v>1</v>
      </c>
    </row>
    <row r="115" spans="17:24" x14ac:dyDescent="0.45">
      <c r="Q115" s="33">
        <v>4</v>
      </c>
      <c r="R115" s="2" t="str">
        <v>Norwegen</v>
      </c>
      <c r="U115" s="2">
        <v>4</v>
      </c>
      <c r="V115" s="2">
        <v>4</v>
      </c>
      <c r="W115" s="2">
        <v>4</v>
      </c>
      <c r="X115" s="2">
        <v>0</v>
      </c>
    </row>
    <row r="116" spans="17:24" x14ac:dyDescent="0.45">
      <c r="Q116" s="33">
        <v>5</v>
      </c>
      <c r="R116" s="2" t="str">
        <v>Elfenbeinküste</v>
      </c>
      <c r="U116" s="2">
        <v>4</v>
      </c>
      <c r="V116" s="2">
        <v>4</v>
      </c>
      <c r="W116" s="2">
        <v>4</v>
      </c>
      <c r="X116" s="2">
        <v>0</v>
      </c>
    </row>
    <row r="117" spans="17:24" x14ac:dyDescent="0.45">
      <c r="Q117" s="33">
        <v>6</v>
      </c>
      <c r="R117" s="2" t="str">
        <v>Tschechien</v>
      </c>
      <c r="U117" s="2">
        <v>4</v>
      </c>
      <c r="V117" s="2">
        <v>3</v>
      </c>
      <c r="W117" s="2">
        <v>3</v>
      </c>
      <c r="X117" s="2">
        <v>0</v>
      </c>
    </row>
    <row r="118" spans="17:24" x14ac:dyDescent="0.45">
      <c r="Q118" s="33">
        <v>7</v>
      </c>
      <c r="R118" s="2" t="str">
        <v>DR Kongo</v>
      </c>
      <c r="U118" s="2">
        <v>4</v>
      </c>
      <c r="V118" s="2">
        <v>3</v>
      </c>
      <c r="W118" s="2">
        <v>5</v>
      </c>
      <c r="X118" s="2">
        <v>-2</v>
      </c>
    </row>
    <row r="119" spans="17:24" x14ac:dyDescent="0.45">
      <c r="Q119" s="33">
        <v>8</v>
      </c>
      <c r="R119" s="2" t="str">
        <v>Schweden</v>
      </c>
      <c r="U119" s="2">
        <v>3</v>
      </c>
      <c r="V119" s="2">
        <v>3</v>
      </c>
      <c r="W119" s="2">
        <v>5</v>
      </c>
      <c r="X119" s="2">
        <v>-2</v>
      </c>
    </row>
    <row r="120" spans="17:24" x14ac:dyDescent="0.45">
      <c r="Q120" s="32">
        <v>9</v>
      </c>
      <c r="R120" s="2" t="str">
        <v>Paraguay</v>
      </c>
      <c r="U120" s="2">
        <v>2</v>
      </c>
      <c r="V120" s="2">
        <v>4</v>
      </c>
      <c r="W120" s="2">
        <v>5</v>
      </c>
      <c r="X120" s="2">
        <v>-1</v>
      </c>
    </row>
    <row r="121" spans="17:24" x14ac:dyDescent="0.45">
      <c r="Q121" s="32">
        <v>10</v>
      </c>
      <c r="R121" s="2" t="str">
        <v>Iran</v>
      </c>
      <c r="U121" s="2">
        <v>2</v>
      </c>
      <c r="V121" s="2">
        <v>3</v>
      </c>
      <c r="W121" s="2">
        <v>4</v>
      </c>
      <c r="X121" s="2">
        <v>-1</v>
      </c>
    </row>
    <row r="122" spans="17:24" x14ac:dyDescent="0.45">
      <c r="Q122" s="32">
        <v>11</v>
      </c>
      <c r="R122" s="2" t="str">
        <v>Ghana</v>
      </c>
      <c r="U122" s="2">
        <v>2</v>
      </c>
      <c r="V122" s="2">
        <v>3</v>
      </c>
      <c r="W122" s="2">
        <v>4</v>
      </c>
      <c r="X122" s="2">
        <v>-1</v>
      </c>
    </row>
    <row r="123" spans="17:24" x14ac:dyDescent="0.45">
      <c r="Q123" s="32">
        <v>12</v>
      </c>
      <c r="R123" s="2" t="str">
        <v>Saudi-Arabien</v>
      </c>
      <c r="U123" s="2">
        <v>2</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210</v>
      </c>
    </row>
    <row r="155" spans="1:23" x14ac:dyDescent="0.45">
      <c r="A155" s="23" t="s">
        <v>103</v>
      </c>
      <c r="B155" s="24">
        <f>SUM(H160:H231)</f>
        <v>209</v>
      </c>
    </row>
    <row r="156" spans="1:23" x14ac:dyDescent="0.45">
      <c r="A156" s="23" t="s">
        <v>104</v>
      </c>
      <c r="B156" s="24">
        <f>SUM(E234:E265)</f>
        <v>135</v>
      </c>
    </row>
    <row r="157" spans="1:23" x14ac:dyDescent="0.45">
      <c r="A157" s="25" t="s">
        <v>105</v>
      </c>
      <c r="B157" s="26">
        <f>B154+B155+B156</f>
        <v>554</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3</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5</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5</v>
      </c>
      <c r="H166" s="28">
        <f>IF(OR(I5="",Realität!I5=""),0,MAX(0,5-ABS(I5-Realität!I5)-ABS(J5-Realität!J5)))</f>
        <v>5</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1</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5</v>
      </c>
      <c r="H172" s="28">
        <f>IF(OR(P5="",Realität!P5=""),0,MAX(0,5-ABS(P5-Realität!P5)-ABS(Q5-Realität!Q5)))</f>
        <v>5</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3</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0</v>
      </c>
      <c r="H177" s="28">
        <f>IF(OR(P32="",Realität!P32=""),0,MAX(0,5-ABS(P32-Realität!P32)-ABS(Q32-Realität!Q32)))</f>
        <v>2</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3</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4</v>
      </c>
    </row>
    <row r="182" spans="1:8" x14ac:dyDescent="0.45">
      <c r="A182" s="28">
        <v>23</v>
      </c>
      <c r="B182" s="29" t="s">
        <v>179</v>
      </c>
      <c r="C182" s="30" t="s">
        <v>180</v>
      </c>
      <c r="D182" s="30" t="s">
        <v>181</v>
      </c>
      <c r="E182" s="28">
        <f>Realität!W27</f>
        <v>0</v>
      </c>
      <c r="F182" s="28">
        <f>Realität!X27</f>
        <v>0</v>
      </c>
      <c r="G182" s="28">
        <f>IF(OR(W27="",Realität!W27=""),0,IF(SIGN(W27-X27)=SIGN(Realität!W27-Realität!X27),5,0))</f>
        <v>5</v>
      </c>
      <c r="H182" s="28">
        <f>IF(OR(W27="",Realität!W27=""),0,MAX(0,5-ABS(W27-Realität!W27)-ABS(X27-Realität!X27)))</f>
        <v>1</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4</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2</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3</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4</v>
      </c>
    </row>
    <row r="190" spans="1:8" x14ac:dyDescent="0.45">
      <c r="A190" s="28">
        <v>31</v>
      </c>
      <c r="B190" s="29" t="s">
        <v>203</v>
      </c>
      <c r="C190" s="30" t="s">
        <v>204</v>
      </c>
      <c r="D190" s="30" t="s">
        <v>205</v>
      </c>
      <c r="E190" s="28">
        <f>Realität!AK5</f>
        <v>2</v>
      </c>
      <c r="F190" s="28">
        <f>Realität!AL5</f>
        <v>2</v>
      </c>
      <c r="G190" s="28">
        <f>IF(OR(AK5="",Realität!AK5=""),0,IF(SIGN(AK5-AL5)=SIGN(Realität!AK5-Realität!AL5),5,0))</f>
        <v>5</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2</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3</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0</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5</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4</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5</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5</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5</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0</v>
      </c>
      <c r="H206" s="28">
        <f>IF(OR(I74="",Realität!I74=""),0,MAX(0,5-ABS(I74-Realität!I74)-ABS(J74-Realität!J74)))</f>
        <v>2</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5</v>
      </c>
    </row>
    <row r="208" spans="1:8" x14ac:dyDescent="0.45">
      <c r="A208" s="28">
        <v>49</v>
      </c>
      <c r="B208" s="29" t="s">
        <v>257</v>
      </c>
      <c r="C208" s="30" t="s">
        <v>258</v>
      </c>
      <c r="D208" s="30" t="s">
        <v>259</v>
      </c>
      <c r="E208" s="28">
        <f>Realität!P52</f>
        <v>3</v>
      </c>
      <c r="F208" s="28">
        <f>Realität!Q52</f>
        <v>1</v>
      </c>
      <c r="G208" s="28">
        <f>IF(OR(P52="",Realität!P52=""),0,IF(SIGN(P52-Q52)=SIGN(Realität!P52-Realität!Q52),5,0))</f>
        <v>0</v>
      </c>
      <c r="H208" s="28">
        <f>IF(OR(P52="",Realität!P52=""),0,MAX(0,5-ABS(P52-Realität!P52)-ABS(Q52-Realität!Q52)))</f>
        <v>3</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1</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2</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3</v>
      </c>
    </row>
    <row r="214" spans="1:8" x14ac:dyDescent="0.45">
      <c r="A214" s="28">
        <v>55</v>
      </c>
      <c r="B214" s="29" t="s">
        <v>275</v>
      </c>
      <c r="C214" s="30" t="s">
        <v>276</v>
      </c>
      <c r="D214" s="30" t="s">
        <v>277</v>
      </c>
      <c r="E214" s="28">
        <f>Realität!W52</f>
        <v>3</v>
      </c>
      <c r="F214" s="28">
        <f>Realität!X52</f>
        <v>0</v>
      </c>
      <c r="G214" s="28">
        <f>IF(OR(W52="",Realität!W52=""),0,IF(SIGN(W52-X52)=SIGN(Realität!W52-Realität!X52),5,0))</f>
        <v>0</v>
      </c>
      <c r="H214" s="28">
        <f>IF(OR(W52="",Realität!W52=""),0,MAX(0,5-ABS(W52-Realität!W52)-ABS(X52-Realität!X52)))</f>
        <v>2</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2</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5</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5</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2</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0</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1</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2</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3</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4</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0</v>
      </c>
      <c r="H230" s="28">
        <f>IF(OR(AK74="",Realität!AK74=""),0,MAX(0,5-ABS(AK74-Realität!AK74)-ABS(AL74-Realität!AL74)))</f>
        <v>3</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0</v>
      </c>
      <c r="H231" s="28">
        <f>IF(OR(AK79="",Realität!AK79=""),0,MAX(0,5-ABS(AK79-Realität!AK79)-ABS(AL79-Realität!AL79)))</f>
        <v>4</v>
      </c>
    </row>
    <row r="232" spans="1:8" x14ac:dyDescent="0.45">
      <c r="A232" s="31" t="s">
        <v>329</v>
      </c>
      <c r="F232" s="23" t="s">
        <v>330</v>
      </c>
      <c r="G232" s="24">
        <f>SUM(G160:G231)</f>
        <v>210</v>
      </c>
      <c r="H232" s="24">
        <f>SUM(H160:H231)</f>
        <v>209</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Südafrika</v>
      </c>
      <c r="E235" s="28">
        <f t="shared" si="20"/>
        <v>5</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Kanada</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Australien</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Ecuador</v>
      </c>
      <c r="E243" s="28">
        <f t="shared" si="20"/>
        <v>5</v>
      </c>
    </row>
    <row r="244" spans="1:5" x14ac:dyDescent="0.45">
      <c r="A244" s="28">
        <v>11</v>
      </c>
      <c r="B244" s="29" t="s">
        <v>344</v>
      </c>
      <c r="C244" s="29" t="str">
        <f>Realität!AK43</f>
        <v>Niederlande</v>
      </c>
      <c r="D244" s="29" t="str">
        <f>AK43</f>
        <v>Japan</v>
      </c>
      <c r="E244" s="28">
        <f t="shared" si="20"/>
        <v>5</v>
      </c>
    </row>
    <row r="245" spans="1:5" x14ac:dyDescent="0.45">
      <c r="A245" s="28">
        <v>12</v>
      </c>
      <c r="B245" s="29" t="s">
        <v>345</v>
      </c>
      <c r="C245" s="29" t="str">
        <f>Realität!AK44</f>
        <v>Japan</v>
      </c>
      <c r="D245" s="29" t="str">
        <f>AK44</f>
        <v>Niederlande</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Senegal</v>
      </c>
      <c r="E250" s="28">
        <f t="shared" si="20"/>
        <v>5</v>
      </c>
    </row>
    <row r="251" spans="1:5" x14ac:dyDescent="0.45">
      <c r="A251" s="28">
        <v>18</v>
      </c>
      <c r="B251" s="29" t="s">
        <v>351</v>
      </c>
      <c r="C251" s="29" t="str">
        <f>Realität!P91</f>
        <v>Norwegen</v>
      </c>
      <c r="D251" s="29" t="str">
        <f>P91</f>
        <v>Frankreich</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Algerien</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Panama</v>
      </c>
      <c r="E257" s="28">
        <f t="shared" si="20"/>
        <v>0</v>
      </c>
    </row>
    <row r="258" spans="1:5" x14ac:dyDescent="0.45">
      <c r="A258" s="28">
        <v>25</v>
      </c>
      <c r="B258" s="29" t="s">
        <v>358</v>
      </c>
      <c r="C258" s="29" t="str">
        <f>Realität!R112</f>
        <v>DR Kongo</v>
      </c>
      <c r="D258" s="29" t="str">
        <f t="shared" ref="D258:D265" si="21">R112</f>
        <v>Österreich</v>
      </c>
      <c r="E258" s="28">
        <f t="shared" si="20"/>
        <v>5</v>
      </c>
    </row>
    <row r="259" spans="1:5" x14ac:dyDescent="0.45">
      <c r="A259" s="28">
        <v>26</v>
      </c>
      <c r="B259" s="29" t="s">
        <v>359</v>
      </c>
      <c r="C259" s="29" t="str">
        <f>Realität!R113</f>
        <v>Schweden</v>
      </c>
      <c r="D259" s="29" t="str">
        <f t="shared" si="21"/>
        <v>Bosnien-Herz.</v>
      </c>
      <c r="E259" s="28">
        <f t="shared" si="20"/>
        <v>5</v>
      </c>
    </row>
    <row r="260" spans="1:5" x14ac:dyDescent="0.45">
      <c r="A260" s="28">
        <v>27</v>
      </c>
      <c r="B260" s="29" t="s">
        <v>360</v>
      </c>
      <c r="C260" s="29" t="str">
        <f>Realität!R114</f>
        <v>Ghana</v>
      </c>
      <c r="D260" s="29" t="str">
        <f t="shared" si="21"/>
        <v>Schottland</v>
      </c>
      <c r="E260" s="28">
        <f t="shared" si="20"/>
        <v>0</v>
      </c>
    </row>
    <row r="261" spans="1:5" x14ac:dyDescent="0.45">
      <c r="A261" s="28">
        <v>28</v>
      </c>
      <c r="B261" s="29" t="s">
        <v>361</v>
      </c>
      <c r="C261" s="29" t="str">
        <f>Realität!R115</f>
        <v>Ecuador</v>
      </c>
      <c r="D261" s="29" t="str">
        <f t="shared" si="21"/>
        <v>Norwegen</v>
      </c>
      <c r="E261" s="28">
        <f t="shared" si="20"/>
        <v>5</v>
      </c>
    </row>
    <row r="262" spans="1:5" x14ac:dyDescent="0.45">
      <c r="A262" s="28">
        <v>29</v>
      </c>
      <c r="B262" s="29" t="s">
        <v>362</v>
      </c>
      <c r="C262" s="29" t="str">
        <f>Realität!R116</f>
        <v>Bosnien-Herz.</v>
      </c>
      <c r="D262" s="29" t="str">
        <f t="shared" si="21"/>
        <v>Elfenbeinküste</v>
      </c>
      <c r="E262" s="28">
        <f t="shared" si="20"/>
        <v>5</v>
      </c>
    </row>
    <row r="263" spans="1:5" x14ac:dyDescent="0.45">
      <c r="A263" s="28">
        <v>30</v>
      </c>
      <c r="B263" s="29" t="s">
        <v>363</v>
      </c>
      <c r="C263" s="29" t="str">
        <f>Realität!R117</f>
        <v>Algerien</v>
      </c>
      <c r="D263" s="29" t="str">
        <f t="shared" si="21"/>
        <v>Tschechien</v>
      </c>
      <c r="E263" s="28">
        <f t="shared" si="20"/>
        <v>0</v>
      </c>
    </row>
    <row r="264" spans="1:5" x14ac:dyDescent="0.45">
      <c r="A264" s="28">
        <v>31</v>
      </c>
      <c r="B264" s="29" t="s">
        <v>364</v>
      </c>
      <c r="C264" s="29" t="str">
        <f>Realität!R118</f>
        <v>Paraguay</v>
      </c>
      <c r="D264" s="29" t="str">
        <f t="shared" si="21"/>
        <v>DR Kongo</v>
      </c>
      <c r="E264" s="28">
        <f t="shared" si="20"/>
        <v>5</v>
      </c>
    </row>
    <row r="265" spans="1:5" x14ac:dyDescent="0.45">
      <c r="A265" s="28">
        <v>32</v>
      </c>
      <c r="B265" s="29" t="s">
        <v>365</v>
      </c>
      <c r="C265" s="29" t="str">
        <f>Realität!R119</f>
        <v>Senegal</v>
      </c>
      <c r="D265" s="29" t="str">
        <f t="shared" si="21"/>
        <v>Schweden</v>
      </c>
      <c r="E265" s="28">
        <f t="shared" si="20"/>
        <v>5</v>
      </c>
    </row>
    <row r="266" spans="1:5" x14ac:dyDescent="0.45">
      <c r="D266" s="23" t="s">
        <v>330</v>
      </c>
      <c r="E266" s="24">
        <f>SUM(E234:E265)</f>
        <v>135</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7BCE-29EF-42D7-B813-CE64E8E31485}">
  <dimension ref="A1:AP266"/>
  <sheetViews>
    <sheetView topLeftCell="A138" zoomScaleNormal="100" workbookViewId="0">
      <selection activeCell="A152" sqref="A152:H266"/>
    </sheetView>
  </sheetViews>
  <sheetFormatPr defaultColWidth="11.44140625" defaultRowHeight="17.399999999999999" x14ac:dyDescent="0.45"/>
  <cols>
    <col min="1" max="1" width="11.44140625" style="60"/>
    <col min="2" max="3" width="16.77734375" style="60" customWidth="1"/>
    <col min="4" max="6" width="4.33203125" style="60" customWidth="1"/>
    <col min="7" max="8" width="11.44140625" style="60"/>
    <col min="9" max="10" width="16.77734375" style="60" customWidth="1"/>
    <col min="11" max="13" width="4.33203125" style="60" customWidth="1"/>
    <col min="14" max="15" width="11.44140625" style="60"/>
    <col min="16" max="17" width="16.77734375" style="60" customWidth="1"/>
    <col min="18" max="18" width="5.33203125" style="60" customWidth="1"/>
    <col min="19" max="20" width="4.33203125" style="60" customWidth="1"/>
    <col min="21" max="21" width="16.77734375" style="60" customWidth="1"/>
    <col min="22" max="22" width="11.44140625" style="60"/>
    <col min="23" max="24" width="16.77734375" style="60" customWidth="1"/>
    <col min="25" max="27" width="4.33203125" style="60" customWidth="1"/>
    <col min="28" max="29" width="11.44140625" style="60"/>
    <col min="30" max="31" width="16.77734375" style="60" customWidth="1"/>
    <col min="32" max="32" width="4.33203125" style="60" customWidth="1"/>
    <col min="33" max="33" width="4.44140625" style="60" customWidth="1"/>
    <col min="34" max="35" width="4.33203125" style="60" customWidth="1"/>
    <col min="36" max="36" width="11.44140625" style="60"/>
    <col min="37" max="38" width="16.77734375" style="60" customWidth="1"/>
    <col min="39" max="41" width="4.33203125" style="60" customWidth="1"/>
    <col min="42" max="16384" width="11.44140625" style="60"/>
  </cols>
  <sheetData>
    <row r="1" spans="1:42" ht="17.25" customHeight="1" x14ac:dyDescent="0.7">
      <c r="A1" s="57"/>
      <c r="B1" s="94" t="s">
        <v>18</v>
      </c>
      <c r="C1" s="94"/>
      <c r="D1" s="58"/>
      <c r="E1" s="59"/>
      <c r="F1" s="59"/>
      <c r="G1" s="58"/>
      <c r="H1" s="94" t="s">
        <v>19</v>
      </c>
      <c r="I1" s="94"/>
      <c r="J1" s="94"/>
      <c r="K1" s="94"/>
      <c r="L1" s="59"/>
      <c r="M1" s="59"/>
      <c r="N1" s="58"/>
      <c r="O1" s="94" t="s">
        <v>20</v>
      </c>
      <c r="P1" s="94"/>
      <c r="Q1" s="94"/>
      <c r="R1" s="94"/>
      <c r="S1" s="59"/>
      <c r="T1" s="59"/>
      <c r="U1" s="58"/>
      <c r="V1" s="94" t="s">
        <v>21</v>
      </c>
      <c r="W1" s="94"/>
      <c r="X1" s="94"/>
      <c r="Y1" s="94"/>
      <c r="Z1" s="59"/>
      <c r="AA1" s="59"/>
      <c r="AB1" s="58"/>
      <c r="AC1" s="94" t="s">
        <v>22</v>
      </c>
      <c r="AD1" s="94"/>
      <c r="AE1" s="94"/>
      <c r="AF1" s="94"/>
      <c r="AG1" s="59"/>
      <c r="AH1" s="59"/>
      <c r="AI1" s="58"/>
      <c r="AJ1" s="94" t="s">
        <v>23</v>
      </c>
      <c r="AK1" s="94"/>
      <c r="AL1" s="94"/>
      <c r="AM1" s="94"/>
      <c r="AN1" s="59"/>
      <c r="AO1" s="59"/>
      <c r="AP1" s="58"/>
    </row>
    <row r="2" spans="1:42" ht="16.5" customHeight="1" x14ac:dyDescent="0.45">
      <c r="A2" s="58"/>
      <c r="B2" s="94"/>
      <c r="C2" s="94"/>
      <c r="D2" s="58"/>
      <c r="E2" s="59"/>
      <c r="F2" s="59"/>
      <c r="G2" s="58"/>
      <c r="H2" s="94"/>
      <c r="I2" s="94"/>
      <c r="J2" s="94"/>
      <c r="K2" s="94"/>
      <c r="L2" s="59"/>
      <c r="M2" s="59"/>
      <c r="N2" s="58"/>
      <c r="O2" s="94"/>
      <c r="P2" s="94"/>
      <c r="Q2" s="94"/>
      <c r="R2" s="94"/>
      <c r="S2" s="59"/>
      <c r="T2" s="59"/>
      <c r="U2" s="58"/>
      <c r="V2" s="94"/>
      <c r="W2" s="94"/>
      <c r="X2" s="94"/>
      <c r="Y2" s="94"/>
      <c r="Z2" s="59"/>
      <c r="AA2" s="59"/>
      <c r="AB2" s="58"/>
      <c r="AC2" s="94"/>
      <c r="AD2" s="94"/>
      <c r="AE2" s="94"/>
      <c r="AF2" s="94"/>
      <c r="AG2" s="59"/>
      <c r="AH2" s="59"/>
      <c r="AI2" s="58"/>
      <c r="AJ2" s="94"/>
      <c r="AK2" s="94"/>
      <c r="AL2" s="94"/>
      <c r="AM2" s="94"/>
      <c r="AN2" s="59"/>
      <c r="AO2" s="59"/>
      <c r="AP2" s="58"/>
    </row>
    <row r="3" spans="1:42" ht="16.5" customHeight="1" x14ac:dyDescent="0.45">
      <c r="A3" s="58"/>
      <c r="B3" s="92" t="s">
        <v>24</v>
      </c>
      <c r="C3" s="92"/>
      <c r="D3" s="58"/>
      <c r="E3" s="58"/>
      <c r="F3" s="58"/>
      <c r="G3" s="58"/>
      <c r="H3" s="58"/>
      <c r="I3" s="92" t="s">
        <v>24</v>
      </c>
      <c r="J3" s="92"/>
      <c r="K3" s="58"/>
      <c r="L3" s="58"/>
      <c r="M3" s="58"/>
      <c r="N3" s="58"/>
      <c r="O3" s="58"/>
      <c r="P3" s="92" t="s">
        <v>24</v>
      </c>
      <c r="Q3" s="92"/>
      <c r="R3" s="58"/>
      <c r="S3" s="58"/>
      <c r="T3" s="58"/>
      <c r="U3" s="58"/>
      <c r="V3" s="58"/>
      <c r="W3" s="92" t="s">
        <v>24</v>
      </c>
      <c r="X3" s="92"/>
      <c r="Y3" s="58"/>
      <c r="Z3" s="58"/>
      <c r="AA3" s="58"/>
      <c r="AB3" s="58"/>
      <c r="AC3" s="58"/>
      <c r="AD3" s="92" t="s">
        <v>24</v>
      </c>
      <c r="AE3" s="92"/>
      <c r="AF3" s="58"/>
      <c r="AG3" s="58"/>
      <c r="AH3" s="58"/>
      <c r="AI3" s="58"/>
      <c r="AJ3" s="58"/>
      <c r="AK3" s="92" t="s">
        <v>24</v>
      </c>
      <c r="AL3" s="92"/>
      <c r="AM3" s="58"/>
      <c r="AN3" s="58"/>
      <c r="AO3" s="58"/>
      <c r="AP3" s="58"/>
    </row>
    <row r="4" spans="1:42" ht="16.5" customHeight="1" x14ac:dyDescent="0.45">
      <c r="A4" s="58"/>
      <c r="B4" s="61" t="s">
        <v>25</v>
      </c>
      <c r="C4" s="61" t="s">
        <v>26</v>
      </c>
      <c r="D4" s="58"/>
      <c r="E4" s="58"/>
      <c r="F4" s="58"/>
      <c r="G4" s="58"/>
      <c r="H4" s="58"/>
      <c r="I4" s="61" t="s">
        <v>27</v>
      </c>
      <c r="J4" s="61" t="s">
        <v>28</v>
      </c>
      <c r="K4" s="58"/>
      <c r="L4" s="58"/>
      <c r="M4" s="58"/>
      <c r="N4" s="58"/>
      <c r="O4" s="58"/>
      <c r="P4" s="61" t="s">
        <v>29</v>
      </c>
      <c r="Q4" s="61" t="s">
        <v>30</v>
      </c>
      <c r="R4" s="58"/>
      <c r="S4" s="58"/>
      <c r="T4" s="58"/>
      <c r="U4" s="58"/>
      <c r="V4" s="58"/>
      <c r="W4" s="61" t="s">
        <v>31</v>
      </c>
      <c r="X4" s="61" t="s">
        <v>32</v>
      </c>
      <c r="Y4" s="58"/>
      <c r="Z4" s="58"/>
      <c r="AA4" s="58"/>
      <c r="AB4" s="58"/>
      <c r="AC4" s="58"/>
      <c r="AD4" s="61" t="s">
        <v>33</v>
      </c>
      <c r="AE4" s="61" t="s">
        <v>34</v>
      </c>
      <c r="AF4" s="58"/>
      <c r="AG4" s="58"/>
      <c r="AH4" s="58"/>
      <c r="AI4" s="58"/>
      <c r="AJ4" s="58"/>
      <c r="AK4" s="61" t="s">
        <v>35</v>
      </c>
      <c r="AL4" s="61" t="s">
        <v>36</v>
      </c>
      <c r="AM4" s="58"/>
      <c r="AN4" s="58"/>
      <c r="AO4" s="58"/>
      <c r="AP4" s="58"/>
    </row>
    <row r="5" spans="1:42" ht="16.5" customHeight="1" x14ac:dyDescent="0.45">
      <c r="A5" s="58"/>
      <c r="B5" s="62">
        <v>2</v>
      </c>
      <c r="C5" s="62">
        <v>0</v>
      </c>
      <c r="D5" s="58"/>
      <c r="E5" s="58"/>
      <c r="F5" s="58"/>
      <c r="G5" s="58"/>
      <c r="H5" s="58"/>
      <c r="I5" s="62">
        <v>2</v>
      </c>
      <c r="J5" s="62">
        <v>1</v>
      </c>
      <c r="K5" s="58"/>
      <c r="L5" s="58"/>
      <c r="M5" s="58"/>
      <c r="N5" s="58"/>
      <c r="O5" s="58"/>
      <c r="P5" s="62">
        <v>2</v>
      </c>
      <c r="Q5" s="62">
        <v>1</v>
      </c>
      <c r="R5" s="58"/>
      <c r="S5" s="58"/>
      <c r="T5" s="58"/>
      <c r="U5" s="58"/>
      <c r="V5" s="58"/>
      <c r="W5" s="62">
        <v>2</v>
      </c>
      <c r="X5" s="62">
        <v>0</v>
      </c>
      <c r="Y5" s="58"/>
      <c r="Z5" s="58"/>
      <c r="AA5" s="58"/>
      <c r="AB5" s="58"/>
      <c r="AC5" s="58"/>
      <c r="AD5" s="62">
        <v>3</v>
      </c>
      <c r="AE5" s="62">
        <v>0</v>
      </c>
      <c r="AF5" s="58"/>
      <c r="AG5" s="58"/>
      <c r="AH5" s="58"/>
      <c r="AI5" s="58"/>
      <c r="AJ5" s="58"/>
      <c r="AK5" s="62">
        <v>2</v>
      </c>
      <c r="AL5" s="62">
        <v>1</v>
      </c>
      <c r="AM5" s="58"/>
      <c r="AN5" s="58"/>
      <c r="AO5" s="58"/>
      <c r="AP5" s="58"/>
    </row>
    <row r="6" spans="1:42" ht="16.5" customHeight="1" x14ac:dyDescent="0.45">
      <c r="A6" s="58"/>
      <c r="B6" s="93" t="str">
        <f>IF(B5=C5,"Unentschieden",IF(B5&gt;C5,B4,C4))</f>
        <v>Mexiko</v>
      </c>
      <c r="C6" s="93"/>
      <c r="D6" s="58"/>
      <c r="E6" s="58"/>
      <c r="F6" s="58"/>
      <c r="G6" s="58"/>
      <c r="H6" s="58"/>
      <c r="I6" s="93" t="str">
        <f>IF(I5=J5,"Unentschieden",IF(I5&gt;J5,I4,J4))</f>
        <v>Kanada</v>
      </c>
      <c r="J6" s="93"/>
      <c r="K6" s="58"/>
      <c r="L6" s="58"/>
      <c r="M6" s="58"/>
      <c r="N6" s="58"/>
      <c r="O6" s="58"/>
      <c r="P6" s="93" t="str">
        <f>IF(P5=Q5,"Unentschieden",IF(P5&gt;Q5,P4,Q4))</f>
        <v>Brasilien</v>
      </c>
      <c r="Q6" s="93"/>
      <c r="R6" s="58"/>
      <c r="S6" s="58"/>
      <c r="T6" s="58"/>
      <c r="U6" s="58"/>
      <c r="V6" s="58"/>
      <c r="W6" s="93" t="str">
        <f>IF(W5=X5,"Unentschieden",IF(W5&gt;X5,W4,X4))</f>
        <v>USA</v>
      </c>
      <c r="X6" s="93"/>
      <c r="Y6" s="58"/>
      <c r="Z6" s="58"/>
      <c r="AA6" s="58"/>
      <c r="AB6" s="58"/>
      <c r="AC6" s="58"/>
      <c r="AD6" s="93" t="str">
        <f>IF(AD5=AE5,"Unentschieden",IF(AD5&gt;AE5,AD4,AE4))</f>
        <v>Deutschland</v>
      </c>
      <c r="AE6" s="93"/>
      <c r="AF6" s="58"/>
      <c r="AG6" s="58"/>
      <c r="AH6" s="58"/>
      <c r="AI6" s="58"/>
      <c r="AJ6" s="58"/>
      <c r="AK6" s="93" t="str">
        <f>IF(AK5=AL5,"Unentschieden",IF(AK5&gt;AL5,AK4,AL4))</f>
        <v>Niederlande</v>
      </c>
      <c r="AL6" s="93"/>
      <c r="AM6" s="58"/>
      <c r="AN6" s="58"/>
      <c r="AO6" s="58"/>
      <c r="AP6" s="58"/>
    </row>
    <row r="7" spans="1:42" ht="16.5" customHeight="1" x14ac:dyDescent="0.45">
      <c r="A7" s="58"/>
      <c r="B7" s="61">
        <f>IF(B5=C5,1,IF(B5&gt;C5,3,0))</f>
        <v>3</v>
      </c>
      <c r="C7" s="61">
        <f>IF(C5=B5,1,IF(C5&gt;B5,3,0))</f>
        <v>0</v>
      </c>
      <c r="D7" s="58"/>
      <c r="E7" s="58"/>
      <c r="F7" s="58"/>
      <c r="G7" s="58"/>
      <c r="H7" s="58"/>
      <c r="I7" s="61">
        <f>IF(I5=J5,1,IF(I5&gt;J5,3,0))</f>
        <v>3</v>
      </c>
      <c r="J7" s="61">
        <f>IF(J5=I5,1,IF(J5&gt;I5,3,0))</f>
        <v>0</v>
      </c>
      <c r="K7" s="58"/>
      <c r="L7" s="58"/>
      <c r="M7" s="58"/>
      <c r="N7" s="58"/>
      <c r="O7" s="58"/>
      <c r="P7" s="61">
        <f>IF(P5=Q5,1,IF(P5&gt;Q5,3,0))</f>
        <v>3</v>
      </c>
      <c r="Q7" s="61">
        <f>IF(Q5=P5,1,IF(Q5&gt;P5,3,0))</f>
        <v>0</v>
      </c>
      <c r="R7" s="58"/>
      <c r="S7" s="58"/>
      <c r="T7" s="58"/>
      <c r="U7" s="58"/>
      <c r="V7" s="58"/>
      <c r="W7" s="61">
        <f>IF(W5=X5,1,IF(W5&gt;X5,3,0))</f>
        <v>3</v>
      </c>
      <c r="X7" s="61">
        <f>IF(X5=W5,1,IF(X5&gt;W5,3,0))</f>
        <v>0</v>
      </c>
      <c r="Y7" s="58"/>
      <c r="Z7" s="58"/>
      <c r="AA7" s="58"/>
      <c r="AB7" s="58"/>
      <c r="AC7" s="58"/>
      <c r="AD7" s="61">
        <f>IF(AD5=AE5,1,IF(AD5&gt;AE5,3,0))</f>
        <v>3</v>
      </c>
      <c r="AE7" s="61">
        <f>IF(AE5=AD5,1,IF(AE5&gt;AD5,3,0))</f>
        <v>0</v>
      </c>
      <c r="AF7" s="58"/>
      <c r="AG7" s="58"/>
      <c r="AH7" s="58"/>
      <c r="AI7" s="58"/>
      <c r="AJ7" s="58"/>
      <c r="AK7" s="61">
        <f>IF(AK5=AL5,1,IF(AK5&gt;AL5,3,0))</f>
        <v>3</v>
      </c>
      <c r="AL7" s="61">
        <f>IF(AL5=AK5,1,IF(AL5&gt;AK5,3,0))</f>
        <v>0</v>
      </c>
      <c r="AM7" s="58"/>
      <c r="AN7" s="58"/>
      <c r="AO7" s="58"/>
      <c r="AP7" s="58"/>
    </row>
    <row r="8" spans="1:42" ht="16.5" customHeight="1" x14ac:dyDescent="0.45">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row>
    <row r="9" spans="1:42" ht="16.5" customHeight="1" x14ac:dyDescent="0.45">
      <c r="A9" s="58"/>
      <c r="B9" s="61" t="s">
        <v>37</v>
      </c>
      <c r="C9" s="61" t="s">
        <v>38</v>
      </c>
      <c r="D9" s="58"/>
      <c r="E9" s="58"/>
      <c r="F9" s="58"/>
      <c r="G9" s="58"/>
      <c r="H9" s="58"/>
      <c r="I9" s="61" t="s">
        <v>39</v>
      </c>
      <c r="J9" s="61" t="s">
        <v>40</v>
      </c>
      <c r="K9" s="58"/>
      <c r="L9" s="58"/>
      <c r="M9" s="58"/>
      <c r="N9" s="58"/>
      <c r="O9" s="58"/>
      <c r="P9" s="61" t="s">
        <v>41</v>
      </c>
      <c r="Q9" s="61" t="s">
        <v>42</v>
      </c>
      <c r="R9" s="58"/>
      <c r="S9" s="58"/>
      <c r="T9" s="58"/>
      <c r="U9" s="58"/>
      <c r="V9" s="58"/>
      <c r="W9" s="61" t="s">
        <v>43</v>
      </c>
      <c r="X9" s="61" t="s">
        <v>44</v>
      </c>
      <c r="Y9" s="58"/>
      <c r="Z9" s="58"/>
      <c r="AA9" s="58"/>
      <c r="AB9" s="58"/>
      <c r="AC9" s="58"/>
      <c r="AD9" s="61" t="s">
        <v>45</v>
      </c>
      <c r="AE9" s="61" t="s">
        <v>46</v>
      </c>
      <c r="AF9" s="58"/>
      <c r="AG9" s="58"/>
      <c r="AH9" s="58"/>
      <c r="AI9" s="58"/>
      <c r="AJ9" s="58"/>
      <c r="AK9" s="61" t="s">
        <v>47</v>
      </c>
      <c r="AL9" s="61" t="s">
        <v>48</v>
      </c>
      <c r="AM9" s="58"/>
      <c r="AN9" s="58"/>
      <c r="AO9" s="58"/>
      <c r="AP9" s="58"/>
    </row>
    <row r="10" spans="1:42" ht="16.5" customHeight="1" x14ac:dyDescent="0.45">
      <c r="A10" s="58"/>
      <c r="B10" s="62">
        <v>1</v>
      </c>
      <c r="C10" s="62">
        <v>1</v>
      </c>
      <c r="D10" s="58"/>
      <c r="E10" s="58"/>
      <c r="F10" s="58"/>
      <c r="G10" s="58"/>
      <c r="H10" s="58"/>
      <c r="I10" s="62">
        <v>0</v>
      </c>
      <c r="J10" s="62">
        <v>2</v>
      </c>
      <c r="K10" s="58"/>
      <c r="L10" s="58"/>
      <c r="M10" s="58"/>
      <c r="N10" s="58"/>
      <c r="O10" s="58"/>
      <c r="P10" s="62">
        <v>0</v>
      </c>
      <c r="Q10" s="62">
        <v>1</v>
      </c>
      <c r="R10" s="58"/>
      <c r="S10" s="58"/>
      <c r="T10" s="58"/>
      <c r="U10" s="58"/>
      <c r="V10" s="58"/>
      <c r="W10" s="62">
        <v>1</v>
      </c>
      <c r="X10" s="62">
        <v>2</v>
      </c>
      <c r="Y10" s="58"/>
      <c r="Z10" s="58"/>
      <c r="AA10" s="58"/>
      <c r="AB10" s="58"/>
      <c r="AC10" s="58"/>
      <c r="AD10" s="62">
        <v>1</v>
      </c>
      <c r="AE10" s="62">
        <v>1</v>
      </c>
      <c r="AF10" s="58"/>
      <c r="AG10" s="58"/>
      <c r="AH10" s="58"/>
      <c r="AI10" s="58"/>
      <c r="AJ10" s="58"/>
      <c r="AK10" s="62">
        <v>2</v>
      </c>
      <c r="AL10" s="62">
        <v>1</v>
      </c>
      <c r="AM10" s="58"/>
      <c r="AN10" s="58"/>
      <c r="AO10" s="58"/>
      <c r="AP10" s="58"/>
    </row>
    <row r="11" spans="1:42" ht="16.5" customHeight="1" x14ac:dyDescent="0.45">
      <c r="A11" s="58"/>
      <c r="B11" s="93" t="str">
        <f>IF(B10=C10,"Unentschieden",IF(B10&gt;C10,B9,C9))</f>
        <v>Unentschieden</v>
      </c>
      <c r="C11" s="93"/>
      <c r="D11" s="58"/>
      <c r="E11" s="58"/>
      <c r="F11" s="58"/>
      <c r="G11" s="58"/>
      <c r="H11" s="58"/>
      <c r="I11" s="93" t="str">
        <f>IF(I10=J10,"Unentschieden",IF(I10&gt;J10,I9,J9))</f>
        <v>Schweiz</v>
      </c>
      <c r="J11" s="93"/>
      <c r="K11" s="58"/>
      <c r="L11" s="58"/>
      <c r="M11" s="58"/>
      <c r="N11" s="58"/>
      <c r="O11" s="58"/>
      <c r="P11" s="93" t="str">
        <f>IF(P10=Q10,"Unentschieden",IF(P10&gt;Q10,P9,Q9))</f>
        <v>Schottland</v>
      </c>
      <c r="Q11" s="93"/>
      <c r="R11" s="58"/>
      <c r="S11" s="58"/>
      <c r="T11" s="58"/>
      <c r="U11" s="58"/>
      <c r="V11" s="58"/>
      <c r="W11" s="93" t="str">
        <f>IF(W10=X10,"Unentschieden",IF(W10&gt;X10,W9,X9))</f>
        <v>Türkei</v>
      </c>
      <c r="X11" s="93"/>
      <c r="Y11" s="58"/>
      <c r="Z11" s="58"/>
      <c r="AA11" s="58"/>
      <c r="AB11" s="58"/>
      <c r="AC11" s="58"/>
      <c r="AD11" s="93" t="str">
        <f>IF(AD10=AE10,"Unentschieden",IF(AD10&gt;AE10,AD9,AE9))</f>
        <v>Unentschieden</v>
      </c>
      <c r="AE11" s="93"/>
      <c r="AF11" s="58"/>
      <c r="AG11" s="58"/>
      <c r="AH11" s="58"/>
      <c r="AI11" s="58"/>
      <c r="AJ11" s="58"/>
      <c r="AK11" s="93" t="str">
        <f>IF(AK10=AL10,"Unentschieden",IF(AK10&gt;AL10,AK9,AL9))</f>
        <v>Schweden</v>
      </c>
      <c r="AL11" s="93"/>
      <c r="AM11" s="58"/>
      <c r="AN11" s="58"/>
      <c r="AO11" s="58"/>
      <c r="AP11" s="58"/>
    </row>
    <row r="12" spans="1:42" ht="16.5" customHeight="1" x14ac:dyDescent="0.45">
      <c r="A12" s="58"/>
      <c r="B12" s="61">
        <f>IF(B10=C10,1,IF(B10&gt;C10,3,0))</f>
        <v>1</v>
      </c>
      <c r="C12" s="61">
        <f>IF(C10=B10,1,IF(C10&gt;B10,3,0))</f>
        <v>1</v>
      </c>
      <c r="D12" s="58"/>
      <c r="E12" s="58"/>
      <c r="F12" s="58"/>
      <c r="G12" s="58"/>
      <c r="H12" s="58"/>
      <c r="I12" s="61">
        <f>IF(I10=J10,1,IF(I10&gt;J10,3,0))</f>
        <v>0</v>
      </c>
      <c r="J12" s="61">
        <f>IF(J10=I10,1,IF(J10&gt;I10,3,0))</f>
        <v>3</v>
      </c>
      <c r="K12" s="58"/>
      <c r="L12" s="58"/>
      <c r="M12" s="58"/>
      <c r="N12" s="58"/>
      <c r="O12" s="58"/>
      <c r="P12" s="61">
        <f>IF(P10=Q10,1,IF(P10&gt;Q10,3,0))</f>
        <v>0</v>
      </c>
      <c r="Q12" s="61">
        <f>IF(Q10=P10,1,IF(Q10&gt;P10,3,0))</f>
        <v>3</v>
      </c>
      <c r="R12" s="58"/>
      <c r="S12" s="58"/>
      <c r="T12" s="58"/>
      <c r="U12" s="58"/>
      <c r="V12" s="58"/>
      <c r="W12" s="61">
        <f>IF(W10=X10,1,IF(W10&gt;X10,3,0))</f>
        <v>0</v>
      </c>
      <c r="X12" s="61">
        <f>IF(X10=W10,1,IF(X10&gt;W10,3,0))</f>
        <v>3</v>
      </c>
      <c r="Y12" s="58"/>
      <c r="Z12" s="58"/>
      <c r="AA12" s="58"/>
      <c r="AB12" s="58"/>
      <c r="AC12" s="58"/>
      <c r="AD12" s="61">
        <f>IF(AD10=AE10,1,IF(AD10&gt;AE10,3,0))</f>
        <v>1</v>
      </c>
      <c r="AE12" s="61">
        <f>IF(AE10=AD10,1,IF(AE10&gt;AD10,3,0))</f>
        <v>1</v>
      </c>
      <c r="AF12" s="58"/>
      <c r="AG12" s="58"/>
      <c r="AH12" s="58"/>
      <c r="AI12" s="58"/>
      <c r="AJ12" s="58"/>
      <c r="AK12" s="61">
        <f>IF(AK10=AL10,1,IF(AK10&gt;AL10,3,0))</f>
        <v>3</v>
      </c>
      <c r="AL12" s="61">
        <f>IF(AL10=AK10,1,IF(AL10&gt;AK10,3,0))</f>
        <v>0</v>
      </c>
      <c r="AM12" s="58"/>
      <c r="AN12" s="58"/>
      <c r="AO12" s="58"/>
      <c r="AP12" s="58"/>
    </row>
    <row r="13" spans="1:42" ht="16.5" customHeight="1" x14ac:dyDescent="0.45">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row>
    <row r="14" spans="1:42" ht="16.5" customHeight="1" x14ac:dyDescent="0.45">
      <c r="A14" s="58"/>
      <c r="B14" s="92" t="s">
        <v>49</v>
      </c>
      <c r="C14" s="92"/>
      <c r="D14" s="58"/>
      <c r="E14" s="58"/>
      <c r="F14" s="58"/>
      <c r="G14" s="58"/>
      <c r="H14" s="58"/>
      <c r="I14" s="92" t="s">
        <v>49</v>
      </c>
      <c r="J14" s="92"/>
      <c r="K14" s="58"/>
      <c r="L14" s="58"/>
      <c r="M14" s="58"/>
      <c r="N14" s="58"/>
      <c r="O14" s="58"/>
      <c r="P14" s="92" t="s">
        <v>49</v>
      </c>
      <c r="Q14" s="92"/>
      <c r="R14" s="58"/>
      <c r="S14" s="58"/>
      <c r="T14" s="58"/>
      <c r="U14" s="58"/>
      <c r="V14" s="58"/>
      <c r="W14" s="92" t="s">
        <v>49</v>
      </c>
      <c r="X14" s="92"/>
      <c r="Y14" s="58"/>
      <c r="Z14" s="58"/>
      <c r="AA14" s="58"/>
      <c r="AB14" s="58"/>
      <c r="AC14" s="58"/>
      <c r="AD14" s="92" t="s">
        <v>49</v>
      </c>
      <c r="AE14" s="92"/>
      <c r="AF14" s="58"/>
      <c r="AG14" s="58"/>
      <c r="AH14" s="58"/>
      <c r="AI14" s="58"/>
      <c r="AJ14" s="58"/>
      <c r="AK14" s="92" t="s">
        <v>49</v>
      </c>
      <c r="AL14" s="92"/>
      <c r="AM14" s="58"/>
      <c r="AN14" s="58"/>
      <c r="AO14" s="58"/>
      <c r="AP14" s="58"/>
    </row>
    <row r="15" spans="1:42" ht="16.5" customHeight="1" x14ac:dyDescent="0.45">
      <c r="A15" s="58"/>
      <c r="B15" s="61" t="s">
        <v>38</v>
      </c>
      <c r="C15" s="61" t="s">
        <v>26</v>
      </c>
      <c r="D15" s="58"/>
      <c r="E15" s="58"/>
      <c r="F15" s="58"/>
      <c r="G15" s="58"/>
      <c r="H15" s="58"/>
      <c r="I15" s="61" t="s">
        <v>40</v>
      </c>
      <c r="J15" s="61" t="s">
        <v>28</v>
      </c>
      <c r="K15" s="58"/>
      <c r="L15" s="58"/>
      <c r="M15" s="58"/>
      <c r="N15" s="58"/>
      <c r="O15" s="58"/>
      <c r="P15" s="61" t="s">
        <v>42</v>
      </c>
      <c r="Q15" s="61" t="s">
        <v>30</v>
      </c>
      <c r="R15" s="58"/>
      <c r="S15" s="58"/>
      <c r="T15" s="58"/>
      <c r="U15" s="58"/>
      <c r="V15" s="58"/>
      <c r="W15" s="61" t="s">
        <v>44</v>
      </c>
      <c r="X15" s="61" t="s">
        <v>32</v>
      </c>
      <c r="Y15" s="58"/>
      <c r="Z15" s="58"/>
      <c r="AA15" s="58"/>
      <c r="AB15" s="58"/>
      <c r="AC15" s="58"/>
      <c r="AD15" s="61" t="s">
        <v>46</v>
      </c>
      <c r="AE15" s="61" t="s">
        <v>34</v>
      </c>
      <c r="AF15" s="58"/>
      <c r="AG15" s="58"/>
      <c r="AH15" s="58"/>
      <c r="AI15" s="58"/>
      <c r="AJ15" s="58"/>
      <c r="AK15" s="61" t="s">
        <v>48</v>
      </c>
      <c r="AL15" s="61" t="s">
        <v>36</v>
      </c>
      <c r="AM15" s="58"/>
      <c r="AN15" s="58"/>
      <c r="AO15" s="58"/>
      <c r="AP15" s="58"/>
    </row>
    <row r="16" spans="1:42" ht="16.5" customHeight="1" x14ac:dyDescent="0.45">
      <c r="A16" s="58"/>
      <c r="B16" s="62">
        <v>2</v>
      </c>
      <c r="C16" s="62">
        <v>1</v>
      </c>
      <c r="D16" s="58"/>
      <c r="E16" s="58"/>
      <c r="F16" s="58"/>
      <c r="G16" s="58"/>
      <c r="H16" s="58"/>
      <c r="I16" s="62">
        <v>2</v>
      </c>
      <c r="J16" s="62">
        <v>1</v>
      </c>
      <c r="K16" s="58"/>
      <c r="L16" s="58"/>
      <c r="M16" s="58"/>
      <c r="N16" s="58"/>
      <c r="O16" s="58"/>
      <c r="P16" s="62">
        <v>0</v>
      </c>
      <c r="Q16" s="62">
        <v>2</v>
      </c>
      <c r="R16" s="58"/>
      <c r="S16" s="58"/>
      <c r="T16" s="58"/>
      <c r="U16" s="58"/>
      <c r="V16" s="58"/>
      <c r="W16" s="62">
        <v>1</v>
      </c>
      <c r="X16" s="62">
        <v>1</v>
      </c>
      <c r="Y16" s="58"/>
      <c r="Z16" s="58"/>
      <c r="AA16" s="58"/>
      <c r="AB16" s="58"/>
      <c r="AC16" s="58"/>
      <c r="AD16" s="62">
        <v>2</v>
      </c>
      <c r="AE16" s="62">
        <v>0</v>
      </c>
      <c r="AF16" s="58"/>
      <c r="AG16" s="58"/>
      <c r="AH16" s="58"/>
      <c r="AI16" s="58"/>
      <c r="AJ16" s="58"/>
      <c r="AK16" s="62">
        <v>0</v>
      </c>
      <c r="AL16" s="62">
        <v>2</v>
      </c>
      <c r="AM16" s="58"/>
      <c r="AN16" s="58"/>
      <c r="AO16" s="58"/>
      <c r="AP16" s="58"/>
    </row>
    <row r="17" spans="1:42" ht="16.5" customHeight="1" x14ac:dyDescent="0.45">
      <c r="A17" s="58"/>
      <c r="B17" s="93" t="str">
        <f>IF(B16=C16,"Unentschieden",IF(B16&gt;C16,B15,C15))</f>
        <v>Tschechien</v>
      </c>
      <c r="C17" s="93"/>
      <c r="D17" s="58"/>
      <c r="E17" s="58"/>
      <c r="F17" s="58"/>
      <c r="G17" s="58"/>
      <c r="H17" s="58"/>
      <c r="I17" s="93" t="str">
        <f>IF(I16=J16,"Unentschieden",IF(I16&gt;J16,I15,J15))</f>
        <v>Schweiz</v>
      </c>
      <c r="J17" s="93"/>
      <c r="K17" s="58"/>
      <c r="L17" s="58"/>
      <c r="M17" s="58"/>
      <c r="N17" s="58"/>
      <c r="O17" s="58"/>
      <c r="P17" s="93" t="str">
        <f>IF(P16=Q16,"Unentschieden",IF(P16&gt;Q16,P15,Q15))</f>
        <v>Marokko</v>
      </c>
      <c r="Q17" s="93"/>
      <c r="R17" s="58"/>
      <c r="S17" s="58"/>
      <c r="T17" s="58"/>
      <c r="U17" s="58"/>
      <c r="V17" s="58"/>
      <c r="W17" s="93" t="str">
        <f>IF(W16=X16,"Unentschieden",IF(W16&gt;X16,W15,X15))</f>
        <v>Unentschieden</v>
      </c>
      <c r="X17" s="93"/>
      <c r="Y17" s="58"/>
      <c r="Z17" s="58"/>
      <c r="AA17" s="58"/>
      <c r="AB17" s="58"/>
      <c r="AC17" s="58"/>
      <c r="AD17" s="93" t="str">
        <f>IF(AD16=AE16,"Unentschieden",IF(AD16&gt;AE16,AD15,AE15))</f>
        <v>Ecuador</v>
      </c>
      <c r="AE17" s="93"/>
      <c r="AF17" s="58"/>
      <c r="AG17" s="58"/>
      <c r="AH17" s="58"/>
      <c r="AI17" s="58"/>
      <c r="AJ17" s="58"/>
      <c r="AK17" s="93" t="str">
        <f>IF(AK16=AL16,"Unentschieden",IF(AK16&gt;AL16,AK15,AL15))</f>
        <v>Japan</v>
      </c>
      <c r="AL17" s="93"/>
      <c r="AM17" s="58"/>
      <c r="AN17" s="58"/>
      <c r="AO17" s="58"/>
      <c r="AP17" s="58"/>
    </row>
    <row r="18" spans="1:42" ht="16.5" customHeight="1" x14ac:dyDescent="0.45">
      <c r="A18" s="58"/>
      <c r="B18" s="61">
        <f>IF(B16=C16,1,IF(B16&gt;C16,3,0))</f>
        <v>3</v>
      </c>
      <c r="C18" s="61">
        <f>IF(C16=B16,1,IF(C16&gt;B16,3,0))</f>
        <v>0</v>
      </c>
      <c r="D18" s="58"/>
      <c r="E18" s="58"/>
      <c r="F18" s="58"/>
      <c r="G18" s="58"/>
      <c r="H18" s="58"/>
      <c r="I18" s="61">
        <f>IF(I16=J16,1,IF(I16&gt;J16,3,0))</f>
        <v>3</v>
      </c>
      <c r="J18" s="61">
        <f>IF(J16=I16,1,IF(J16&gt;I16,3,0))</f>
        <v>0</v>
      </c>
      <c r="K18" s="58"/>
      <c r="L18" s="58"/>
      <c r="M18" s="58"/>
      <c r="N18" s="58"/>
      <c r="O18" s="58"/>
      <c r="P18" s="61">
        <f>IF(P16=Q16,1,IF(P16&gt;Q16,3,0))</f>
        <v>0</v>
      </c>
      <c r="Q18" s="61">
        <f>IF(Q16=P16,1,IF(Q16&gt;P16,3,0))</f>
        <v>3</v>
      </c>
      <c r="R18" s="58"/>
      <c r="S18" s="58"/>
      <c r="T18" s="58"/>
      <c r="U18" s="58"/>
      <c r="V18" s="58"/>
      <c r="W18" s="61">
        <f>IF(W16=X16,1,IF(W16&gt;X16,3,0))</f>
        <v>1</v>
      </c>
      <c r="X18" s="61">
        <f>IF(X16=W16,1,IF(X16&gt;W16,3,0))</f>
        <v>1</v>
      </c>
      <c r="Y18" s="58"/>
      <c r="Z18" s="58"/>
      <c r="AA18" s="58"/>
      <c r="AB18" s="58"/>
      <c r="AC18" s="58"/>
      <c r="AD18" s="61">
        <f>IF(AD16=AE16,1,IF(AD16&gt;AE16,3,0))</f>
        <v>3</v>
      </c>
      <c r="AE18" s="61">
        <f>IF(AE16=AD16,1,IF(AE16&gt;AD16,3,0))</f>
        <v>0</v>
      </c>
      <c r="AF18" s="58"/>
      <c r="AG18" s="58"/>
      <c r="AH18" s="58"/>
      <c r="AI18" s="58"/>
      <c r="AJ18" s="58"/>
      <c r="AK18" s="61">
        <f>IF(AK16=AL16,1,IF(AK16&gt;AL16,3,0))</f>
        <v>0</v>
      </c>
      <c r="AL18" s="61">
        <f>IF(AL16=AK16,1,IF(AL16&gt;AK16,3,0))</f>
        <v>3</v>
      </c>
      <c r="AM18" s="58"/>
      <c r="AN18" s="58"/>
      <c r="AO18" s="58"/>
      <c r="AP18" s="58"/>
    </row>
    <row r="19" spans="1:42" ht="16.5" customHeight="1" x14ac:dyDescent="0.45">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row>
    <row r="20" spans="1:42" ht="16.5" customHeight="1" x14ac:dyDescent="0.45">
      <c r="A20" s="58"/>
      <c r="B20" s="61" t="s">
        <v>25</v>
      </c>
      <c r="C20" s="61" t="s">
        <v>37</v>
      </c>
      <c r="D20" s="58"/>
      <c r="E20" s="58"/>
      <c r="F20" s="58"/>
      <c r="G20" s="58"/>
      <c r="H20" s="58"/>
      <c r="I20" s="61" t="s">
        <v>27</v>
      </c>
      <c r="J20" s="61" t="s">
        <v>39</v>
      </c>
      <c r="K20" s="58"/>
      <c r="L20" s="58"/>
      <c r="M20" s="58"/>
      <c r="N20" s="58"/>
      <c r="O20" s="58"/>
      <c r="P20" s="61" t="s">
        <v>29</v>
      </c>
      <c r="Q20" s="61" t="s">
        <v>41</v>
      </c>
      <c r="R20" s="58"/>
      <c r="S20" s="58"/>
      <c r="T20" s="58"/>
      <c r="U20" s="58"/>
      <c r="V20" s="58"/>
      <c r="W20" s="61" t="s">
        <v>31</v>
      </c>
      <c r="X20" s="61" t="s">
        <v>43</v>
      </c>
      <c r="Y20" s="58"/>
      <c r="Z20" s="58"/>
      <c r="AA20" s="58"/>
      <c r="AB20" s="58"/>
      <c r="AC20" s="58"/>
      <c r="AD20" s="61" t="s">
        <v>33</v>
      </c>
      <c r="AE20" s="61" t="s">
        <v>45</v>
      </c>
      <c r="AF20" s="58"/>
      <c r="AG20" s="58"/>
      <c r="AH20" s="58"/>
      <c r="AI20" s="58"/>
      <c r="AJ20" s="58"/>
      <c r="AK20" s="61" t="s">
        <v>35</v>
      </c>
      <c r="AL20" s="61" t="s">
        <v>47</v>
      </c>
      <c r="AM20" s="58"/>
      <c r="AN20" s="58"/>
      <c r="AO20" s="58"/>
      <c r="AP20" s="58"/>
    </row>
    <row r="21" spans="1:42" ht="16.5" customHeight="1" x14ac:dyDescent="0.45">
      <c r="A21" s="58"/>
      <c r="B21" s="62">
        <v>2</v>
      </c>
      <c r="C21" s="62">
        <v>1</v>
      </c>
      <c r="D21" s="58"/>
      <c r="E21" s="58"/>
      <c r="F21" s="58"/>
      <c r="G21" s="58"/>
      <c r="H21" s="58"/>
      <c r="I21" s="62">
        <v>2</v>
      </c>
      <c r="J21" s="62">
        <v>0</v>
      </c>
      <c r="K21" s="58"/>
      <c r="L21" s="58"/>
      <c r="M21" s="58"/>
      <c r="N21" s="58"/>
      <c r="O21" s="58"/>
      <c r="P21" s="62">
        <v>3</v>
      </c>
      <c r="Q21" s="62">
        <v>0</v>
      </c>
      <c r="R21" s="58"/>
      <c r="S21" s="58"/>
      <c r="T21" s="58"/>
      <c r="U21" s="58"/>
      <c r="V21" s="58"/>
      <c r="W21" s="62">
        <v>2</v>
      </c>
      <c r="X21" s="62">
        <v>0</v>
      </c>
      <c r="Y21" s="58"/>
      <c r="Z21" s="58"/>
      <c r="AA21" s="58"/>
      <c r="AB21" s="58"/>
      <c r="AC21" s="58"/>
      <c r="AD21" s="62">
        <v>2</v>
      </c>
      <c r="AE21" s="62">
        <v>1</v>
      </c>
      <c r="AF21" s="58"/>
      <c r="AG21" s="58"/>
      <c r="AH21" s="58"/>
      <c r="AI21" s="58"/>
      <c r="AJ21" s="58"/>
      <c r="AK21" s="62">
        <v>2</v>
      </c>
      <c r="AL21" s="62">
        <v>1</v>
      </c>
      <c r="AM21" s="58"/>
      <c r="AN21" s="58"/>
      <c r="AO21" s="58"/>
      <c r="AP21" s="58"/>
    </row>
    <row r="22" spans="1:42" ht="16.5" customHeight="1" x14ac:dyDescent="0.45">
      <c r="A22" s="58"/>
      <c r="B22" s="93" t="str">
        <f>IF(B21=C21,"Unentschieden",IF(B21&gt;C21,B20,C20))</f>
        <v>Mexiko</v>
      </c>
      <c r="C22" s="93"/>
      <c r="D22" s="58"/>
      <c r="E22" s="58"/>
      <c r="F22" s="58"/>
      <c r="G22" s="58"/>
      <c r="H22" s="58"/>
      <c r="I22" s="93" t="str">
        <f>IF(I21=J21,"Unentschieden",IF(I21&gt;J21,I20,J20))</f>
        <v>Kanada</v>
      </c>
      <c r="J22" s="93"/>
      <c r="K22" s="58"/>
      <c r="L22" s="58"/>
      <c r="M22" s="58"/>
      <c r="N22" s="58"/>
      <c r="O22" s="58"/>
      <c r="P22" s="93" t="str">
        <f>IF(P21=Q21,"Unentschieden",IF(P21&gt;Q21,P20,Q20))</f>
        <v>Brasilien</v>
      </c>
      <c r="Q22" s="93"/>
      <c r="R22" s="58"/>
      <c r="S22" s="58"/>
      <c r="T22" s="58"/>
      <c r="U22" s="58"/>
      <c r="V22" s="58"/>
      <c r="W22" s="93" t="str">
        <f>IF(W21=X21,"Unentschieden",IF(W21&gt;X21,W20,X20))</f>
        <v>USA</v>
      </c>
      <c r="X22" s="93"/>
      <c r="Y22" s="58"/>
      <c r="Z22" s="58"/>
      <c r="AA22" s="58"/>
      <c r="AB22" s="58"/>
      <c r="AC22" s="58"/>
      <c r="AD22" s="93" t="str">
        <f>IF(AD21=AE21,"Unentschieden",IF(AD21&gt;AE21,AD20,AE20))</f>
        <v>Deutschland</v>
      </c>
      <c r="AE22" s="93"/>
      <c r="AF22" s="58"/>
      <c r="AG22" s="58"/>
      <c r="AH22" s="58"/>
      <c r="AI22" s="58"/>
      <c r="AJ22" s="58"/>
      <c r="AK22" s="93" t="str">
        <f>IF(AK21=AL21,"Unentschieden",IF(AK21&gt;AL21,AK20,AL20))</f>
        <v>Niederlande</v>
      </c>
      <c r="AL22" s="93"/>
      <c r="AM22" s="58"/>
      <c r="AN22" s="58"/>
      <c r="AO22" s="58"/>
      <c r="AP22" s="58"/>
    </row>
    <row r="23" spans="1:42" ht="16.5" customHeight="1" x14ac:dyDescent="0.45">
      <c r="A23" s="58"/>
      <c r="B23" s="61">
        <f>IF(B21=C21,1,IF(B21&gt;C21,3,0))</f>
        <v>3</v>
      </c>
      <c r="C23" s="61">
        <f>IF(C21=B21,1,IF(C21&gt;B21,3,0))</f>
        <v>0</v>
      </c>
      <c r="D23" s="58"/>
      <c r="E23" s="58"/>
      <c r="F23" s="58"/>
      <c r="G23" s="58"/>
      <c r="H23" s="58"/>
      <c r="I23" s="61">
        <f>IF(I21=J21,1,IF(I21&gt;J21,3,0))</f>
        <v>3</v>
      </c>
      <c r="J23" s="61">
        <f>IF(J21=I21,1,IF(J21&gt;I21,3,0))</f>
        <v>0</v>
      </c>
      <c r="K23" s="58"/>
      <c r="L23" s="58"/>
      <c r="M23" s="58"/>
      <c r="N23" s="58"/>
      <c r="O23" s="58"/>
      <c r="P23" s="61">
        <f>IF(P21=Q21,1,IF(P21&gt;Q21,3,0))</f>
        <v>3</v>
      </c>
      <c r="Q23" s="61">
        <f>IF(Q21=P21,1,IF(Q21&gt;P21,3,0))</f>
        <v>0</v>
      </c>
      <c r="R23" s="58"/>
      <c r="S23" s="58"/>
      <c r="T23" s="58"/>
      <c r="U23" s="58"/>
      <c r="V23" s="58"/>
      <c r="W23" s="61">
        <f>IF(W21=X21,1,IF(W21&gt;X21,3,0))</f>
        <v>3</v>
      </c>
      <c r="X23" s="61">
        <f>IF(X21=W21,1,IF(X21&gt;W21,3,0))</f>
        <v>0</v>
      </c>
      <c r="Y23" s="58"/>
      <c r="Z23" s="58"/>
      <c r="AA23" s="58"/>
      <c r="AB23" s="58"/>
      <c r="AC23" s="58"/>
      <c r="AD23" s="61">
        <f>IF(AD21=AE21,1,IF(AD21&gt;AE21,3,0))</f>
        <v>3</v>
      </c>
      <c r="AE23" s="61">
        <f>IF(AE21=AD21,1,IF(AE21&gt;AD21,3,0))</f>
        <v>0</v>
      </c>
      <c r="AF23" s="58"/>
      <c r="AG23" s="58"/>
      <c r="AH23" s="58"/>
      <c r="AI23" s="58"/>
      <c r="AJ23" s="58"/>
      <c r="AK23" s="61">
        <f>IF(AK21=AL21,1,IF(AK21&gt;AL21,3,0))</f>
        <v>3</v>
      </c>
      <c r="AL23" s="61">
        <f>IF(AL21=AK21,1,IF(AL21&gt;AK21,3,0))</f>
        <v>0</v>
      </c>
      <c r="AM23" s="58"/>
      <c r="AN23" s="58"/>
      <c r="AO23" s="58"/>
      <c r="AP23" s="58"/>
    </row>
    <row r="24" spans="1:42" ht="16.5" customHeight="1" x14ac:dyDescent="0.45">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row>
    <row r="25" spans="1:42" ht="16.5" customHeight="1" x14ac:dyDescent="0.45">
      <c r="A25" s="58"/>
      <c r="B25" s="92" t="s">
        <v>50</v>
      </c>
      <c r="C25" s="92"/>
      <c r="D25" s="58"/>
      <c r="E25" s="58"/>
      <c r="F25" s="58"/>
      <c r="G25" s="58"/>
      <c r="H25" s="58"/>
      <c r="I25" s="92" t="s">
        <v>50</v>
      </c>
      <c r="J25" s="92"/>
      <c r="K25" s="58"/>
      <c r="L25" s="58"/>
      <c r="M25" s="58"/>
      <c r="N25" s="58"/>
      <c r="O25" s="58"/>
      <c r="P25" s="92" t="s">
        <v>50</v>
      </c>
      <c r="Q25" s="92"/>
      <c r="R25" s="58"/>
      <c r="S25" s="58"/>
      <c r="T25" s="58"/>
      <c r="U25" s="58"/>
      <c r="V25" s="58"/>
      <c r="W25" s="92" t="s">
        <v>50</v>
      </c>
      <c r="X25" s="92"/>
      <c r="Y25" s="58"/>
      <c r="Z25" s="58"/>
      <c r="AA25" s="58"/>
      <c r="AB25" s="58"/>
      <c r="AC25" s="58"/>
      <c r="AD25" s="92" t="s">
        <v>50</v>
      </c>
      <c r="AE25" s="92"/>
      <c r="AF25" s="58"/>
      <c r="AG25" s="58"/>
      <c r="AH25" s="58"/>
      <c r="AI25" s="58"/>
      <c r="AJ25" s="58"/>
      <c r="AK25" s="92" t="s">
        <v>50</v>
      </c>
      <c r="AL25" s="92"/>
      <c r="AM25" s="58"/>
      <c r="AN25" s="58"/>
      <c r="AO25" s="58"/>
      <c r="AP25" s="58"/>
    </row>
    <row r="26" spans="1:42" ht="16.5" customHeight="1" x14ac:dyDescent="0.45">
      <c r="A26" s="58"/>
      <c r="B26" s="61" t="s">
        <v>26</v>
      </c>
      <c r="C26" s="61" t="s">
        <v>37</v>
      </c>
      <c r="D26" s="58"/>
      <c r="E26" s="58"/>
      <c r="F26" s="58"/>
      <c r="G26" s="58"/>
      <c r="H26" s="58"/>
      <c r="I26" s="61" t="s">
        <v>28</v>
      </c>
      <c r="J26" s="61" t="s">
        <v>39</v>
      </c>
      <c r="K26" s="58"/>
      <c r="L26" s="58"/>
      <c r="M26" s="58"/>
      <c r="N26" s="58"/>
      <c r="O26" s="58"/>
      <c r="P26" s="61" t="s">
        <v>30</v>
      </c>
      <c r="Q26" s="61" t="s">
        <v>41</v>
      </c>
      <c r="R26" s="58"/>
      <c r="S26" s="58"/>
      <c r="T26" s="58"/>
      <c r="U26" s="58"/>
      <c r="V26" s="58"/>
      <c r="W26" s="61" t="s">
        <v>32</v>
      </c>
      <c r="X26" s="61" t="s">
        <v>43</v>
      </c>
      <c r="Y26" s="58"/>
      <c r="Z26" s="58"/>
      <c r="AA26" s="58"/>
      <c r="AB26" s="58"/>
      <c r="AC26" s="58"/>
      <c r="AD26" s="61" t="s">
        <v>34</v>
      </c>
      <c r="AE26" s="61" t="s">
        <v>45</v>
      </c>
      <c r="AF26" s="58"/>
      <c r="AG26" s="58"/>
      <c r="AH26" s="58"/>
      <c r="AI26" s="58"/>
      <c r="AJ26" s="58"/>
      <c r="AK26" s="61" t="s">
        <v>36</v>
      </c>
      <c r="AL26" s="61" t="s">
        <v>47</v>
      </c>
      <c r="AM26" s="58"/>
      <c r="AN26" s="58"/>
      <c r="AO26" s="58"/>
      <c r="AP26" s="58"/>
    </row>
    <row r="27" spans="1:42" ht="16.5" customHeight="1" x14ac:dyDescent="0.45">
      <c r="A27" s="58"/>
      <c r="B27" s="62">
        <v>1</v>
      </c>
      <c r="C27" s="62">
        <v>2</v>
      </c>
      <c r="D27" s="58"/>
      <c r="E27" s="58"/>
      <c r="F27" s="58"/>
      <c r="G27" s="58"/>
      <c r="H27" s="58"/>
      <c r="I27" s="62">
        <v>2</v>
      </c>
      <c r="J27" s="62">
        <v>1</v>
      </c>
      <c r="K27" s="58"/>
      <c r="L27" s="58"/>
      <c r="M27" s="58"/>
      <c r="N27" s="58"/>
      <c r="O27" s="58"/>
      <c r="P27" s="62">
        <v>2</v>
      </c>
      <c r="Q27" s="62">
        <v>0</v>
      </c>
      <c r="R27" s="58"/>
      <c r="S27" s="58"/>
      <c r="T27" s="58"/>
      <c r="U27" s="58"/>
      <c r="V27" s="58"/>
      <c r="W27" s="62">
        <v>1</v>
      </c>
      <c r="X27" s="62">
        <v>0</v>
      </c>
      <c r="Y27" s="58"/>
      <c r="Z27" s="58"/>
      <c r="AA27" s="58"/>
      <c r="AB27" s="58"/>
      <c r="AC27" s="58"/>
      <c r="AD27" s="62">
        <v>0</v>
      </c>
      <c r="AE27" s="62">
        <v>2</v>
      </c>
      <c r="AF27" s="58"/>
      <c r="AG27" s="58"/>
      <c r="AH27" s="58"/>
      <c r="AI27" s="58"/>
      <c r="AJ27" s="58"/>
      <c r="AK27" s="62">
        <v>1</v>
      </c>
      <c r="AL27" s="62">
        <v>1</v>
      </c>
      <c r="AM27" s="58"/>
      <c r="AN27" s="58"/>
      <c r="AO27" s="58"/>
      <c r="AP27" s="58"/>
    </row>
    <row r="28" spans="1:42" ht="16.5" customHeight="1" x14ac:dyDescent="0.45">
      <c r="A28" s="58"/>
      <c r="B28" s="93" t="str">
        <f>IF(B27=C27,"Unentschieden",IF(B27&gt;C27,B26,C26))</f>
        <v>Südkorea</v>
      </c>
      <c r="C28" s="93"/>
      <c r="D28" s="58"/>
      <c r="E28" s="58"/>
      <c r="F28" s="58"/>
      <c r="G28" s="58"/>
      <c r="H28" s="58"/>
      <c r="I28" s="93" t="str">
        <f>IF(I27=J27,"Unentschieden",IF(I27&gt;J27,I26,J26))</f>
        <v>Bosnien-Herz.</v>
      </c>
      <c r="J28" s="93"/>
      <c r="K28" s="58"/>
      <c r="L28" s="58"/>
      <c r="M28" s="58"/>
      <c r="N28" s="58"/>
      <c r="O28" s="58"/>
      <c r="P28" s="93" t="str">
        <f>IF(P27=Q27,"Unentschieden",IF(P27&gt;Q27,P26,Q26))</f>
        <v>Marokko</v>
      </c>
      <c r="Q28" s="93"/>
      <c r="R28" s="58"/>
      <c r="S28" s="58"/>
      <c r="T28" s="58"/>
      <c r="U28" s="58"/>
      <c r="V28" s="58"/>
      <c r="W28" s="93" t="str">
        <f>IF(W27=X27,"Unentschieden",IF(W27&gt;X27,W26,X26))</f>
        <v>Paraguay</v>
      </c>
      <c r="X28" s="93"/>
      <c r="Y28" s="58"/>
      <c r="Z28" s="58"/>
      <c r="AA28" s="58"/>
      <c r="AB28" s="58"/>
      <c r="AC28" s="58"/>
      <c r="AD28" s="93" t="str">
        <f>IF(AD27=AE27,"Unentschieden",IF(AD27&gt;AE27,AD26,AE26))</f>
        <v>Elfenbeinküste</v>
      </c>
      <c r="AE28" s="93"/>
      <c r="AF28" s="58"/>
      <c r="AG28" s="58"/>
      <c r="AH28" s="58"/>
      <c r="AI28" s="58"/>
      <c r="AJ28" s="58"/>
      <c r="AK28" s="93" t="str">
        <f>IF(AK27=AL27,"Unentschieden",IF(AK27&gt;AL27,AK26,AL26))</f>
        <v>Unentschieden</v>
      </c>
      <c r="AL28" s="93"/>
      <c r="AM28" s="58"/>
      <c r="AN28" s="58"/>
      <c r="AO28" s="58"/>
      <c r="AP28" s="58"/>
    </row>
    <row r="29" spans="1:42" ht="16.5" customHeight="1" x14ac:dyDescent="0.45">
      <c r="A29" s="58"/>
      <c r="B29" s="61">
        <f>IF(B27=C27,1,IF(B27&gt;C27,3,0))</f>
        <v>0</v>
      </c>
      <c r="C29" s="61">
        <f>IF(C27=B27,1,IF(C27&gt;B27,3,0))</f>
        <v>3</v>
      </c>
      <c r="D29" s="58"/>
      <c r="E29" s="58"/>
      <c r="F29" s="58"/>
      <c r="G29" s="58"/>
      <c r="H29" s="58"/>
      <c r="I29" s="61">
        <f>IF(I27=J27,1,IF(I27&gt;J27,3,0))</f>
        <v>3</v>
      </c>
      <c r="J29" s="61">
        <f>IF(J27=I27,1,IF(J27&gt;I27,3,0))</f>
        <v>0</v>
      </c>
      <c r="K29" s="58"/>
      <c r="L29" s="58"/>
      <c r="M29" s="58"/>
      <c r="N29" s="58"/>
      <c r="O29" s="58"/>
      <c r="P29" s="61">
        <f>IF(P27=Q27,1,IF(P27&gt;Q27,3,0))</f>
        <v>3</v>
      </c>
      <c r="Q29" s="61">
        <f>IF(Q27=P27,1,IF(Q27&gt;P27,3,0))</f>
        <v>0</v>
      </c>
      <c r="R29" s="58"/>
      <c r="S29" s="58"/>
      <c r="T29" s="58"/>
      <c r="U29" s="58"/>
      <c r="V29" s="58"/>
      <c r="W29" s="61">
        <f>IF(W27=X27,1,IF(W27&gt;X27,3,0))</f>
        <v>3</v>
      </c>
      <c r="X29" s="61">
        <f>IF(X27=W27,1,IF(X27&gt;W27,3,0))</f>
        <v>0</v>
      </c>
      <c r="Y29" s="58"/>
      <c r="Z29" s="58"/>
      <c r="AA29" s="58"/>
      <c r="AB29" s="58"/>
      <c r="AC29" s="58"/>
      <c r="AD29" s="61">
        <f>IF(AD27=AE27,1,IF(AD27&gt;AE27,3,0))</f>
        <v>0</v>
      </c>
      <c r="AE29" s="61">
        <f>IF(AE27=AD27,1,IF(AE27&gt;AD27,3,0))</f>
        <v>3</v>
      </c>
      <c r="AF29" s="58"/>
      <c r="AG29" s="58"/>
      <c r="AH29" s="58"/>
      <c r="AI29" s="58"/>
      <c r="AJ29" s="58"/>
      <c r="AK29" s="61">
        <f>IF(AK27=AL27,1,IF(AK27&gt;AL27,3,0))</f>
        <v>1</v>
      </c>
      <c r="AL29" s="61">
        <f>IF(AL27=AK27,1,IF(AL27&gt;AK27,3,0))</f>
        <v>1</v>
      </c>
      <c r="AM29" s="58"/>
      <c r="AN29" s="58"/>
      <c r="AO29" s="58"/>
      <c r="AP29" s="58"/>
    </row>
    <row r="30" spans="1:42" ht="16.5" customHeight="1" x14ac:dyDescent="0.45">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row>
    <row r="31" spans="1:42" ht="16.5" customHeight="1" x14ac:dyDescent="0.45">
      <c r="A31" s="58"/>
      <c r="B31" s="61" t="s">
        <v>38</v>
      </c>
      <c r="C31" s="61" t="s">
        <v>25</v>
      </c>
      <c r="D31" s="58"/>
      <c r="E31" s="58"/>
      <c r="F31" s="58"/>
      <c r="G31" s="58"/>
      <c r="H31" s="58"/>
      <c r="I31" s="61" t="s">
        <v>40</v>
      </c>
      <c r="J31" s="61" t="s">
        <v>27</v>
      </c>
      <c r="K31" s="58"/>
      <c r="L31" s="58"/>
      <c r="M31" s="58"/>
      <c r="N31" s="58"/>
      <c r="O31" s="58"/>
      <c r="P31" s="61" t="s">
        <v>42</v>
      </c>
      <c r="Q31" s="61" t="s">
        <v>29</v>
      </c>
      <c r="R31" s="58"/>
      <c r="S31" s="58"/>
      <c r="T31" s="58"/>
      <c r="U31" s="58"/>
      <c r="V31" s="58"/>
      <c r="W31" s="61" t="s">
        <v>44</v>
      </c>
      <c r="X31" s="61" t="s">
        <v>31</v>
      </c>
      <c r="Y31" s="58"/>
      <c r="Z31" s="58"/>
      <c r="AA31" s="58"/>
      <c r="AB31" s="58"/>
      <c r="AC31" s="58"/>
      <c r="AD31" s="61" t="s">
        <v>46</v>
      </c>
      <c r="AE31" s="61" t="s">
        <v>33</v>
      </c>
      <c r="AF31" s="58"/>
      <c r="AG31" s="58"/>
      <c r="AH31" s="58"/>
      <c r="AI31" s="58"/>
      <c r="AJ31" s="58"/>
      <c r="AK31" s="61" t="s">
        <v>48</v>
      </c>
      <c r="AL31" s="61" t="s">
        <v>35</v>
      </c>
      <c r="AM31" s="58"/>
      <c r="AN31" s="58"/>
      <c r="AO31" s="58"/>
      <c r="AP31" s="58"/>
    </row>
    <row r="32" spans="1:42" ht="16.5" customHeight="1" x14ac:dyDescent="0.45">
      <c r="A32" s="58"/>
      <c r="B32" s="62">
        <v>1</v>
      </c>
      <c r="C32" s="62">
        <v>2</v>
      </c>
      <c r="D32" s="58"/>
      <c r="E32" s="58"/>
      <c r="F32" s="58"/>
      <c r="G32" s="58"/>
      <c r="H32" s="58"/>
      <c r="I32" s="62">
        <v>1</v>
      </c>
      <c r="J32" s="62">
        <v>1</v>
      </c>
      <c r="K32" s="58"/>
      <c r="L32" s="58"/>
      <c r="M32" s="58"/>
      <c r="N32" s="58"/>
      <c r="O32" s="58"/>
      <c r="P32" s="62">
        <v>0</v>
      </c>
      <c r="Q32" s="62">
        <v>2</v>
      </c>
      <c r="R32" s="58"/>
      <c r="S32" s="58"/>
      <c r="T32" s="58"/>
      <c r="U32" s="58"/>
      <c r="V32" s="58"/>
      <c r="W32" s="62">
        <v>1</v>
      </c>
      <c r="X32" s="62">
        <v>2</v>
      </c>
      <c r="Y32" s="58"/>
      <c r="Z32" s="58"/>
      <c r="AA32" s="58"/>
      <c r="AB32" s="58"/>
      <c r="AC32" s="58"/>
      <c r="AD32" s="62">
        <v>0</v>
      </c>
      <c r="AE32" s="62">
        <v>1</v>
      </c>
      <c r="AF32" s="58"/>
      <c r="AG32" s="58"/>
      <c r="AH32" s="58"/>
      <c r="AI32" s="58"/>
      <c r="AJ32" s="58"/>
      <c r="AK32" s="62">
        <v>0</v>
      </c>
      <c r="AL32" s="62">
        <v>2</v>
      </c>
      <c r="AM32" s="58"/>
      <c r="AN32" s="58"/>
      <c r="AO32" s="58"/>
      <c r="AP32" s="58"/>
    </row>
    <row r="33" spans="1:42" ht="16.5" customHeight="1" x14ac:dyDescent="0.45">
      <c r="A33" s="58"/>
      <c r="B33" s="93" t="str">
        <f>IF(B32=C32,"Unentschieden",IF(B32&gt;C32,B31,C31))</f>
        <v>Mexiko</v>
      </c>
      <c r="C33" s="93"/>
      <c r="D33" s="58"/>
      <c r="E33" s="58"/>
      <c r="F33" s="58"/>
      <c r="G33" s="58"/>
      <c r="H33" s="58"/>
      <c r="I33" s="93" t="str">
        <f>IF(I32=J32,"Unentschieden",IF(I32&gt;J32,I31,J31))</f>
        <v>Unentschieden</v>
      </c>
      <c r="J33" s="93"/>
      <c r="K33" s="58"/>
      <c r="L33" s="58"/>
      <c r="M33" s="58"/>
      <c r="N33" s="58"/>
      <c r="O33" s="58"/>
      <c r="P33" s="93" t="str">
        <f>IF(P32=Q32,"Unentschieden",IF(P32&gt;Q32,P31,Q31))</f>
        <v>Brasilien</v>
      </c>
      <c r="Q33" s="93"/>
      <c r="R33" s="58"/>
      <c r="S33" s="58"/>
      <c r="T33" s="58"/>
      <c r="U33" s="58"/>
      <c r="V33" s="58"/>
      <c r="W33" s="93" t="str">
        <f>IF(W32=X32,"Unentschieden",IF(W32&gt;X32,W31,X31))</f>
        <v>USA</v>
      </c>
      <c r="X33" s="93"/>
      <c r="Y33" s="58"/>
      <c r="Z33" s="58"/>
      <c r="AA33" s="58"/>
      <c r="AB33" s="58"/>
      <c r="AC33" s="58"/>
      <c r="AD33" s="93" t="str">
        <f>IF(AD32=AE32,"Unentschieden",IF(AD32&gt;AE32,AD31,AE31))</f>
        <v>Deutschland</v>
      </c>
      <c r="AE33" s="93"/>
      <c r="AF33" s="58"/>
      <c r="AG33" s="58"/>
      <c r="AH33" s="58"/>
      <c r="AI33" s="58"/>
      <c r="AJ33" s="58"/>
      <c r="AK33" s="93" t="str">
        <f>IF(AK32=AL32,"Unentschieden",IF(AK32&gt;AL32,AK31,AL31))</f>
        <v>Niederlande</v>
      </c>
      <c r="AL33" s="93"/>
      <c r="AM33" s="58"/>
      <c r="AN33" s="58"/>
      <c r="AO33" s="58"/>
      <c r="AP33" s="58"/>
    </row>
    <row r="34" spans="1:42" ht="16.5" customHeight="1" x14ac:dyDescent="0.45">
      <c r="A34" s="58"/>
      <c r="B34" s="61">
        <f>IF(B32=C32,1,IF(B32&gt;C32,3,0))</f>
        <v>0</v>
      </c>
      <c r="C34" s="61">
        <f>IF(C32=B32,1,IF(C32&gt;B32,3,0))</f>
        <v>3</v>
      </c>
      <c r="D34" s="58"/>
      <c r="E34" s="58"/>
      <c r="F34" s="58"/>
      <c r="G34" s="58"/>
      <c r="H34" s="58"/>
      <c r="I34" s="61">
        <f>IF(I32=J32,1,IF(I32&gt;J32,3,0))</f>
        <v>1</v>
      </c>
      <c r="J34" s="61">
        <f>IF(J32=I32,1,IF(J32&gt;I32,3,0))</f>
        <v>1</v>
      </c>
      <c r="K34" s="58"/>
      <c r="L34" s="58"/>
      <c r="M34" s="58"/>
      <c r="N34" s="58"/>
      <c r="O34" s="58"/>
      <c r="P34" s="61">
        <f>IF(P32=Q32,1,IF(P32&gt;Q32,3,0))</f>
        <v>0</v>
      </c>
      <c r="Q34" s="61">
        <f>IF(Q32=P32,1,IF(Q32&gt;P32,3,0))</f>
        <v>3</v>
      </c>
      <c r="R34" s="58"/>
      <c r="S34" s="58"/>
      <c r="T34" s="58"/>
      <c r="U34" s="58"/>
      <c r="V34" s="58"/>
      <c r="W34" s="61">
        <f>IF(W32=X32,1,IF(W32&gt;X32,3,0))</f>
        <v>0</v>
      </c>
      <c r="X34" s="61">
        <f>IF(X32=W32,1,IF(X32&gt;W32,3,0))</f>
        <v>3</v>
      </c>
      <c r="Y34" s="58"/>
      <c r="Z34" s="58"/>
      <c r="AA34" s="58"/>
      <c r="AB34" s="58"/>
      <c r="AC34" s="58"/>
      <c r="AD34" s="61">
        <f>IF(AD32=AE32,1,IF(AD32&gt;AE32,3,0))</f>
        <v>0</v>
      </c>
      <c r="AE34" s="61">
        <f>IF(AE32=AD32,1,IF(AE32&gt;AD32,3,0))</f>
        <v>3</v>
      </c>
      <c r="AF34" s="58"/>
      <c r="AG34" s="58"/>
      <c r="AH34" s="58"/>
      <c r="AI34" s="58"/>
      <c r="AJ34" s="58"/>
      <c r="AK34" s="61">
        <f>IF(AK32=AL32,1,IF(AK32&gt;AL32,3,0))</f>
        <v>0</v>
      </c>
      <c r="AL34" s="61">
        <f>IF(AL32=AK32,1,IF(AL32&gt;AK32,3,0))</f>
        <v>3</v>
      </c>
      <c r="AM34" s="58"/>
      <c r="AN34" s="58"/>
      <c r="AO34" s="58"/>
      <c r="AP34" s="58"/>
    </row>
    <row r="35" spans="1:42" ht="16.5" customHeight="1" x14ac:dyDescent="0.4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row>
    <row r="36" spans="1:42" ht="16.5" customHeight="1" x14ac:dyDescent="0.45">
      <c r="A36" s="58"/>
      <c r="B36" s="60" t="s">
        <v>51</v>
      </c>
      <c r="C36" s="61" t="s">
        <v>52</v>
      </c>
      <c r="D36" s="61" t="s">
        <v>53</v>
      </c>
      <c r="E36" s="61" t="s">
        <v>54</v>
      </c>
      <c r="F36" s="61" t="s">
        <v>55</v>
      </c>
      <c r="G36" s="58"/>
      <c r="H36" s="58"/>
      <c r="I36" s="60" t="s">
        <v>51</v>
      </c>
      <c r="J36" s="61" t="s">
        <v>52</v>
      </c>
      <c r="K36" s="61" t="s">
        <v>53</v>
      </c>
      <c r="L36" s="61" t="s">
        <v>54</v>
      </c>
      <c r="M36" s="61" t="s">
        <v>55</v>
      </c>
      <c r="N36" s="58"/>
      <c r="O36" s="63"/>
      <c r="P36" s="60" t="s">
        <v>51</v>
      </c>
      <c r="Q36" s="61" t="s">
        <v>52</v>
      </c>
      <c r="R36" s="61" t="s">
        <v>53</v>
      </c>
      <c r="S36" s="61" t="s">
        <v>54</v>
      </c>
      <c r="T36" s="61" t="s">
        <v>55</v>
      </c>
      <c r="U36" s="58"/>
      <c r="V36" s="63"/>
      <c r="W36" s="60" t="s">
        <v>51</v>
      </c>
      <c r="X36" s="61" t="s">
        <v>52</v>
      </c>
      <c r="Y36" s="61" t="s">
        <v>53</v>
      </c>
      <c r="Z36" s="61" t="s">
        <v>54</v>
      </c>
      <c r="AA36" s="61" t="s">
        <v>55</v>
      </c>
      <c r="AB36" s="58"/>
      <c r="AC36" s="63"/>
      <c r="AD36" s="60" t="s">
        <v>51</v>
      </c>
      <c r="AE36" s="61" t="s">
        <v>52</v>
      </c>
      <c r="AF36" s="61" t="s">
        <v>53</v>
      </c>
      <c r="AG36" s="61" t="s">
        <v>54</v>
      </c>
      <c r="AH36" s="61" t="s">
        <v>55</v>
      </c>
      <c r="AI36" s="58"/>
      <c r="AJ36" s="63"/>
      <c r="AK36" s="60" t="s">
        <v>51</v>
      </c>
      <c r="AL36" s="61" t="s">
        <v>52</v>
      </c>
      <c r="AM36" s="61" t="s">
        <v>53</v>
      </c>
      <c r="AN36" s="61" t="s">
        <v>54</v>
      </c>
      <c r="AO36" s="61" t="s">
        <v>55</v>
      </c>
      <c r="AP36" s="58"/>
    </row>
    <row r="37" spans="1:42" ht="16.5" customHeight="1" x14ac:dyDescent="0.45">
      <c r="A37" s="64"/>
      <c r="B37" s="60" t="s">
        <v>25</v>
      </c>
      <c r="C37" s="61">
        <f>B7+B23+C34</f>
        <v>9</v>
      </c>
      <c r="D37" s="61">
        <f>B5+B21+C32</f>
        <v>6</v>
      </c>
      <c r="E37" s="61">
        <f>C5+C21+B32</f>
        <v>2</v>
      </c>
      <c r="F37" s="61">
        <f>D37-E37</f>
        <v>4</v>
      </c>
      <c r="G37" s="58"/>
      <c r="H37" s="64"/>
      <c r="I37" s="60" t="s">
        <v>27</v>
      </c>
      <c r="J37" s="61">
        <f>I7+I23+J34</f>
        <v>7</v>
      </c>
      <c r="K37" s="61">
        <f>I5+I21+J32</f>
        <v>5</v>
      </c>
      <c r="L37" s="61">
        <f>J5+J21+I32</f>
        <v>2</v>
      </c>
      <c r="M37" s="61">
        <f>K37-L37</f>
        <v>3</v>
      </c>
      <c r="N37" s="58"/>
      <c r="O37" s="65"/>
      <c r="P37" s="60" t="s">
        <v>29</v>
      </c>
      <c r="Q37" s="61">
        <f>P7+P23+Q34</f>
        <v>9</v>
      </c>
      <c r="R37" s="61">
        <f>P5+P21+Q32</f>
        <v>7</v>
      </c>
      <c r="S37" s="61">
        <f>Q5+Q21+P32</f>
        <v>1</v>
      </c>
      <c r="T37" s="61">
        <f>R37-S37</f>
        <v>6</v>
      </c>
      <c r="U37" s="58"/>
      <c r="V37" s="65"/>
      <c r="W37" s="60" t="s">
        <v>31</v>
      </c>
      <c r="X37" s="61">
        <f>W7+W23+X34</f>
        <v>9</v>
      </c>
      <c r="Y37" s="61">
        <f>W5+W21+X32</f>
        <v>6</v>
      </c>
      <c r="Z37" s="61">
        <f>X5+X21+W32</f>
        <v>1</v>
      </c>
      <c r="AA37" s="61">
        <f>Y37-Z37</f>
        <v>5</v>
      </c>
      <c r="AB37" s="58"/>
      <c r="AC37" s="65"/>
      <c r="AD37" s="60" t="s">
        <v>33</v>
      </c>
      <c r="AE37" s="61">
        <f>AD7+AD23+AE34</f>
        <v>9</v>
      </c>
      <c r="AF37" s="61">
        <f>AD5+AD21+AE32</f>
        <v>6</v>
      </c>
      <c r="AG37" s="61">
        <f>AE5+AE21+AD32</f>
        <v>1</v>
      </c>
      <c r="AH37" s="61">
        <f>AF37-AG37</f>
        <v>5</v>
      </c>
      <c r="AI37" s="58"/>
      <c r="AJ37" s="58"/>
      <c r="AK37" s="60" t="s">
        <v>35</v>
      </c>
      <c r="AL37" s="61">
        <f>AK7+AK23+AL34</f>
        <v>9</v>
      </c>
      <c r="AM37" s="61">
        <f>AK5+AK21+AL32</f>
        <v>6</v>
      </c>
      <c r="AN37" s="61">
        <f>AL5+AL21+AK32</f>
        <v>2</v>
      </c>
      <c r="AO37" s="61">
        <f>AM37-AN37</f>
        <v>4</v>
      </c>
      <c r="AP37" s="58"/>
    </row>
    <row r="38" spans="1:42" ht="16.5" customHeight="1" x14ac:dyDescent="0.45">
      <c r="A38" s="64"/>
      <c r="B38" s="60" t="s">
        <v>26</v>
      </c>
      <c r="C38" s="61">
        <f>C7+C18+B29</f>
        <v>0</v>
      </c>
      <c r="D38" s="61">
        <f>C5+C16+B27</f>
        <v>2</v>
      </c>
      <c r="E38" s="61">
        <f>B5+B16+C27</f>
        <v>6</v>
      </c>
      <c r="F38" s="61">
        <f>D38-E38</f>
        <v>-4</v>
      </c>
      <c r="G38" s="58"/>
      <c r="H38" s="64"/>
      <c r="I38" s="60" t="s">
        <v>28</v>
      </c>
      <c r="J38" s="61">
        <f>J7+J18+I29</f>
        <v>3</v>
      </c>
      <c r="K38" s="61">
        <f>J5+J16+I27</f>
        <v>4</v>
      </c>
      <c r="L38" s="61">
        <f>I5+I16+J27</f>
        <v>5</v>
      </c>
      <c r="M38" s="61">
        <f>K38-L38</f>
        <v>-1</v>
      </c>
      <c r="N38" s="58"/>
      <c r="O38" s="65"/>
      <c r="P38" s="60" t="s">
        <v>30</v>
      </c>
      <c r="Q38" s="61">
        <f>Q7+Q18+P29</f>
        <v>6</v>
      </c>
      <c r="R38" s="61">
        <f>Q5+Q16+P27</f>
        <v>5</v>
      </c>
      <c r="S38" s="61">
        <f>P5+P16+Q27</f>
        <v>2</v>
      </c>
      <c r="T38" s="61">
        <f>R38-S38</f>
        <v>3</v>
      </c>
      <c r="U38" s="58"/>
      <c r="V38" s="65"/>
      <c r="W38" s="60" t="s">
        <v>32</v>
      </c>
      <c r="X38" s="61">
        <f>X7+X18+W29</f>
        <v>4</v>
      </c>
      <c r="Y38" s="61">
        <f>X5+X16+W27</f>
        <v>2</v>
      </c>
      <c r="Z38" s="61">
        <f>W5+W16+X27</f>
        <v>3</v>
      </c>
      <c r="AA38" s="61">
        <f>Y38-Z38</f>
        <v>-1</v>
      </c>
      <c r="AB38" s="58"/>
      <c r="AC38" s="65"/>
      <c r="AD38" s="60" t="s">
        <v>34</v>
      </c>
      <c r="AE38" s="61">
        <f>AE7+AE18+AD29</f>
        <v>0</v>
      </c>
      <c r="AF38" s="61">
        <f>AE5+AE16+AD27</f>
        <v>0</v>
      </c>
      <c r="AG38" s="61">
        <f>AD5+AD16+AE27</f>
        <v>7</v>
      </c>
      <c r="AH38" s="61">
        <f>AF38-AG38</f>
        <v>-7</v>
      </c>
      <c r="AI38" s="58"/>
      <c r="AJ38" s="58"/>
      <c r="AK38" s="60" t="s">
        <v>36</v>
      </c>
      <c r="AL38" s="61">
        <f>AL7+AL18+AK29</f>
        <v>4</v>
      </c>
      <c r="AM38" s="61">
        <f>AL5+AL16+AK27</f>
        <v>4</v>
      </c>
      <c r="AN38" s="61">
        <f>AK5+AK16+AL27</f>
        <v>3</v>
      </c>
      <c r="AO38" s="61">
        <f>AM38-AN38</f>
        <v>1</v>
      </c>
      <c r="AP38" s="58"/>
    </row>
    <row r="39" spans="1:42" ht="16.5" customHeight="1" x14ac:dyDescent="0.45">
      <c r="A39" s="66"/>
      <c r="B39" s="60" t="s">
        <v>37</v>
      </c>
      <c r="C39" s="61">
        <f>B12+C23+C29</f>
        <v>4</v>
      </c>
      <c r="D39" s="61">
        <f>B10+C21+C27</f>
        <v>4</v>
      </c>
      <c r="E39" s="61">
        <f>C10+B21+B27</f>
        <v>4</v>
      </c>
      <c r="F39" s="61">
        <f>D39-E39</f>
        <v>0</v>
      </c>
      <c r="G39" s="58"/>
      <c r="H39" s="66"/>
      <c r="I39" s="60" t="s">
        <v>39</v>
      </c>
      <c r="J39" s="61">
        <f>I12+J23+J29</f>
        <v>0</v>
      </c>
      <c r="K39" s="61">
        <f>I10+J21+J27</f>
        <v>1</v>
      </c>
      <c r="L39" s="61">
        <f>J10+I21+I27</f>
        <v>6</v>
      </c>
      <c r="M39" s="61">
        <f>K39-L39</f>
        <v>-5</v>
      </c>
      <c r="N39" s="58"/>
      <c r="O39" s="65"/>
      <c r="P39" s="60" t="s">
        <v>41</v>
      </c>
      <c r="Q39" s="61">
        <f>P12+Q23+Q29</f>
        <v>0</v>
      </c>
      <c r="R39" s="61">
        <f>P10+Q21+Q27</f>
        <v>0</v>
      </c>
      <c r="S39" s="61">
        <f>Q10+P21+P27</f>
        <v>6</v>
      </c>
      <c r="T39" s="61">
        <f>R39-S39</f>
        <v>-6</v>
      </c>
      <c r="U39" s="58"/>
      <c r="V39" s="65"/>
      <c r="W39" s="60" t="s">
        <v>43</v>
      </c>
      <c r="X39" s="61">
        <f>W12+X23+X29</f>
        <v>0</v>
      </c>
      <c r="Y39" s="61">
        <f>W10+X21+X27</f>
        <v>1</v>
      </c>
      <c r="Z39" s="61">
        <f>X10+W21+W27</f>
        <v>5</v>
      </c>
      <c r="AA39" s="61">
        <f>Y39-Z39</f>
        <v>-4</v>
      </c>
      <c r="AB39" s="58"/>
      <c r="AC39" s="65"/>
      <c r="AD39" s="60" t="s">
        <v>45</v>
      </c>
      <c r="AE39" s="61">
        <f>AD12+AE23+AE29</f>
        <v>4</v>
      </c>
      <c r="AF39" s="61">
        <f>AD10+AE21+AE27</f>
        <v>4</v>
      </c>
      <c r="AG39" s="61">
        <f>AE10+AD21+AD27</f>
        <v>3</v>
      </c>
      <c r="AH39" s="61">
        <f>AF39-AG39</f>
        <v>1</v>
      </c>
      <c r="AI39" s="58"/>
      <c r="AJ39" s="58"/>
      <c r="AK39" s="60" t="s">
        <v>47</v>
      </c>
      <c r="AL39" s="61">
        <f>AK12+AL23+AL29</f>
        <v>4</v>
      </c>
      <c r="AM39" s="61">
        <f>AK10+AL21+AL27</f>
        <v>4</v>
      </c>
      <c r="AN39" s="61">
        <f>AL10+AK21+AK27</f>
        <v>4</v>
      </c>
      <c r="AO39" s="61">
        <f>AM39-AN39</f>
        <v>0</v>
      </c>
      <c r="AP39" s="58"/>
    </row>
    <row r="40" spans="1:42" ht="16.5" customHeight="1" x14ac:dyDescent="0.45">
      <c r="A40" s="67"/>
      <c r="B40" s="60" t="s">
        <v>38</v>
      </c>
      <c r="C40" s="61">
        <f>C12+B18+B34</f>
        <v>4</v>
      </c>
      <c r="D40" s="61">
        <f>C10+B16+B32</f>
        <v>4</v>
      </c>
      <c r="E40" s="61">
        <f>B10+C16+C32</f>
        <v>4</v>
      </c>
      <c r="F40" s="61">
        <f>D40-E40</f>
        <v>0</v>
      </c>
      <c r="G40" s="58"/>
      <c r="H40" s="67"/>
      <c r="I40" s="60" t="s">
        <v>40</v>
      </c>
      <c r="J40" s="61">
        <f>J12+I18+I34</f>
        <v>7</v>
      </c>
      <c r="K40" s="61">
        <f>J10+I16+I32</f>
        <v>5</v>
      </c>
      <c r="L40" s="61">
        <f>I10+J16+J32</f>
        <v>2</v>
      </c>
      <c r="M40" s="61">
        <f>K40-L40</f>
        <v>3</v>
      </c>
      <c r="N40" s="58"/>
      <c r="O40" s="65"/>
      <c r="P40" s="60" t="s">
        <v>42</v>
      </c>
      <c r="Q40" s="61">
        <f>Q12+P18+P34</f>
        <v>3</v>
      </c>
      <c r="R40" s="61">
        <f>Q10+P16+P32</f>
        <v>1</v>
      </c>
      <c r="S40" s="61">
        <f>P10+Q16+Q32</f>
        <v>4</v>
      </c>
      <c r="T40" s="61">
        <f>R40-S40</f>
        <v>-3</v>
      </c>
      <c r="U40" s="58"/>
      <c r="V40" s="65"/>
      <c r="W40" s="60" t="s">
        <v>44</v>
      </c>
      <c r="X40" s="61">
        <f>X12+W18+W34</f>
        <v>4</v>
      </c>
      <c r="Y40" s="61">
        <f>X10+W16+W32</f>
        <v>4</v>
      </c>
      <c r="Z40" s="61">
        <f>W10+X16+X32</f>
        <v>4</v>
      </c>
      <c r="AA40" s="61">
        <f>Y40-Z40</f>
        <v>0</v>
      </c>
      <c r="AB40" s="58"/>
      <c r="AC40" s="65"/>
      <c r="AD40" s="60" t="s">
        <v>46</v>
      </c>
      <c r="AE40" s="61">
        <f>AE12+AD18+AD34</f>
        <v>4</v>
      </c>
      <c r="AF40" s="61">
        <f>AE10+AD16+AD32</f>
        <v>3</v>
      </c>
      <c r="AG40" s="61">
        <f>AD10+AE16+AE32</f>
        <v>2</v>
      </c>
      <c r="AH40" s="61">
        <f>AF40-AG40</f>
        <v>1</v>
      </c>
      <c r="AI40" s="58"/>
      <c r="AJ40" s="58"/>
      <c r="AK40" s="60" t="s">
        <v>48</v>
      </c>
      <c r="AL40" s="61">
        <f>AL12+AK18+AK34</f>
        <v>0</v>
      </c>
      <c r="AM40" s="61">
        <f>AL10+AK16+AK32</f>
        <v>1</v>
      </c>
      <c r="AN40" s="61">
        <f>AK10+AL16+AL32</f>
        <v>6</v>
      </c>
      <c r="AO40" s="61">
        <f>AM40-AN40</f>
        <v>-5</v>
      </c>
      <c r="AP40" s="58"/>
    </row>
    <row r="41" spans="1:42" ht="16.5" customHeight="1" x14ac:dyDescent="0.45">
      <c r="A41" s="58"/>
      <c r="D41" s="61"/>
      <c r="E41" s="61"/>
      <c r="F41" s="61"/>
      <c r="G41" s="58"/>
      <c r="H41" s="58"/>
      <c r="K41" s="61"/>
      <c r="L41" s="61"/>
      <c r="M41" s="61"/>
      <c r="N41" s="58"/>
      <c r="O41" s="58"/>
      <c r="U41" s="58"/>
      <c r="V41" s="58"/>
      <c r="AB41" s="58"/>
      <c r="AC41" s="58"/>
      <c r="AI41" s="58"/>
      <c r="AJ41" s="58"/>
      <c r="AP41" s="58"/>
    </row>
    <row r="42" spans="1:42" ht="16.5" customHeight="1" x14ac:dyDescent="0.45">
      <c r="A42" s="58"/>
      <c r="B42" s="92" t="s">
        <v>56</v>
      </c>
      <c r="C42" s="92"/>
      <c r="D42" s="61"/>
      <c r="E42" s="61"/>
      <c r="F42" s="61"/>
      <c r="G42" s="58"/>
      <c r="H42" s="58"/>
      <c r="I42" s="92" t="s">
        <v>56</v>
      </c>
      <c r="J42" s="92"/>
      <c r="K42" s="61"/>
      <c r="L42" s="61"/>
      <c r="M42" s="61"/>
      <c r="N42" s="58"/>
      <c r="O42" s="58"/>
      <c r="P42" s="92" t="s">
        <v>56</v>
      </c>
      <c r="Q42" s="92"/>
      <c r="U42" s="58"/>
      <c r="V42" s="58"/>
      <c r="W42" s="92" t="s">
        <v>56</v>
      </c>
      <c r="X42" s="92"/>
      <c r="AB42" s="58"/>
      <c r="AC42" s="58"/>
      <c r="AD42" s="92" t="s">
        <v>56</v>
      </c>
      <c r="AE42" s="92"/>
      <c r="AI42" s="58"/>
      <c r="AJ42" s="58"/>
      <c r="AK42" s="92" t="s">
        <v>56</v>
      </c>
      <c r="AL42" s="92"/>
      <c r="AP42" s="58"/>
    </row>
    <row r="43" spans="1:42" ht="16.5" customHeight="1" x14ac:dyDescent="0.45">
      <c r="A43" s="68">
        <v>1</v>
      </c>
      <c r="B43" s="60" t="str">
        <f t="array" ref="B43:B46">_xlfn.SORTBY(B37:B40,C37:C40,-1,F37:F40,-1,D37:D40,-1)</f>
        <v>Mexiko</v>
      </c>
      <c r="C43" s="61">
        <f t="array" ref="C43:C46">_xlfn.SORTBY(C37:C40,C37:C40,-1,F37:F40,-1,D37:D40,-1)</f>
        <v>9</v>
      </c>
      <c r="D43" s="61">
        <f t="array" ref="D43:D46">_xlfn.SORTBY(D37:D40,C37:C40,-1,F37:F40,-1,D37:D40,-1)</f>
        <v>6</v>
      </c>
      <c r="E43" s="61">
        <f t="array" ref="E43:E46">_xlfn.SORTBY(E37:E40,C37:C40,-1,F37:F40,-1,D37:D40,-1)</f>
        <v>2</v>
      </c>
      <c r="F43" s="61">
        <f t="array" ref="F43:F46">_xlfn.SORTBY(F37:F40,C37:C40,-1,F37:F40,-1,D37:D40,-1)</f>
        <v>4</v>
      </c>
      <c r="G43" s="58"/>
      <c r="H43" s="68">
        <v>1</v>
      </c>
      <c r="I43" s="60" t="str">
        <f t="array" ref="I43:I46">_xlfn.SORTBY(I37:I40,J37:J40,-1,M37:M40,-1,K37:K40,-1)</f>
        <v>Kanada</v>
      </c>
      <c r="J43" s="61">
        <f t="array" ref="J43:J46">_xlfn.SORTBY(J37:J40,J37:J40,-1,M37:M40,-1,K37:K40,-1)</f>
        <v>7</v>
      </c>
      <c r="K43" s="61">
        <f t="array" ref="K43:K46">_xlfn.SORTBY(K37:K40,J37:J40,-1,M37:M40,-1,K37:K40,-1)</f>
        <v>5</v>
      </c>
      <c r="L43" s="61">
        <f t="array" ref="L43:L46">_xlfn.SORTBY(L37:L40,J37:J40,-1,M37:M40,-1,K37:K40,-1)</f>
        <v>2</v>
      </c>
      <c r="M43" s="61">
        <f t="array" ref="M43:M46">_xlfn.SORTBY(M37:M40,J37:J40,-1,M37:M40,-1,K37:K40,-1)</f>
        <v>3</v>
      </c>
      <c r="N43" s="58"/>
      <c r="O43" s="68">
        <v>1</v>
      </c>
      <c r="P43" s="60" t="str">
        <f t="array" ref="P43:P46">_xlfn.SORTBY(P37:P40,Q37:Q40,-1,T37:T40,-1,R37:R40,-1)</f>
        <v>Brasilien</v>
      </c>
      <c r="Q43" s="61">
        <f t="array" ref="Q43:Q46">_xlfn.SORTBY(Q37:Q40,Q37:Q40,-1,T37:T40,-1,R37:R40,-1)</f>
        <v>9</v>
      </c>
      <c r="R43" s="61">
        <f t="array" ref="R43:R46">_xlfn.SORTBY(R37:R40,Q37:Q40,-1,T37:T40,-1,R37:R40,-1)</f>
        <v>7</v>
      </c>
      <c r="S43" s="61">
        <f t="array" ref="S43:S46">_xlfn.SORTBY(S37:S40,Q37:Q40,-1,T37:T40,-1,R37:R40,-1)</f>
        <v>1</v>
      </c>
      <c r="T43" s="61">
        <f t="array" ref="T43:T46">_xlfn.SORTBY(T37:T40,Q37:Q40,-1,T37:T40,-1,R37:R40,-1)</f>
        <v>6</v>
      </c>
      <c r="U43" s="58"/>
      <c r="V43" s="68">
        <v>1</v>
      </c>
      <c r="W43" s="60" t="str">
        <f t="array" ref="W43:W46">_xlfn.SORTBY(W37:W40,X37:X40,-1,AA37:AA40,-1,Y37:Y40,-1)</f>
        <v>USA</v>
      </c>
      <c r="X43" s="61">
        <f t="array" ref="X43:X46">_xlfn.SORTBY(X37:X40,X37:X40,-1,AA37:AA40,-1,Y37:Y40,-1)</f>
        <v>9</v>
      </c>
      <c r="Y43" s="61">
        <f t="array" ref="Y43:Y46">_xlfn.SORTBY(Y37:Y40,X37:X40,-1,AA37:AA40,-1,Y37:Y40,-1)</f>
        <v>6</v>
      </c>
      <c r="Z43" s="61">
        <f t="array" ref="Z43:Z46">_xlfn.SORTBY(Z37:Z40,X37:X40,-1,AA37:AA40,-1,Y37:Y40,-1)</f>
        <v>1</v>
      </c>
      <c r="AA43" s="61">
        <f t="array" ref="AA43:AA46">_xlfn.SORTBY(AA37:AA40,X37:X40,-1,AA37:AA40,-1,Y37:Y40,-1)</f>
        <v>5</v>
      </c>
      <c r="AB43" s="58"/>
      <c r="AC43" s="68">
        <v>1</v>
      </c>
      <c r="AD43" s="60" t="str">
        <f t="array" ref="AD43:AD46">_xlfn.SORTBY(AD37:AD40,AE37:AE40,-1,AH37:AH40,-1,AF37:AF40,-1)</f>
        <v>Deutschland</v>
      </c>
      <c r="AE43" s="61">
        <f t="array" ref="AE43:AE46">_xlfn.SORTBY(AE37:AE40,AE37:AE40,-1,AH37:AH40,-1,AF37:AF40,-1)</f>
        <v>9</v>
      </c>
      <c r="AF43" s="61">
        <f t="array" ref="AF43:AF46">_xlfn.SORTBY(AF37:AF40,AE37:AE40,-1,AH37:AH40,-1,AF37:AF40,-1)</f>
        <v>6</v>
      </c>
      <c r="AG43" s="61">
        <f t="array" ref="AG43:AG46">_xlfn.SORTBY(AG37:AG40,AE37:AE40,-1,AH37:AH40,-1,AF37:AF40,-1)</f>
        <v>1</v>
      </c>
      <c r="AH43" s="61">
        <f t="array" ref="AH43:AH46">_xlfn.SORTBY(AH37:AH40,AE37:AE40,-1,AH37:AH40,-1,AF37:AF40,-1)</f>
        <v>5</v>
      </c>
      <c r="AI43" s="58"/>
      <c r="AJ43" s="68">
        <v>1</v>
      </c>
      <c r="AK43" s="60" t="str">
        <f t="array" ref="AK43:AK46">_xlfn.SORTBY(AK37:AK40,AL37:AL40,-1,AO37:AO40,-1,AM37:AM40,-1)</f>
        <v>Niederlande</v>
      </c>
      <c r="AL43" s="61">
        <f t="array" ref="AL43:AL46">_xlfn.SORTBY(AL37:AL40,AL37:AL40,-1,AO37:AO40,-1,AM37:AM40,-1)</f>
        <v>9</v>
      </c>
      <c r="AM43" s="61">
        <f t="array" ref="AM43:AM46">_xlfn.SORTBY(AM37:AM40,AL37:AL40,-1,AO37:AO40,-1,AM37:AM40,-1)</f>
        <v>6</v>
      </c>
      <c r="AN43" s="61">
        <f t="array" ref="AN43:AN46">_xlfn.SORTBY(AN37:AN40,AL37:AL40,-1,AO37:AO40,-1,AM37:AM40,-1)</f>
        <v>2</v>
      </c>
      <c r="AO43" s="61">
        <f t="array" ref="AO43:AO46">_xlfn.SORTBY(AO37:AO40,AL37:AL40,-1,AO37:AO40,-1,AM37:AM40,-1)</f>
        <v>4</v>
      </c>
      <c r="AP43" s="58"/>
    </row>
    <row r="44" spans="1:42" ht="16.5" customHeight="1" x14ac:dyDescent="0.45">
      <c r="A44" s="68">
        <v>2</v>
      </c>
      <c r="B44" s="60" t="str">
        <v>Südkorea</v>
      </c>
      <c r="C44" s="61">
        <v>4</v>
      </c>
      <c r="D44" s="61">
        <v>4</v>
      </c>
      <c r="E44" s="61">
        <v>4</v>
      </c>
      <c r="F44" s="61">
        <v>0</v>
      </c>
      <c r="G44" s="58"/>
      <c r="H44" s="68">
        <v>2</v>
      </c>
      <c r="I44" s="60" t="str">
        <v>Schweiz</v>
      </c>
      <c r="J44" s="61">
        <v>7</v>
      </c>
      <c r="K44" s="61">
        <v>5</v>
      </c>
      <c r="L44" s="61">
        <v>2</v>
      </c>
      <c r="M44" s="61">
        <v>3</v>
      </c>
      <c r="N44" s="58"/>
      <c r="O44" s="68">
        <v>2</v>
      </c>
      <c r="P44" s="60" t="str">
        <v>Marokko</v>
      </c>
      <c r="Q44" s="61">
        <v>6</v>
      </c>
      <c r="R44" s="61">
        <v>5</v>
      </c>
      <c r="S44" s="61">
        <v>2</v>
      </c>
      <c r="T44" s="61">
        <v>3</v>
      </c>
      <c r="U44" s="58"/>
      <c r="V44" s="68">
        <v>2</v>
      </c>
      <c r="W44" s="60" t="str">
        <v>Türkei</v>
      </c>
      <c r="X44" s="61">
        <v>4</v>
      </c>
      <c r="Y44" s="61">
        <v>4</v>
      </c>
      <c r="Z44" s="61">
        <v>4</v>
      </c>
      <c r="AA44" s="61">
        <v>0</v>
      </c>
      <c r="AB44" s="58"/>
      <c r="AC44" s="68">
        <v>2</v>
      </c>
      <c r="AD44" s="60" t="str">
        <v>Elfenbeinküste</v>
      </c>
      <c r="AE44" s="61">
        <v>4</v>
      </c>
      <c r="AF44" s="61">
        <v>4</v>
      </c>
      <c r="AG44" s="61">
        <v>3</v>
      </c>
      <c r="AH44" s="61">
        <v>1</v>
      </c>
      <c r="AI44" s="58"/>
      <c r="AJ44" s="68">
        <v>2</v>
      </c>
      <c r="AK44" s="60" t="str">
        <v>Japan</v>
      </c>
      <c r="AL44" s="61">
        <v>4</v>
      </c>
      <c r="AM44" s="61">
        <v>4</v>
      </c>
      <c r="AN44" s="61">
        <v>3</v>
      </c>
      <c r="AO44" s="61">
        <v>1</v>
      </c>
      <c r="AP44" s="58"/>
    </row>
    <row r="45" spans="1:42" ht="16.5" customHeight="1" x14ac:dyDescent="0.45">
      <c r="A45" s="69">
        <v>3</v>
      </c>
      <c r="B45" s="60" t="str">
        <v>Tschechien</v>
      </c>
      <c r="C45" s="61">
        <v>4</v>
      </c>
      <c r="D45" s="61">
        <v>4</v>
      </c>
      <c r="E45" s="61">
        <v>4</v>
      </c>
      <c r="F45" s="61">
        <v>0</v>
      </c>
      <c r="G45" s="58"/>
      <c r="H45" s="69">
        <v>3</v>
      </c>
      <c r="I45" s="60" t="str">
        <v>Bosnien-Herz.</v>
      </c>
      <c r="J45" s="61">
        <v>3</v>
      </c>
      <c r="K45" s="61">
        <v>4</v>
      </c>
      <c r="L45" s="61">
        <v>5</v>
      </c>
      <c r="M45" s="61">
        <v>-1</v>
      </c>
      <c r="N45" s="58"/>
      <c r="O45" s="69">
        <v>3</v>
      </c>
      <c r="P45" s="60" t="str">
        <v>Schottland</v>
      </c>
      <c r="Q45" s="61">
        <v>3</v>
      </c>
      <c r="R45" s="61">
        <v>1</v>
      </c>
      <c r="S45" s="61">
        <v>4</v>
      </c>
      <c r="T45" s="61">
        <v>-3</v>
      </c>
      <c r="U45" s="58"/>
      <c r="V45" s="69">
        <v>3</v>
      </c>
      <c r="W45" s="60" t="str">
        <v>Paraguay</v>
      </c>
      <c r="X45" s="61">
        <v>4</v>
      </c>
      <c r="Y45" s="61">
        <v>2</v>
      </c>
      <c r="Z45" s="61">
        <v>3</v>
      </c>
      <c r="AA45" s="61">
        <v>-1</v>
      </c>
      <c r="AB45" s="58"/>
      <c r="AC45" s="69">
        <v>3</v>
      </c>
      <c r="AD45" s="60" t="str">
        <v>Ecuador</v>
      </c>
      <c r="AE45" s="61">
        <v>4</v>
      </c>
      <c r="AF45" s="61">
        <v>3</v>
      </c>
      <c r="AG45" s="61">
        <v>2</v>
      </c>
      <c r="AH45" s="61">
        <v>1</v>
      </c>
      <c r="AI45" s="58"/>
      <c r="AJ45" s="69">
        <v>3</v>
      </c>
      <c r="AK45" s="60" t="str">
        <v>Schweden</v>
      </c>
      <c r="AL45" s="61">
        <v>4</v>
      </c>
      <c r="AM45" s="61">
        <v>4</v>
      </c>
      <c r="AN45" s="61">
        <v>4</v>
      </c>
      <c r="AO45" s="61">
        <v>0</v>
      </c>
      <c r="AP45" s="58"/>
    </row>
    <row r="46" spans="1:42" ht="16.5" customHeight="1" x14ac:dyDescent="0.45">
      <c r="A46" s="70">
        <v>4</v>
      </c>
      <c r="B46" s="60" t="str">
        <v>Südafrika</v>
      </c>
      <c r="C46" s="61">
        <v>0</v>
      </c>
      <c r="D46" s="61">
        <v>2</v>
      </c>
      <c r="E46" s="61">
        <v>6</v>
      </c>
      <c r="F46" s="61">
        <v>-4</v>
      </c>
      <c r="G46" s="58"/>
      <c r="H46" s="70">
        <v>4</v>
      </c>
      <c r="I46" s="60" t="str">
        <v>Katar</v>
      </c>
      <c r="J46" s="61">
        <v>0</v>
      </c>
      <c r="K46" s="61">
        <v>1</v>
      </c>
      <c r="L46" s="61">
        <v>6</v>
      </c>
      <c r="M46" s="61">
        <v>-5</v>
      </c>
      <c r="N46" s="58"/>
      <c r="O46" s="70">
        <v>4</v>
      </c>
      <c r="P46" s="60" t="str">
        <v>Haiti</v>
      </c>
      <c r="Q46" s="61">
        <v>0</v>
      </c>
      <c r="R46" s="61">
        <v>0</v>
      </c>
      <c r="S46" s="61">
        <v>6</v>
      </c>
      <c r="T46" s="61">
        <v>-6</v>
      </c>
      <c r="U46" s="58"/>
      <c r="V46" s="70">
        <v>4</v>
      </c>
      <c r="W46" s="60" t="str">
        <v>Australien</v>
      </c>
      <c r="X46" s="61">
        <v>0</v>
      </c>
      <c r="Y46" s="61">
        <v>1</v>
      </c>
      <c r="Z46" s="61">
        <v>5</v>
      </c>
      <c r="AA46" s="61">
        <v>-4</v>
      </c>
      <c r="AB46" s="58"/>
      <c r="AC46" s="70">
        <v>4</v>
      </c>
      <c r="AD46" s="60" t="str">
        <v>Curacao</v>
      </c>
      <c r="AE46" s="61">
        <v>0</v>
      </c>
      <c r="AF46" s="61">
        <v>0</v>
      </c>
      <c r="AG46" s="61">
        <v>7</v>
      </c>
      <c r="AH46" s="61">
        <v>-7</v>
      </c>
      <c r="AI46" s="58"/>
      <c r="AJ46" s="70">
        <v>4</v>
      </c>
      <c r="AK46" s="60" t="str">
        <v>Tunesien</v>
      </c>
      <c r="AL46" s="61">
        <v>0</v>
      </c>
      <c r="AM46" s="61">
        <v>1</v>
      </c>
      <c r="AN46" s="61">
        <v>6</v>
      </c>
      <c r="AO46" s="61">
        <v>-5</v>
      </c>
      <c r="AP46" s="58"/>
    </row>
    <row r="47" spans="1:42" ht="27" customHeight="1" x14ac:dyDescent="0.45">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row>
    <row r="48" spans="1:42" ht="17.25" customHeight="1" x14ac:dyDescent="0.45">
      <c r="A48" s="94" t="s">
        <v>57</v>
      </c>
      <c r="B48" s="94"/>
      <c r="C48" s="94"/>
      <c r="D48" s="94"/>
      <c r="E48" s="59"/>
      <c r="F48" s="59"/>
      <c r="G48" s="58"/>
      <c r="H48" s="94" t="s">
        <v>58</v>
      </c>
      <c r="I48" s="94"/>
      <c r="J48" s="94"/>
      <c r="K48" s="94"/>
      <c r="L48" s="59"/>
      <c r="M48" s="59"/>
      <c r="N48" s="58"/>
      <c r="O48" s="94" t="s">
        <v>59</v>
      </c>
      <c r="P48" s="94"/>
      <c r="Q48" s="94"/>
      <c r="R48" s="94"/>
      <c r="S48" s="59"/>
      <c r="T48" s="59"/>
      <c r="U48" s="58"/>
      <c r="V48" s="94" t="s">
        <v>60</v>
      </c>
      <c r="W48" s="94"/>
      <c r="X48" s="94"/>
      <c r="Y48" s="94"/>
      <c r="Z48" s="59"/>
      <c r="AA48" s="59"/>
      <c r="AB48" s="58"/>
      <c r="AC48" s="94" t="s">
        <v>61</v>
      </c>
      <c r="AD48" s="94"/>
      <c r="AE48" s="94"/>
      <c r="AF48" s="94"/>
      <c r="AG48" s="59"/>
      <c r="AH48" s="59"/>
      <c r="AI48" s="58"/>
      <c r="AJ48" s="94" t="s">
        <v>62</v>
      </c>
      <c r="AK48" s="94"/>
      <c r="AL48" s="94"/>
      <c r="AM48" s="94"/>
      <c r="AN48" s="59"/>
      <c r="AO48" s="59"/>
      <c r="AP48" s="58"/>
    </row>
    <row r="49" spans="1:42" ht="17.25" customHeight="1" x14ac:dyDescent="0.45">
      <c r="A49" s="94"/>
      <c r="B49" s="94"/>
      <c r="C49" s="94"/>
      <c r="D49" s="94"/>
      <c r="E49" s="59"/>
      <c r="F49" s="59"/>
      <c r="G49" s="58"/>
      <c r="H49" s="94"/>
      <c r="I49" s="94"/>
      <c r="J49" s="94"/>
      <c r="K49" s="94"/>
      <c r="L49" s="59"/>
      <c r="M49" s="59"/>
      <c r="N49" s="58"/>
      <c r="O49" s="94"/>
      <c r="P49" s="94"/>
      <c r="Q49" s="94"/>
      <c r="R49" s="94"/>
      <c r="S49" s="59"/>
      <c r="T49" s="59"/>
      <c r="U49" s="58"/>
      <c r="V49" s="94"/>
      <c r="W49" s="94"/>
      <c r="X49" s="94"/>
      <c r="Y49" s="94"/>
      <c r="Z49" s="59"/>
      <c r="AA49" s="59"/>
      <c r="AB49" s="58"/>
      <c r="AC49" s="94"/>
      <c r="AD49" s="94"/>
      <c r="AE49" s="94"/>
      <c r="AF49" s="94"/>
      <c r="AG49" s="59"/>
      <c r="AH49" s="59"/>
      <c r="AI49" s="58"/>
      <c r="AJ49" s="94"/>
      <c r="AK49" s="94"/>
      <c r="AL49" s="94"/>
      <c r="AM49" s="94"/>
      <c r="AN49" s="59"/>
      <c r="AO49" s="59"/>
      <c r="AP49" s="58"/>
    </row>
    <row r="50" spans="1:42" ht="16.5" customHeight="1" x14ac:dyDescent="0.45">
      <c r="A50" s="58"/>
      <c r="B50" s="92" t="s">
        <v>24</v>
      </c>
      <c r="C50" s="92"/>
      <c r="D50" s="58"/>
      <c r="E50" s="58"/>
      <c r="F50" s="58"/>
      <c r="G50" s="58"/>
      <c r="H50" s="58"/>
      <c r="I50" s="92" t="s">
        <v>24</v>
      </c>
      <c r="J50" s="92"/>
      <c r="K50" s="58"/>
      <c r="L50" s="58"/>
      <c r="M50" s="58"/>
      <c r="N50" s="58"/>
      <c r="O50" s="58"/>
      <c r="P50" s="92" t="s">
        <v>24</v>
      </c>
      <c r="Q50" s="92"/>
      <c r="R50" s="58"/>
      <c r="S50" s="58"/>
      <c r="T50" s="58"/>
      <c r="U50" s="58"/>
      <c r="V50" s="58"/>
      <c r="W50" s="92" t="s">
        <v>24</v>
      </c>
      <c r="X50" s="92"/>
      <c r="Y50" s="58"/>
      <c r="Z50" s="58"/>
      <c r="AA50" s="58"/>
      <c r="AB50" s="58"/>
      <c r="AC50" s="58"/>
      <c r="AD50" s="92" t="s">
        <v>24</v>
      </c>
      <c r="AE50" s="92"/>
      <c r="AF50" s="58"/>
      <c r="AG50" s="58"/>
      <c r="AH50" s="58"/>
      <c r="AI50" s="58"/>
      <c r="AJ50" s="58"/>
      <c r="AK50" s="92" t="s">
        <v>24</v>
      </c>
      <c r="AL50" s="92"/>
      <c r="AM50" s="58"/>
      <c r="AN50" s="58"/>
      <c r="AO50" s="58"/>
      <c r="AP50" s="58"/>
    </row>
    <row r="51" spans="1:42" ht="16.5" customHeight="1" x14ac:dyDescent="0.45">
      <c r="A51" s="58"/>
      <c r="B51" s="61" t="s">
        <v>63</v>
      </c>
      <c r="C51" s="61" t="s">
        <v>64</v>
      </c>
      <c r="D51" s="58"/>
      <c r="E51" s="58"/>
      <c r="F51" s="58"/>
      <c r="G51" s="58"/>
      <c r="H51" s="58"/>
      <c r="I51" s="61" t="s">
        <v>65</v>
      </c>
      <c r="J51" s="61" t="s">
        <v>66</v>
      </c>
      <c r="K51" s="58"/>
      <c r="L51" s="58"/>
      <c r="M51" s="58"/>
      <c r="N51" s="58"/>
      <c r="O51" s="58"/>
      <c r="P51" s="61" t="s">
        <v>67</v>
      </c>
      <c r="Q51" s="61" t="s">
        <v>68</v>
      </c>
      <c r="R51" s="58"/>
      <c r="S51" s="58"/>
      <c r="T51" s="58"/>
      <c r="U51" s="58"/>
      <c r="V51" s="58"/>
      <c r="W51" s="61" t="s">
        <v>69</v>
      </c>
      <c r="X51" s="61" t="s">
        <v>70</v>
      </c>
      <c r="Y51" s="58"/>
      <c r="Z51" s="58"/>
      <c r="AA51" s="58"/>
      <c r="AB51" s="58"/>
      <c r="AC51" s="58"/>
      <c r="AD51" s="61" t="s">
        <v>71</v>
      </c>
      <c r="AE51" s="61" t="s">
        <v>72</v>
      </c>
      <c r="AF51" s="58"/>
      <c r="AG51" s="58"/>
      <c r="AH51" s="58"/>
      <c r="AI51" s="58"/>
      <c r="AJ51" s="58"/>
      <c r="AK51" s="61" t="s">
        <v>73</v>
      </c>
      <c r="AL51" s="61" t="s">
        <v>74</v>
      </c>
      <c r="AM51" s="58"/>
      <c r="AN51" s="58"/>
      <c r="AO51" s="58"/>
      <c r="AP51" s="58"/>
    </row>
    <row r="52" spans="1:42" ht="16.5" customHeight="1" x14ac:dyDescent="0.45">
      <c r="A52" s="58"/>
      <c r="B52" s="62">
        <v>2</v>
      </c>
      <c r="C52" s="62">
        <v>1</v>
      </c>
      <c r="D52" s="58"/>
      <c r="E52" s="58"/>
      <c r="F52" s="58"/>
      <c r="G52" s="58"/>
      <c r="H52" s="58"/>
      <c r="I52" s="62">
        <v>3</v>
      </c>
      <c r="J52" s="62">
        <v>0</v>
      </c>
      <c r="K52" s="58"/>
      <c r="L52" s="58"/>
      <c r="M52" s="58"/>
      <c r="N52" s="58"/>
      <c r="O52" s="58"/>
      <c r="P52" s="62">
        <v>2</v>
      </c>
      <c r="Q52" s="62">
        <v>1</v>
      </c>
      <c r="R52" s="58"/>
      <c r="S52" s="58"/>
      <c r="T52" s="58"/>
      <c r="U52" s="58"/>
      <c r="V52" s="58"/>
      <c r="W52" s="62">
        <v>2</v>
      </c>
      <c r="X52" s="62">
        <v>0</v>
      </c>
      <c r="Y52" s="58"/>
      <c r="Z52" s="58"/>
      <c r="AA52" s="58"/>
      <c r="AB52" s="58"/>
      <c r="AC52" s="58"/>
      <c r="AD52" s="62">
        <v>3</v>
      </c>
      <c r="AE52" s="62">
        <v>0</v>
      </c>
      <c r="AF52" s="58"/>
      <c r="AG52" s="58"/>
      <c r="AH52" s="58"/>
      <c r="AI52" s="58"/>
      <c r="AJ52" s="58"/>
      <c r="AK52" s="62">
        <v>2</v>
      </c>
      <c r="AL52" s="62">
        <v>1</v>
      </c>
      <c r="AM52" s="58"/>
      <c r="AN52" s="58"/>
      <c r="AO52" s="58"/>
      <c r="AP52" s="58"/>
    </row>
    <row r="53" spans="1:42" ht="16.5" customHeight="1" x14ac:dyDescent="0.45">
      <c r="A53" s="58"/>
      <c r="B53" s="93" t="str">
        <f>IF(B52=C52,"Unentschieden",IF(B52&gt;C52,B51,C51))</f>
        <v>Belgien</v>
      </c>
      <c r="C53" s="93"/>
      <c r="D53" s="58"/>
      <c r="E53" s="58"/>
      <c r="F53" s="58"/>
      <c r="G53" s="58"/>
      <c r="H53" s="58"/>
      <c r="I53" s="93" t="str">
        <f>IF(I52=J52,"Unentschieden",IF(I52&gt;J52,I51,J51))</f>
        <v>Spanien</v>
      </c>
      <c r="J53" s="93"/>
      <c r="K53" s="58"/>
      <c r="L53" s="58"/>
      <c r="M53" s="58"/>
      <c r="N53" s="58"/>
      <c r="O53" s="58"/>
      <c r="P53" s="93" t="str">
        <f>IF(P52=Q52,"Unentschieden",IF(P52&gt;Q52,P51,Q51))</f>
        <v>Frankreich</v>
      </c>
      <c r="Q53" s="93"/>
      <c r="R53" s="58"/>
      <c r="S53" s="58"/>
      <c r="T53" s="58"/>
      <c r="U53" s="58"/>
      <c r="V53" s="58"/>
      <c r="W53" s="93" t="str">
        <f>IF(W52=X52,"Unentschieden",IF(W52&gt;X52,W51,X51))</f>
        <v>Argentinien</v>
      </c>
      <c r="X53" s="93"/>
      <c r="Y53" s="58"/>
      <c r="Z53" s="58"/>
      <c r="AA53" s="58"/>
      <c r="AB53" s="58"/>
      <c r="AC53" s="58"/>
      <c r="AD53" s="93" t="str">
        <f>IF(AD52=AE52,"Unentschieden",IF(AD52&gt;AE52,AD51,AE51))</f>
        <v>Portugal</v>
      </c>
      <c r="AE53" s="93"/>
      <c r="AF53" s="58"/>
      <c r="AG53" s="58"/>
      <c r="AH53" s="58"/>
      <c r="AI53" s="58"/>
      <c r="AJ53" s="58"/>
      <c r="AK53" s="93" t="str">
        <f>IF(AK52=AL52,"Unentschieden",IF(AK52&gt;AL52,AK51,AL51))</f>
        <v>England</v>
      </c>
      <c r="AL53" s="93"/>
      <c r="AM53" s="58"/>
      <c r="AN53" s="58"/>
      <c r="AO53" s="58"/>
      <c r="AP53" s="58"/>
    </row>
    <row r="54" spans="1:42" ht="16.5" customHeight="1" x14ac:dyDescent="0.45">
      <c r="A54" s="58"/>
      <c r="B54" s="61">
        <f>IF(B52=C52,1,IF(B52&gt;C52,3,0))</f>
        <v>3</v>
      </c>
      <c r="C54" s="61">
        <f>IF(C52=B52,1,IF(C52&gt;B52,3,0))</f>
        <v>0</v>
      </c>
      <c r="D54" s="58"/>
      <c r="E54" s="58"/>
      <c r="F54" s="58"/>
      <c r="G54" s="58"/>
      <c r="H54" s="58"/>
      <c r="I54" s="61">
        <f>IF(I52=J52,1,IF(I52&gt;J52,3,0))</f>
        <v>3</v>
      </c>
      <c r="J54" s="61">
        <f>IF(J52=I52,1,IF(J52&gt;I52,3,0))</f>
        <v>0</v>
      </c>
      <c r="K54" s="58"/>
      <c r="L54" s="58"/>
      <c r="M54" s="58"/>
      <c r="N54" s="58"/>
      <c r="O54" s="58"/>
      <c r="P54" s="61">
        <f>IF(P52=Q52,1,IF(P52&gt;Q52,3,0))</f>
        <v>3</v>
      </c>
      <c r="Q54" s="61">
        <f>IF(Q52=P52,1,IF(Q52&gt;P52,3,0))</f>
        <v>0</v>
      </c>
      <c r="R54" s="58"/>
      <c r="S54" s="58"/>
      <c r="T54" s="58"/>
      <c r="U54" s="58"/>
      <c r="V54" s="58"/>
      <c r="W54" s="61">
        <f>IF(W52=X52,1,IF(W52&gt;X52,3,0))</f>
        <v>3</v>
      </c>
      <c r="X54" s="61">
        <f>IF(X52=W52,1,IF(X52&gt;W52,3,0))</f>
        <v>0</v>
      </c>
      <c r="Y54" s="58"/>
      <c r="Z54" s="58"/>
      <c r="AA54" s="58"/>
      <c r="AB54" s="58"/>
      <c r="AC54" s="58"/>
      <c r="AD54" s="61">
        <f>IF(AD52=AE52,1,IF(AD52&gt;AE52,3,0))</f>
        <v>3</v>
      </c>
      <c r="AE54" s="61">
        <f>IF(AE52=AD52,1,IF(AE52&gt;AD52,3,0))</f>
        <v>0</v>
      </c>
      <c r="AF54" s="58"/>
      <c r="AG54" s="58"/>
      <c r="AH54" s="58"/>
      <c r="AI54" s="58"/>
      <c r="AJ54" s="58"/>
      <c r="AK54" s="61">
        <f>IF(AK52=AL52,1,IF(AK52&gt;AL52,3,0))</f>
        <v>3</v>
      </c>
      <c r="AL54" s="61">
        <f>IF(AL52=AK52,1,IF(AL52&gt;AK52,3,0))</f>
        <v>0</v>
      </c>
      <c r="AM54" s="58"/>
      <c r="AN54" s="58"/>
      <c r="AO54" s="58"/>
      <c r="AP54" s="58"/>
    </row>
    <row r="55" spans="1:42" ht="16.5" customHeight="1" x14ac:dyDescent="0.4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row>
    <row r="56" spans="1:42" ht="16.5" customHeight="1" x14ac:dyDescent="0.45">
      <c r="A56" s="58"/>
      <c r="B56" s="61" t="s">
        <v>75</v>
      </c>
      <c r="C56" s="61" t="s">
        <v>76</v>
      </c>
      <c r="D56" s="58"/>
      <c r="E56" s="58"/>
      <c r="F56" s="58"/>
      <c r="G56" s="58"/>
      <c r="H56" s="58"/>
      <c r="I56" s="61" t="s">
        <v>77</v>
      </c>
      <c r="J56" s="61" t="s">
        <v>78</v>
      </c>
      <c r="K56" s="58"/>
      <c r="L56" s="58"/>
      <c r="M56" s="58"/>
      <c r="N56" s="58"/>
      <c r="O56" s="58"/>
      <c r="P56" s="61" t="s">
        <v>79</v>
      </c>
      <c r="Q56" s="61" t="s">
        <v>80</v>
      </c>
      <c r="R56" s="58"/>
      <c r="S56" s="58"/>
      <c r="T56" s="58"/>
      <c r="U56" s="58"/>
      <c r="V56" s="58"/>
      <c r="W56" s="61" t="s">
        <v>81</v>
      </c>
      <c r="X56" s="61" t="s">
        <v>82</v>
      </c>
      <c r="Y56" s="58"/>
      <c r="Z56" s="58"/>
      <c r="AA56" s="58"/>
      <c r="AB56" s="58"/>
      <c r="AC56" s="58"/>
      <c r="AD56" s="61" t="s">
        <v>83</v>
      </c>
      <c r="AE56" s="61" t="s">
        <v>84</v>
      </c>
      <c r="AF56" s="58"/>
      <c r="AG56" s="58"/>
      <c r="AH56" s="58"/>
      <c r="AI56" s="58"/>
      <c r="AJ56" s="58"/>
      <c r="AK56" s="61" t="s">
        <v>85</v>
      </c>
      <c r="AL56" s="61" t="s">
        <v>86</v>
      </c>
      <c r="AM56" s="58"/>
      <c r="AN56" s="58"/>
      <c r="AO56" s="58"/>
      <c r="AP56" s="58"/>
    </row>
    <row r="57" spans="1:42" ht="16.5" customHeight="1" x14ac:dyDescent="0.45">
      <c r="A57" s="58"/>
      <c r="B57" s="62">
        <v>1</v>
      </c>
      <c r="C57" s="62">
        <v>0</v>
      </c>
      <c r="D57" s="58"/>
      <c r="E57" s="58"/>
      <c r="F57" s="58"/>
      <c r="G57" s="58"/>
      <c r="H57" s="58"/>
      <c r="I57" s="62">
        <v>0</v>
      </c>
      <c r="J57" s="62">
        <v>2</v>
      </c>
      <c r="K57" s="58"/>
      <c r="L57" s="58"/>
      <c r="M57" s="58"/>
      <c r="N57" s="58"/>
      <c r="O57" s="58"/>
      <c r="P57" s="62">
        <v>0</v>
      </c>
      <c r="Q57" s="62">
        <v>3</v>
      </c>
      <c r="R57" s="58"/>
      <c r="S57" s="58"/>
      <c r="T57" s="58"/>
      <c r="U57" s="58"/>
      <c r="V57" s="58"/>
      <c r="W57" s="62">
        <v>2</v>
      </c>
      <c r="X57" s="62">
        <v>0</v>
      </c>
      <c r="Y57" s="58"/>
      <c r="Z57" s="58"/>
      <c r="AA57" s="58"/>
      <c r="AB57" s="58"/>
      <c r="AC57" s="58"/>
      <c r="AD57" s="62">
        <v>0</v>
      </c>
      <c r="AE57" s="62">
        <v>2</v>
      </c>
      <c r="AF57" s="58"/>
      <c r="AG57" s="58"/>
      <c r="AH57" s="58"/>
      <c r="AI57" s="58"/>
      <c r="AJ57" s="58"/>
      <c r="AK57" s="62">
        <v>1</v>
      </c>
      <c r="AL57" s="62">
        <v>0</v>
      </c>
      <c r="AM57" s="58"/>
      <c r="AN57" s="58"/>
      <c r="AO57" s="58"/>
      <c r="AP57" s="58"/>
    </row>
    <row r="58" spans="1:42" ht="16.5" customHeight="1" x14ac:dyDescent="0.45">
      <c r="A58" s="58"/>
      <c r="B58" s="93" t="str">
        <f>IF(B57=C57,"Unentschieden",IF(B57&gt;C57,B56,C56))</f>
        <v>Iran</v>
      </c>
      <c r="C58" s="93"/>
      <c r="D58" s="58"/>
      <c r="E58" s="58"/>
      <c r="F58" s="58"/>
      <c r="G58" s="58"/>
      <c r="H58" s="58"/>
      <c r="I58" s="93" t="str">
        <f>IF(I57=J57,"Unentschieden",IF(I57&gt;J57,I56,J56))</f>
        <v>Uruguay</v>
      </c>
      <c r="J58" s="93"/>
      <c r="K58" s="58"/>
      <c r="L58" s="58"/>
      <c r="M58" s="58"/>
      <c r="N58" s="58"/>
      <c r="O58" s="58"/>
      <c r="P58" s="93" t="str">
        <f>IF(P57=Q57,"Unentschieden",IF(P57&gt;Q57,P56,Q56))</f>
        <v>Norwegen</v>
      </c>
      <c r="Q58" s="93"/>
      <c r="R58" s="58"/>
      <c r="S58" s="58"/>
      <c r="T58" s="58"/>
      <c r="U58" s="58"/>
      <c r="V58" s="58"/>
      <c r="W58" s="93" t="str">
        <f>IF(W57=X57,"Unentschieden",IF(W57&gt;X57,W56,X56))</f>
        <v>Österreich</v>
      </c>
      <c r="X58" s="93"/>
      <c r="Y58" s="58"/>
      <c r="Z58" s="58"/>
      <c r="AA58" s="58"/>
      <c r="AB58" s="58"/>
      <c r="AC58" s="58"/>
      <c r="AD58" s="93" t="str">
        <f>IF(AD57=AE57,"Unentschieden",IF(AD57&gt;AE57,AD56,AE56))</f>
        <v>Kolumbien</v>
      </c>
      <c r="AE58" s="93"/>
      <c r="AF58" s="58"/>
      <c r="AG58" s="58"/>
      <c r="AH58" s="58"/>
      <c r="AI58" s="58"/>
      <c r="AJ58" s="58"/>
      <c r="AK58" s="93" t="str">
        <f>IF(AK57=AL57,"Unentschieden",IF(AK57&gt;AL57,AK56,AL56))</f>
        <v>Ghana</v>
      </c>
      <c r="AL58" s="93"/>
      <c r="AM58" s="58"/>
      <c r="AN58" s="58"/>
      <c r="AO58" s="58"/>
      <c r="AP58" s="58"/>
    </row>
    <row r="59" spans="1:42" ht="16.5" customHeight="1" x14ac:dyDescent="0.45">
      <c r="A59" s="58"/>
      <c r="B59" s="61">
        <f>IF(B57=C57,1,IF(B57&gt;C57,3,0))</f>
        <v>3</v>
      </c>
      <c r="C59" s="61">
        <f>IF(C57=B57,1,IF(C57&gt;B57,3,0))</f>
        <v>0</v>
      </c>
      <c r="D59" s="58"/>
      <c r="E59" s="58"/>
      <c r="F59" s="58"/>
      <c r="G59" s="58"/>
      <c r="H59" s="58"/>
      <c r="I59" s="61">
        <f>IF(I57=J57,1,IF(I57&gt;J57,3,0))</f>
        <v>0</v>
      </c>
      <c r="J59" s="61">
        <f>IF(J57=I57,1,IF(J57&gt;I57,3,0))</f>
        <v>3</v>
      </c>
      <c r="K59" s="58"/>
      <c r="L59" s="58"/>
      <c r="M59" s="58"/>
      <c r="N59" s="58"/>
      <c r="O59" s="58"/>
      <c r="P59" s="61">
        <f>IF(P57=Q57,1,IF(P57&gt;Q57,3,0))</f>
        <v>0</v>
      </c>
      <c r="Q59" s="61">
        <f>IF(Q57=P57,1,IF(Q57&gt;P57,3,0))</f>
        <v>3</v>
      </c>
      <c r="R59" s="58"/>
      <c r="S59" s="58"/>
      <c r="T59" s="58"/>
      <c r="U59" s="58"/>
      <c r="V59" s="58"/>
      <c r="W59" s="61">
        <f>IF(W57=X57,1,IF(W57&gt;X57,3,0))</f>
        <v>3</v>
      </c>
      <c r="X59" s="61">
        <f>IF(X57=W57,1,IF(X57&gt;W57,3,0))</f>
        <v>0</v>
      </c>
      <c r="Y59" s="58"/>
      <c r="Z59" s="58"/>
      <c r="AA59" s="58"/>
      <c r="AB59" s="58"/>
      <c r="AC59" s="58"/>
      <c r="AD59" s="61">
        <f>IF(AD57=AE57,1,IF(AD57&gt;AE57,3,0))</f>
        <v>0</v>
      </c>
      <c r="AE59" s="61">
        <f>IF(AE57=AD57,1,IF(AE57&gt;AD57,3,0))</f>
        <v>3</v>
      </c>
      <c r="AF59" s="58"/>
      <c r="AG59" s="58"/>
      <c r="AH59" s="58"/>
      <c r="AI59" s="58"/>
      <c r="AJ59" s="58"/>
      <c r="AK59" s="61">
        <f>IF(AK57=AL57,1,IF(AK57&gt;AL57,3,0))</f>
        <v>3</v>
      </c>
      <c r="AL59" s="61">
        <f>IF(AL57=AK57,1,IF(AL57&gt;AK57,3,0))</f>
        <v>0</v>
      </c>
      <c r="AM59" s="58"/>
      <c r="AN59" s="58"/>
      <c r="AO59" s="58"/>
      <c r="AP59" s="58"/>
    </row>
    <row r="60" spans="1:42" ht="16.5" customHeight="1" x14ac:dyDescent="0.45">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row>
    <row r="61" spans="1:42" ht="16.5" customHeight="1" x14ac:dyDescent="0.45">
      <c r="A61" s="58"/>
      <c r="B61" s="92" t="s">
        <v>49</v>
      </c>
      <c r="C61" s="92"/>
      <c r="D61" s="58"/>
      <c r="E61" s="58"/>
      <c r="F61" s="58"/>
      <c r="G61" s="58"/>
      <c r="H61" s="58"/>
      <c r="I61" s="92" t="s">
        <v>49</v>
      </c>
      <c r="J61" s="92"/>
      <c r="K61" s="58"/>
      <c r="L61" s="58"/>
      <c r="M61" s="58"/>
      <c r="N61" s="58"/>
      <c r="O61" s="58"/>
      <c r="P61" s="92" t="s">
        <v>49</v>
      </c>
      <c r="Q61" s="92"/>
      <c r="R61" s="58"/>
      <c r="S61" s="58"/>
      <c r="T61" s="58"/>
      <c r="U61" s="58"/>
      <c r="V61" s="58"/>
      <c r="W61" s="92" t="s">
        <v>49</v>
      </c>
      <c r="X61" s="92"/>
      <c r="Y61" s="58"/>
      <c r="Z61" s="58"/>
      <c r="AA61" s="58"/>
      <c r="AB61" s="58"/>
      <c r="AC61" s="58"/>
      <c r="AD61" s="92" t="s">
        <v>49</v>
      </c>
      <c r="AE61" s="92"/>
      <c r="AF61" s="58"/>
      <c r="AG61" s="58"/>
      <c r="AH61" s="58"/>
      <c r="AI61" s="58"/>
      <c r="AJ61" s="58"/>
      <c r="AK61" s="92" t="s">
        <v>49</v>
      </c>
      <c r="AL61" s="92"/>
      <c r="AM61" s="58"/>
      <c r="AN61" s="58"/>
      <c r="AO61" s="58"/>
      <c r="AP61" s="58"/>
    </row>
    <row r="62" spans="1:42" ht="16.5" customHeight="1" x14ac:dyDescent="0.45">
      <c r="A62" s="58"/>
      <c r="B62" s="61" t="s">
        <v>63</v>
      </c>
      <c r="C62" s="61" t="s">
        <v>75</v>
      </c>
      <c r="D62" s="58"/>
      <c r="E62" s="58"/>
      <c r="F62" s="58"/>
      <c r="G62" s="58"/>
      <c r="H62" s="58"/>
      <c r="I62" s="61" t="s">
        <v>65</v>
      </c>
      <c r="J62" s="61" t="s">
        <v>77</v>
      </c>
      <c r="K62" s="58"/>
      <c r="L62" s="58"/>
      <c r="M62" s="58"/>
      <c r="N62" s="58"/>
      <c r="O62" s="58"/>
      <c r="P62" s="61" t="s">
        <v>67</v>
      </c>
      <c r="Q62" s="61" t="s">
        <v>79</v>
      </c>
      <c r="R62" s="58"/>
      <c r="S62" s="58"/>
      <c r="T62" s="58"/>
      <c r="U62" s="58"/>
      <c r="V62" s="58"/>
      <c r="W62" s="61" t="s">
        <v>69</v>
      </c>
      <c r="X62" s="61" t="s">
        <v>81</v>
      </c>
      <c r="Y62" s="58"/>
      <c r="Z62" s="58"/>
      <c r="AA62" s="58"/>
      <c r="AB62" s="58"/>
      <c r="AC62" s="58"/>
      <c r="AD62" s="61" t="s">
        <v>71</v>
      </c>
      <c r="AE62" s="61" t="s">
        <v>83</v>
      </c>
      <c r="AF62" s="58"/>
      <c r="AG62" s="58"/>
      <c r="AH62" s="58"/>
      <c r="AI62" s="58"/>
      <c r="AJ62" s="58"/>
      <c r="AK62" s="61" t="s">
        <v>73</v>
      </c>
      <c r="AL62" s="61" t="s">
        <v>85</v>
      </c>
      <c r="AM62" s="58"/>
      <c r="AN62" s="58"/>
      <c r="AO62" s="58"/>
      <c r="AP62" s="58"/>
    </row>
    <row r="63" spans="1:42" ht="16.5" customHeight="1" x14ac:dyDescent="0.45">
      <c r="A63" s="58"/>
      <c r="B63" s="62">
        <v>2</v>
      </c>
      <c r="C63" s="62">
        <v>0</v>
      </c>
      <c r="D63" s="58"/>
      <c r="E63" s="58"/>
      <c r="F63" s="58"/>
      <c r="G63" s="58"/>
      <c r="H63" s="58"/>
      <c r="I63" s="62">
        <v>3</v>
      </c>
      <c r="J63" s="62">
        <v>0</v>
      </c>
      <c r="K63" s="58"/>
      <c r="L63" s="58"/>
      <c r="M63" s="58"/>
      <c r="N63" s="58"/>
      <c r="O63" s="58"/>
      <c r="P63" s="62">
        <v>3</v>
      </c>
      <c r="Q63" s="62">
        <v>0</v>
      </c>
      <c r="R63" s="58"/>
      <c r="S63" s="58"/>
      <c r="T63" s="58"/>
      <c r="U63" s="58"/>
      <c r="V63" s="58"/>
      <c r="W63" s="62">
        <v>2</v>
      </c>
      <c r="X63" s="62">
        <v>1</v>
      </c>
      <c r="Y63" s="58"/>
      <c r="Z63" s="58"/>
      <c r="AA63" s="58"/>
      <c r="AB63" s="58"/>
      <c r="AC63" s="58"/>
      <c r="AD63" s="62">
        <v>2</v>
      </c>
      <c r="AE63" s="62">
        <v>0</v>
      </c>
      <c r="AF63" s="58"/>
      <c r="AG63" s="58"/>
      <c r="AH63" s="58"/>
      <c r="AI63" s="58"/>
      <c r="AJ63" s="58"/>
      <c r="AK63" s="62">
        <v>2</v>
      </c>
      <c r="AL63" s="62">
        <v>0</v>
      </c>
      <c r="AM63" s="58"/>
      <c r="AN63" s="58"/>
      <c r="AO63" s="58"/>
      <c r="AP63" s="58"/>
    </row>
    <row r="64" spans="1:42" ht="16.5" customHeight="1" x14ac:dyDescent="0.45">
      <c r="A64" s="58"/>
      <c r="B64" s="93" t="str">
        <f>IF(B63=C63,"Unentschieden",IF(B63&gt;C63,B62,C62))</f>
        <v>Belgien</v>
      </c>
      <c r="C64" s="93"/>
      <c r="D64" s="58"/>
      <c r="E64" s="58"/>
      <c r="F64" s="58"/>
      <c r="G64" s="58"/>
      <c r="H64" s="58"/>
      <c r="I64" s="93" t="str">
        <f>IF(I63=J63,"Unentschieden",IF(I63&gt;J63,I62,J62))</f>
        <v>Spanien</v>
      </c>
      <c r="J64" s="93"/>
      <c r="K64" s="58"/>
      <c r="L64" s="58"/>
      <c r="M64" s="58"/>
      <c r="N64" s="58"/>
      <c r="O64" s="58"/>
      <c r="P64" s="93" t="str">
        <f>IF(P63=Q63,"Unentschieden",IF(P63&gt;Q63,P62,Q62))</f>
        <v>Frankreich</v>
      </c>
      <c r="Q64" s="93"/>
      <c r="R64" s="58"/>
      <c r="S64" s="58"/>
      <c r="T64" s="58"/>
      <c r="U64" s="58"/>
      <c r="V64" s="58"/>
      <c r="W64" s="93" t="str">
        <f>IF(W63=X63,"Unentschieden",IF(W63&gt;X63,W62,X62))</f>
        <v>Argentinien</v>
      </c>
      <c r="X64" s="93"/>
      <c r="Y64" s="58"/>
      <c r="Z64" s="58"/>
      <c r="AA64" s="58"/>
      <c r="AB64" s="58"/>
      <c r="AC64" s="58"/>
      <c r="AD64" s="93" t="str">
        <f>IF(AD63=AE63,"Unentschieden",IF(AD63&gt;AE63,AD62,AE62))</f>
        <v>Portugal</v>
      </c>
      <c r="AE64" s="93"/>
      <c r="AF64" s="58"/>
      <c r="AG64" s="58"/>
      <c r="AH64" s="58"/>
      <c r="AI64" s="58"/>
      <c r="AJ64" s="58"/>
      <c r="AK64" s="93" t="str">
        <f>IF(AK63=AL63,"Unentschieden",IF(AK63&gt;AL63,AK62,AL62))</f>
        <v>England</v>
      </c>
      <c r="AL64" s="93"/>
      <c r="AM64" s="58"/>
      <c r="AN64" s="58"/>
      <c r="AO64" s="58"/>
      <c r="AP64" s="58"/>
    </row>
    <row r="65" spans="1:42" ht="16.5" customHeight="1" x14ac:dyDescent="0.45">
      <c r="A65" s="58"/>
      <c r="B65" s="61">
        <f>IF(B63=C63,1,IF(B63&gt;C63,3,0))</f>
        <v>3</v>
      </c>
      <c r="C65" s="61">
        <f>IF(C63=B63,1,IF(C63&gt;B63,3,0))</f>
        <v>0</v>
      </c>
      <c r="D65" s="58"/>
      <c r="E65" s="58"/>
      <c r="F65" s="58"/>
      <c r="G65" s="58"/>
      <c r="H65" s="58"/>
      <c r="I65" s="61">
        <f>IF(I63=J63,1,IF(I63&gt;J63,3,0))</f>
        <v>3</v>
      </c>
      <c r="J65" s="61">
        <f>IF(J63=I63,1,IF(J63&gt;I63,3,0))</f>
        <v>0</v>
      </c>
      <c r="K65" s="58"/>
      <c r="L65" s="58"/>
      <c r="M65" s="58"/>
      <c r="N65" s="58"/>
      <c r="O65" s="58"/>
      <c r="P65" s="61">
        <f>IF(P63=Q63,1,IF(P63&gt;Q63,3,0))</f>
        <v>3</v>
      </c>
      <c r="Q65" s="61">
        <f>IF(Q63=P63,1,IF(Q63&gt;P63,3,0))</f>
        <v>0</v>
      </c>
      <c r="R65" s="58"/>
      <c r="S65" s="58"/>
      <c r="T65" s="58"/>
      <c r="U65" s="58"/>
      <c r="V65" s="58"/>
      <c r="W65" s="61">
        <f>IF(W63=X63,1,IF(W63&gt;X63,3,0))</f>
        <v>3</v>
      </c>
      <c r="X65" s="61">
        <f>IF(X63=W63,1,IF(X63&gt;W63,3,0))</f>
        <v>0</v>
      </c>
      <c r="Y65" s="58"/>
      <c r="Z65" s="58"/>
      <c r="AA65" s="58"/>
      <c r="AB65" s="58"/>
      <c r="AC65" s="58"/>
      <c r="AD65" s="61">
        <f>IF(AD63=AE63,1,IF(AD63&gt;AE63,3,0))</f>
        <v>3</v>
      </c>
      <c r="AE65" s="61">
        <f>IF(AE63=AD63,1,IF(AE63&gt;AD63,3,0))</f>
        <v>0</v>
      </c>
      <c r="AF65" s="58"/>
      <c r="AG65" s="58"/>
      <c r="AH65" s="58"/>
      <c r="AI65" s="58"/>
      <c r="AJ65" s="58"/>
      <c r="AK65" s="61">
        <f>IF(AK63=AL63,1,IF(AK63&gt;AL63,3,0))</f>
        <v>3</v>
      </c>
      <c r="AL65" s="61">
        <f>IF(AL63=AK63,1,IF(AL63&gt;AK63,3,0))</f>
        <v>0</v>
      </c>
      <c r="AM65" s="58"/>
      <c r="AN65" s="58"/>
      <c r="AO65" s="58"/>
      <c r="AP65" s="58"/>
    </row>
    <row r="66" spans="1:42" ht="16.5" customHeight="1" x14ac:dyDescent="0.45">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row>
    <row r="67" spans="1:42" ht="16.5" customHeight="1" x14ac:dyDescent="0.45">
      <c r="A67" s="58"/>
      <c r="B67" s="61" t="s">
        <v>76</v>
      </c>
      <c r="C67" s="61" t="s">
        <v>64</v>
      </c>
      <c r="D67" s="58"/>
      <c r="E67" s="58"/>
      <c r="F67" s="58"/>
      <c r="G67" s="58"/>
      <c r="H67" s="58"/>
      <c r="I67" s="61" t="s">
        <v>78</v>
      </c>
      <c r="J67" s="61" t="s">
        <v>66</v>
      </c>
      <c r="K67" s="58"/>
      <c r="L67" s="58"/>
      <c r="M67" s="58"/>
      <c r="N67" s="58"/>
      <c r="O67" s="58"/>
      <c r="P67" s="61" t="s">
        <v>80</v>
      </c>
      <c r="Q67" s="61" t="s">
        <v>68</v>
      </c>
      <c r="R67" s="58"/>
      <c r="S67" s="58"/>
      <c r="T67" s="58"/>
      <c r="U67" s="58"/>
      <c r="V67" s="58"/>
      <c r="W67" s="61" t="s">
        <v>82</v>
      </c>
      <c r="X67" s="61" t="s">
        <v>70</v>
      </c>
      <c r="Y67" s="58"/>
      <c r="Z67" s="58"/>
      <c r="AA67" s="58"/>
      <c r="AB67" s="58"/>
      <c r="AC67" s="58"/>
      <c r="AD67" s="61" t="s">
        <v>84</v>
      </c>
      <c r="AE67" s="61" t="s">
        <v>72</v>
      </c>
      <c r="AF67" s="58"/>
      <c r="AG67" s="58"/>
      <c r="AH67" s="58"/>
      <c r="AI67" s="58"/>
      <c r="AJ67" s="58"/>
      <c r="AK67" s="61" t="s">
        <v>86</v>
      </c>
      <c r="AL67" s="61" t="s">
        <v>74</v>
      </c>
      <c r="AM67" s="58"/>
      <c r="AN67" s="58"/>
      <c r="AO67" s="58"/>
      <c r="AP67" s="58"/>
    </row>
    <row r="68" spans="1:42" ht="16.5" customHeight="1" x14ac:dyDescent="0.45">
      <c r="A68" s="58"/>
      <c r="B68" s="62">
        <v>0</v>
      </c>
      <c r="C68" s="62">
        <v>2</v>
      </c>
      <c r="D68" s="58"/>
      <c r="E68" s="58"/>
      <c r="F68" s="58"/>
      <c r="G68" s="58"/>
      <c r="H68" s="58"/>
      <c r="I68" s="62">
        <v>2</v>
      </c>
      <c r="J68" s="62">
        <v>0</v>
      </c>
      <c r="K68" s="58"/>
      <c r="L68" s="58"/>
      <c r="M68" s="58"/>
      <c r="N68" s="58"/>
      <c r="O68" s="58"/>
      <c r="P68" s="62">
        <v>2</v>
      </c>
      <c r="Q68" s="62">
        <v>1</v>
      </c>
      <c r="R68" s="58"/>
      <c r="S68" s="58"/>
      <c r="T68" s="58"/>
      <c r="U68" s="58"/>
      <c r="V68" s="58"/>
      <c r="W68" s="62">
        <v>0</v>
      </c>
      <c r="X68" s="62">
        <v>1</v>
      </c>
      <c r="Y68" s="58"/>
      <c r="Z68" s="58"/>
      <c r="AA68" s="58"/>
      <c r="AB68" s="58"/>
      <c r="AC68" s="58"/>
      <c r="AD68" s="62">
        <v>2</v>
      </c>
      <c r="AE68" s="62">
        <v>0</v>
      </c>
      <c r="AF68" s="58"/>
      <c r="AG68" s="58"/>
      <c r="AH68" s="58"/>
      <c r="AI68" s="58"/>
      <c r="AJ68" s="58"/>
      <c r="AK68" s="62">
        <v>0</v>
      </c>
      <c r="AL68" s="62">
        <v>2</v>
      </c>
      <c r="AM68" s="58"/>
      <c r="AN68" s="58"/>
      <c r="AO68" s="58"/>
      <c r="AP68" s="58"/>
    </row>
    <row r="69" spans="1:42" ht="16.5" customHeight="1" x14ac:dyDescent="0.45">
      <c r="A69" s="58"/>
      <c r="B69" s="93" t="str">
        <f>IF(B68=C68,"Unentschieden",IF(B68&gt;C68,B67,C67))</f>
        <v>Ägypten</v>
      </c>
      <c r="C69" s="93"/>
      <c r="D69" s="58"/>
      <c r="E69" s="58"/>
      <c r="F69" s="58"/>
      <c r="G69" s="58"/>
      <c r="H69" s="58"/>
      <c r="I69" s="93" t="str">
        <f>IF(I68=J68,"Unentschieden",IF(I68&gt;J68,I67,J67))</f>
        <v>Uruguay</v>
      </c>
      <c r="J69" s="93"/>
      <c r="K69" s="58"/>
      <c r="L69" s="58"/>
      <c r="M69" s="58"/>
      <c r="N69" s="58"/>
      <c r="O69" s="58"/>
      <c r="P69" s="93" t="str">
        <f>IF(P68=Q68,"Unentschieden",IF(P68&gt;Q68,P67,Q67))</f>
        <v>Norwegen</v>
      </c>
      <c r="Q69" s="93"/>
      <c r="R69" s="58"/>
      <c r="S69" s="58"/>
      <c r="T69" s="58"/>
      <c r="U69" s="58"/>
      <c r="V69" s="58"/>
      <c r="W69" s="93" t="str">
        <f>IF(W68=X68,"Unentschieden",IF(W68&gt;X68,W67,X67))</f>
        <v>Algerien</v>
      </c>
      <c r="X69" s="93"/>
      <c r="Y69" s="58"/>
      <c r="Z69" s="58"/>
      <c r="AA69" s="58"/>
      <c r="AB69" s="58"/>
      <c r="AC69" s="58"/>
      <c r="AD69" s="93" t="str">
        <f>IF(AD68=AE68,"Unentschieden",IF(AD68&gt;AE68,AD67,AE67))</f>
        <v>Kolumbien</v>
      </c>
      <c r="AE69" s="93"/>
      <c r="AF69" s="58"/>
      <c r="AG69" s="58"/>
      <c r="AH69" s="58"/>
      <c r="AI69" s="58"/>
      <c r="AJ69" s="58"/>
      <c r="AK69" s="93" t="str">
        <f>IF(AK68=AL68,"Unentschieden",IF(AK68&gt;AL68,AK67,AL67))</f>
        <v>Kroatien</v>
      </c>
      <c r="AL69" s="93"/>
      <c r="AM69" s="58"/>
      <c r="AN69" s="58"/>
      <c r="AO69" s="58"/>
      <c r="AP69" s="58"/>
    </row>
    <row r="70" spans="1:42" ht="16.5" customHeight="1" x14ac:dyDescent="0.45">
      <c r="A70" s="58"/>
      <c r="B70" s="61">
        <f>IF(B68=C68,1,IF(B68&gt;C68,3,0))</f>
        <v>0</v>
      </c>
      <c r="C70" s="61">
        <f>IF(C68=B68,1,IF(C68&gt;B68,3,0))</f>
        <v>3</v>
      </c>
      <c r="D70" s="58"/>
      <c r="E70" s="58"/>
      <c r="F70" s="58"/>
      <c r="G70" s="58"/>
      <c r="H70" s="58"/>
      <c r="I70" s="61">
        <f>IF(I68=J68,1,IF(I68&gt;J68,3,0))</f>
        <v>3</v>
      </c>
      <c r="J70" s="61">
        <f>IF(J68=I68,1,IF(J68&gt;I68,3,0))</f>
        <v>0</v>
      </c>
      <c r="K70" s="58"/>
      <c r="L70" s="58"/>
      <c r="M70" s="58"/>
      <c r="N70" s="58"/>
      <c r="O70" s="58"/>
      <c r="P70" s="61">
        <f>IF(P68=Q68,1,IF(P68&gt;Q68,3,0))</f>
        <v>3</v>
      </c>
      <c r="Q70" s="61">
        <f>IF(Q68=P68,1,IF(Q68&gt;P68,3,0))</f>
        <v>0</v>
      </c>
      <c r="R70" s="58"/>
      <c r="S70" s="58"/>
      <c r="T70" s="58"/>
      <c r="U70" s="58"/>
      <c r="V70" s="58"/>
      <c r="W70" s="61">
        <f>IF(W68=X68,1,IF(W68&gt;X68,3,0))</f>
        <v>0</v>
      </c>
      <c r="X70" s="61">
        <f>IF(X68=W68,1,IF(X68&gt;W68,3,0))</f>
        <v>3</v>
      </c>
      <c r="Y70" s="58"/>
      <c r="Z70" s="58"/>
      <c r="AA70" s="58"/>
      <c r="AB70" s="58"/>
      <c r="AC70" s="58"/>
      <c r="AD70" s="61">
        <f>IF(AD68=AE68,1,IF(AD68&gt;AE68,3,0))</f>
        <v>3</v>
      </c>
      <c r="AE70" s="61">
        <f>IF(AE68=AD68,1,IF(AE68&gt;AD68,3,0))</f>
        <v>0</v>
      </c>
      <c r="AF70" s="58"/>
      <c r="AG70" s="58"/>
      <c r="AH70" s="58"/>
      <c r="AI70" s="58"/>
      <c r="AJ70" s="58"/>
      <c r="AK70" s="61">
        <f>IF(AK68=AL68,1,IF(AK68&gt;AL68,3,0))</f>
        <v>0</v>
      </c>
      <c r="AL70" s="61">
        <f>IF(AL68=AK68,1,IF(AL68&gt;AK68,3,0))</f>
        <v>3</v>
      </c>
      <c r="AM70" s="58"/>
      <c r="AN70" s="58"/>
      <c r="AO70" s="58"/>
      <c r="AP70" s="58"/>
    </row>
    <row r="71" spans="1:42" ht="17.25" customHeight="1" x14ac:dyDescent="0.45">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row>
    <row r="72" spans="1:42" ht="17.25" customHeight="1" x14ac:dyDescent="0.45">
      <c r="A72" s="58"/>
      <c r="B72" s="92" t="s">
        <v>50</v>
      </c>
      <c r="C72" s="92"/>
      <c r="D72" s="58"/>
      <c r="E72" s="58"/>
      <c r="F72" s="58"/>
      <c r="G72" s="58"/>
      <c r="H72" s="58"/>
      <c r="I72" s="92" t="s">
        <v>50</v>
      </c>
      <c r="J72" s="92"/>
      <c r="K72" s="58"/>
      <c r="L72" s="58"/>
      <c r="M72" s="58"/>
      <c r="N72" s="58"/>
      <c r="O72" s="58"/>
      <c r="P72" s="92" t="s">
        <v>50</v>
      </c>
      <c r="Q72" s="92"/>
      <c r="R72" s="58"/>
      <c r="S72" s="58"/>
      <c r="T72" s="58"/>
      <c r="U72" s="58"/>
      <c r="V72" s="58"/>
      <c r="W72" s="92" t="s">
        <v>50</v>
      </c>
      <c r="X72" s="92"/>
      <c r="Y72" s="58"/>
      <c r="Z72" s="58"/>
      <c r="AA72" s="58"/>
      <c r="AB72" s="58"/>
      <c r="AC72" s="58"/>
      <c r="AD72" s="92" t="s">
        <v>50</v>
      </c>
      <c r="AE72" s="92"/>
      <c r="AF72" s="58"/>
      <c r="AG72" s="58"/>
      <c r="AH72" s="58"/>
      <c r="AI72" s="58"/>
      <c r="AJ72" s="58"/>
      <c r="AK72" s="92" t="s">
        <v>50</v>
      </c>
      <c r="AL72" s="92"/>
      <c r="AM72" s="58"/>
      <c r="AN72" s="58"/>
      <c r="AO72" s="58"/>
      <c r="AP72" s="58"/>
    </row>
    <row r="73" spans="1:42" ht="17.25" customHeight="1" x14ac:dyDescent="0.45">
      <c r="A73" s="58"/>
      <c r="B73" s="61" t="s">
        <v>76</v>
      </c>
      <c r="C73" s="61" t="s">
        <v>63</v>
      </c>
      <c r="D73" s="58"/>
      <c r="E73" s="58"/>
      <c r="F73" s="58"/>
      <c r="G73" s="58"/>
      <c r="H73" s="58"/>
      <c r="I73" s="61" t="s">
        <v>78</v>
      </c>
      <c r="J73" s="61" t="s">
        <v>65</v>
      </c>
      <c r="K73" s="58"/>
      <c r="L73" s="58"/>
      <c r="M73" s="58"/>
      <c r="N73" s="58"/>
      <c r="O73" s="58"/>
      <c r="P73" s="61" t="s">
        <v>80</v>
      </c>
      <c r="Q73" s="61" t="s">
        <v>67</v>
      </c>
      <c r="R73" s="58"/>
      <c r="S73" s="58"/>
      <c r="T73" s="58"/>
      <c r="U73" s="58"/>
      <c r="V73" s="58"/>
      <c r="W73" s="61" t="s">
        <v>82</v>
      </c>
      <c r="X73" s="61" t="s">
        <v>69</v>
      </c>
      <c r="Y73" s="58"/>
      <c r="Z73" s="58"/>
      <c r="AA73" s="58"/>
      <c r="AB73" s="58"/>
      <c r="AC73" s="58"/>
      <c r="AD73" s="61" t="s">
        <v>84</v>
      </c>
      <c r="AE73" s="61" t="s">
        <v>71</v>
      </c>
      <c r="AF73" s="58"/>
      <c r="AG73" s="58"/>
      <c r="AH73" s="58"/>
      <c r="AI73" s="58"/>
      <c r="AJ73" s="58"/>
      <c r="AK73" s="61" t="s">
        <v>86</v>
      </c>
      <c r="AL73" s="61" t="s">
        <v>73</v>
      </c>
      <c r="AM73" s="58"/>
      <c r="AN73" s="58"/>
      <c r="AO73" s="58"/>
      <c r="AP73" s="58"/>
    </row>
    <row r="74" spans="1:42" ht="17.25" customHeight="1" x14ac:dyDescent="0.45">
      <c r="A74" s="58"/>
      <c r="B74" s="62">
        <v>0</v>
      </c>
      <c r="C74" s="62">
        <v>3</v>
      </c>
      <c r="D74" s="58"/>
      <c r="E74" s="58"/>
      <c r="F74" s="58"/>
      <c r="G74" s="58"/>
      <c r="H74" s="58"/>
      <c r="I74" s="62">
        <v>0</v>
      </c>
      <c r="J74" s="62">
        <v>2</v>
      </c>
      <c r="K74" s="58"/>
      <c r="L74" s="58"/>
      <c r="M74" s="58"/>
      <c r="N74" s="58"/>
      <c r="O74" s="58"/>
      <c r="P74" s="62">
        <v>1</v>
      </c>
      <c r="Q74" s="62">
        <v>2</v>
      </c>
      <c r="R74" s="58"/>
      <c r="S74" s="58"/>
      <c r="T74" s="58"/>
      <c r="U74" s="58"/>
      <c r="V74" s="58"/>
      <c r="W74" s="62">
        <v>0</v>
      </c>
      <c r="X74" s="62">
        <v>3</v>
      </c>
      <c r="Y74" s="58"/>
      <c r="Z74" s="58"/>
      <c r="AA74" s="58"/>
      <c r="AB74" s="58"/>
      <c r="AC74" s="58"/>
      <c r="AD74" s="62">
        <v>1</v>
      </c>
      <c r="AE74" s="62">
        <v>2</v>
      </c>
      <c r="AF74" s="58"/>
      <c r="AG74" s="58"/>
      <c r="AH74" s="58"/>
      <c r="AI74" s="58"/>
      <c r="AJ74" s="58"/>
      <c r="AK74" s="62">
        <v>0</v>
      </c>
      <c r="AL74" s="62">
        <v>3</v>
      </c>
      <c r="AM74" s="58"/>
      <c r="AN74" s="58"/>
      <c r="AO74" s="58"/>
      <c r="AP74" s="58"/>
    </row>
    <row r="75" spans="1:42" ht="17.25" customHeight="1" x14ac:dyDescent="0.45">
      <c r="A75" s="58"/>
      <c r="B75" s="93" t="str">
        <f>IF(B74=C74,"Unentschieden",IF(B74&gt;C74,B73,C73))</f>
        <v>Belgien</v>
      </c>
      <c r="C75" s="93"/>
      <c r="D75" s="58"/>
      <c r="E75" s="58"/>
      <c r="F75" s="58"/>
      <c r="G75" s="58"/>
      <c r="H75" s="58"/>
      <c r="I75" s="93" t="str">
        <f>IF(I74=J74,"Unentschieden",IF(I74&gt;J74,I73,J73))</f>
        <v>Spanien</v>
      </c>
      <c r="J75" s="93"/>
      <c r="K75" s="58"/>
      <c r="L75" s="58"/>
      <c r="M75" s="58"/>
      <c r="N75" s="58"/>
      <c r="O75" s="58"/>
      <c r="P75" s="93" t="str">
        <f>IF(P74=Q74,"Unentschieden",IF(P74&gt;Q74,P73,Q73))</f>
        <v>Frankreich</v>
      </c>
      <c r="Q75" s="93"/>
      <c r="R75" s="58"/>
      <c r="S75" s="58"/>
      <c r="T75" s="58"/>
      <c r="U75" s="58"/>
      <c r="V75" s="58"/>
      <c r="W75" s="93" t="str">
        <f>IF(W74=X74,"Unentschieden",IF(W74&gt;X74,W73,X73))</f>
        <v>Argentinien</v>
      </c>
      <c r="X75" s="93"/>
      <c r="Y75" s="58"/>
      <c r="Z75" s="58"/>
      <c r="AA75" s="58"/>
      <c r="AB75" s="58"/>
      <c r="AC75" s="58"/>
      <c r="AD75" s="93" t="str">
        <f>IF(AD74=AE74,"Unentschieden",IF(AD74&gt;AE74,AD73,AE73))</f>
        <v>Portugal</v>
      </c>
      <c r="AE75" s="93"/>
      <c r="AF75" s="58"/>
      <c r="AG75" s="58"/>
      <c r="AH75" s="58"/>
      <c r="AI75" s="58"/>
      <c r="AJ75" s="58"/>
      <c r="AK75" s="93" t="str">
        <f>IF(AK74=AL74,"Unentschieden",IF(AK74&gt;AL74,AK73,AL73))</f>
        <v>England</v>
      </c>
      <c r="AL75" s="93"/>
      <c r="AM75" s="58"/>
      <c r="AN75" s="58"/>
      <c r="AO75" s="58"/>
      <c r="AP75" s="58"/>
    </row>
    <row r="76" spans="1:42" ht="17.25" customHeight="1" x14ac:dyDescent="0.45">
      <c r="A76" s="58"/>
      <c r="B76" s="61">
        <f>IF(B74=C74,1,IF(B74&gt;C74,3,0))</f>
        <v>0</v>
      </c>
      <c r="C76" s="61">
        <f>IF(C74=B74,1,IF(C74&gt;B74,3,0))</f>
        <v>3</v>
      </c>
      <c r="D76" s="58"/>
      <c r="E76" s="58"/>
      <c r="F76" s="58"/>
      <c r="G76" s="58"/>
      <c r="H76" s="58"/>
      <c r="I76" s="61">
        <f>IF(I74=J74,1,IF(I74&gt;J74,3,0))</f>
        <v>0</v>
      </c>
      <c r="J76" s="61">
        <f>IF(J74=I74,1,IF(J74&gt;I74,3,0))</f>
        <v>3</v>
      </c>
      <c r="K76" s="58"/>
      <c r="L76" s="58"/>
      <c r="M76" s="58"/>
      <c r="N76" s="58"/>
      <c r="O76" s="58"/>
      <c r="P76" s="61">
        <f>IF(P74=Q74,1,IF(P74&gt;Q74,3,0))</f>
        <v>0</v>
      </c>
      <c r="Q76" s="61">
        <f>IF(Q74=P74,1,IF(Q74&gt;P74,3,0))</f>
        <v>3</v>
      </c>
      <c r="R76" s="58"/>
      <c r="S76" s="58"/>
      <c r="T76" s="58"/>
      <c r="U76" s="58"/>
      <c r="V76" s="58"/>
      <c r="W76" s="61">
        <f>IF(W74=X74,1,IF(W74&gt;X74,3,0))</f>
        <v>0</v>
      </c>
      <c r="X76" s="61">
        <f>IF(X74=W74,1,IF(X74&gt;W74,3,0))</f>
        <v>3</v>
      </c>
      <c r="Y76" s="58"/>
      <c r="Z76" s="58"/>
      <c r="AA76" s="58"/>
      <c r="AB76" s="58"/>
      <c r="AC76" s="58"/>
      <c r="AD76" s="61">
        <f>IF(AD74=AE74,1,IF(AD74&gt;AE74,3,0))</f>
        <v>0</v>
      </c>
      <c r="AE76" s="61">
        <f>IF(AE74=AD74,1,IF(AE74&gt;AD74,3,0))</f>
        <v>3</v>
      </c>
      <c r="AF76" s="58"/>
      <c r="AG76" s="58"/>
      <c r="AH76" s="58"/>
      <c r="AI76" s="58"/>
      <c r="AJ76" s="58"/>
      <c r="AK76" s="61">
        <f>IF(AK74=AL74,1,IF(AK74&gt;AL74,3,0))</f>
        <v>0</v>
      </c>
      <c r="AL76" s="61">
        <f>IF(AL74=AK74,1,IF(AL74&gt;AK74,3,0))</f>
        <v>3</v>
      </c>
      <c r="AM76" s="58"/>
      <c r="AN76" s="58"/>
      <c r="AO76" s="58"/>
      <c r="AP76" s="58"/>
    </row>
    <row r="77" spans="1:42" ht="17.25" customHeight="1" x14ac:dyDescent="0.45">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row>
    <row r="78" spans="1:42" ht="17.25" customHeight="1" x14ac:dyDescent="0.45">
      <c r="A78" s="58"/>
      <c r="B78" s="61" t="s">
        <v>64</v>
      </c>
      <c r="C78" s="61" t="s">
        <v>75</v>
      </c>
      <c r="D78" s="58"/>
      <c r="E78" s="58"/>
      <c r="F78" s="58"/>
      <c r="G78" s="58"/>
      <c r="H78" s="58"/>
      <c r="I78" s="61" t="s">
        <v>66</v>
      </c>
      <c r="J78" s="61" t="s">
        <v>77</v>
      </c>
      <c r="K78" s="58"/>
      <c r="L78" s="58"/>
      <c r="M78" s="58"/>
      <c r="N78" s="58"/>
      <c r="O78" s="58"/>
      <c r="P78" s="61" t="s">
        <v>68</v>
      </c>
      <c r="Q78" s="61" t="s">
        <v>79</v>
      </c>
      <c r="R78" s="58"/>
      <c r="S78" s="58"/>
      <c r="T78" s="58"/>
      <c r="U78" s="58"/>
      <c r="V78" s="58"/>
      <c r="W78" s="61" t="s">
        <v>70</v>
      </c>
      <c r="X78" s="61" t="s">
        <v>81</v>
      </c>
      <c r="Y78" s="58"/>
      <c r="Z78" s="58"/>
      <c r="AA78" s="58"/>
      <c r="AB78" s="58"/>
      <c r="AC78" s="58"/>
      <c r="AD78" s="61" t="s">
        <v>72</v>
      </c>
      <c r="AE78" s="61" t="s">
        <v>83</v>
      </c>
      <c r="AF78" s="58"/>
      <c r="AG78" s="58"/>
      <c r="AH78" s="58"/>
      <c r="AI78" s="58"/>
      <c r="AJ78" s="58"/>
      <c r="AK78" s="61" t="s">
        <v>74</v>
      </c>
      <c r="AL78" s="61" t="s">
        <v>85</v>
      </c>
      <c r="AM78" s="58"/>
      <c r="AN78" s="58"/>
      <c r="AO78" s="58"/>
      <c r="AP78" s="58"/>
    </row>
    <row r="79" spans="1:42" ht="17.25" customHeight="1" x14ac:dyDescent="0.45">
      <c r="A79" s="58"/>
      <c r="B79" s="62">
        <v>1</v>
      </c>
      <c r="C79" s="62">
        <v>1</v>
      </c>
      <c r="D79" s="58"/>
      <c r="E79" s="58"/>
      <c r="F79" s="58"/>
      <c r="G79" s="58"/>
      <c r="H79" s="58"/>
      <c r="I79" s="62">
        <v>1</v>
      </c>
      <c r="J79" s="62">
        <v>1</v>
      </c>
      <c r="K79" s="58"/>
      <c r="L79" s="58"/>
      <c r="M79" s="58"/>
      <c r="N79" s="58"/>
      <c r="O79" s="58"/>
      <c r="P79" s="62">
        <v>2</v>
      </c>
      <c r="Q79" s="62">
        <v>0</v>
      </c>
      <c r="R79" s="58"/>
      <c r="S79" s="58"/>
      <c r="T79" s="58"/>
      <c r="U79" s="58"/>
      <c r="V79" s="58"/>
      <c r="W79" s="62">
        <v>1</v>
      </c>
      <c r="X79" s="62">
        <v>1</v>
      </c>
      <c r="Y79" s="58"/>
      <c r="Z79" s="58"/>
      <c r="AA79" s="58"/>
      <c r="AB79" s="58"/>
      <c r="AC79" s="58"/>
      <c r="AD79" s="62">
        <v>1</v>
      </c>
      <c r="AE79" s="62">
        <v>1</v>
      </c>
      <c r="AF79" s="58"/>
      <c r="AG79" s="58"/>
      <c r="AH79" s="58"/>
      <c r="AI79" s="58"/>
      <c r="AJ79" s="58"/>
      <c r="AK79" s="62">
        <v>2</v>
      </c>
      <c r="AL79" s="62">
        <v>0</v>
      </c>
      <c r="AM79" s="58"/>
      <c r="AN79" s="58"/>
      <c r="AO79" s="58"/>
      <c r="AP79" s="58"/>
    </row>
    <row r="80" spans="1:42" ht="17.25" customHeight="1" x14ac:dyDescent="0.45">
      <c r="A80" s="58"/>
      <c r="B80" s="93" t="str">
        <f>IF(B79=C79,"Unentschieden",IF(B79&gt;C79,B78,C78))</f>
        <v>Unentschieden</v>
      </c>
      <c r="C80" s="93"/>
      <c r="D80" s="58"/>
      <c r="E80" s="58"/>
      <c r="F80" s="58"/>
      <c r="G80" s="58"/>
      <c r="H80" s="58"/>
      <c r="I80" s="93" t="str">
        <f>IF(I79=J79,"Unentschieden",IF(I79&gt;J79,I78,J78))</f>
        <v>Unentschieden</v>
      </c>
      <c r="J80" s="93"/>
      <c r="K80" s="58"/>
      <c r="L80" s="58"/>
      <c r="M80" s="58"/>
      <c r="N80" s="58"/>
      <c r="O80" s="58"/>
      <c r="P80" s="93" t="str">
        <f>IF(P79=Q79,"Unentschieden",IF(P79&gt;Q79,P78,Q78))</f>
        <v>Senegal</v>
      </c>
      <c r="Q80" s="93"/>
      <c r="R80" s="58"/>
      <c r="S80" s="58"/>
      <c r="T80" s="58"/>
      <c r="U80" s="58"/>
      <c r="V80" s="58"/>
      <c r="W80" s="93" t="str">
        <f>IF(W79=X79,"Unentschieden",IF(W79&gt;X79,W78,X78))</f>
        <v>Unentschieden</v>
      </c>
      <c r="X80" s="93"/>
      <c r="Y80" s="58"/>
      <c r="Z80" s="58"/>
      <c r="AA80" s="58"/>
      <c r="AB80" s="58"/>
      <c r="AC80" s="58"/>
      <c r="AD80" s="93" t="str">
        <f>IF(AD79=AE79,"Unentschieden",IF(AD79&gt;AE79,AD78,AE78))</f>
        <v>Unentschieden</v>
      </c>
      <c r="AE80" s="93"/>
      <c r="AF80" s="58"/>
      <c r="AG80" s="58"/>
      <c r="AH80" s="58"/>
      <c r="AI80" s="58"/>
      <c r="AJ80" s="58"/>
      <c r="AK80" s="93" t="str">
        <f>IF(AK79=AL79,"Unentschieden",IF(AK79&gt;AL79,AK78,AL78))</f>
        <v>Kroatien</v>
      </c>
      <c r="AL80" s="93"/>
      <c r="AM80" s="58"/>
      <c r="AN80" s="58"/>
      <c r="AO80" s="58"/>
      <c r="AP80" s="58"/>
    </row>
    <row r="81" spans="1:42" ht="17.25" customHeight="1" x14ac:dyDescent="0.45">
      <c r="A81" s="58"/>
      <c r="B81" s="61">
        <f>IF(B79=C79,1,IF(B79&gt;C79,3,0))</f>
        <v>1</v>
      </c>
      <c r="C81" s="61">
        <f>IF(C79=B79,1,IF(C79&gt;B79,3,0))</f>
        <v>1</v>
      </c>
      <c r="D81" s="58"/>
      <c r="E81" s="58"/>
      <c r="F81" s="58"/>
      <c r="G81" s="58"/>
      <c r="H81" s="58"/>
      <c r="I81" s="61">
        <f>IF(I79=J79,1,IF(I79&gt;J79,3,0))</f>
        <v>1</v>
      </c>
      <c r="J81" s="61">
        <f>IF(J79=I79,1,IF(J79&gt;I79,3,0))</f>
        <v>1</v>
      </c>
      <c r="K81" s="58"/>
      <c r="L81" s="58"/>
      <c r="M81" s="58"/>
      <c r="N81" s="58"/>
      <c r="O81" s="58"/>
      <c r="P81" s="61">
        <f>IF(P79=Q79,1,IF(P79&gt;Q79,3,0))</f>
        <v>3</v>
      </c>
      <c r="Q81" s="61">
        <f>IF(Q79=P79,1,IF(Q79&gt;P79,3,0))</f>
        <v>0</v>
      </c>
      <c r="R81" s="58"/>
      <c r="S81" s="58"/>
      <c r="T81" s="58"/>
      <c r="U81" s="58"/>
      <c r="V81" s="58"/>
      <c r="W81" s="61">
        <f>IF(W79=X79,1,IF(W79&gt;X79,3,0))</f>
        <v>1</v>
      </c>
      <c r="X81" s="61">
        <f>IF(X79=W79,1,IF(X79&gt;W79,3,0))</f>
        <v>1</v>
      </c>
      <c r="Y81" s="58"/>
      <c r="Z81" s="58"/>
      <c r="AA81" s="58"/>
      <c r="AB81" s="58"/>
      <c r="AC81" s="58"/>
      <c r="AD81" s="61">
        <f>IF(AD79=AE79,1,IF(AD79&gt;AE79,3,0))</f>
        <v>1</v>
      </c>
      <c r="AE81" s="61">
        <f>IF(AE79=AD79,1,IF(AE79&gt;AD79,3,0))</f>
        <v>1</v>
      </c>
      <c r="AF81" s="58"/>
      <c r="AG81" s="58"/>
      <c r="AH81" s="58"/>
      <c r="AI81" s="58"/>
      <c r="AJ81" s="58"/>
      <c r="AK81" s="61">
        <f>IF(AK79=AL79,1,IF(AK79&gt;AL79,3,0))</f>
        <v>3</v>
      </c>
      <c r="AL81" s="61">
        <f>IF(AL79=AK79,1,IF(AL79&gt;AK79,3,0))</f>
        <v>0</v>
      </c>
      <c r="AM81" s="58"/>
      <c r="AN81" s="58"/>
      <c r="AO81" s="58"/>
      <c r="AP81" s="58"/>
    </row>
    <row r="82" spans="1:42" ht="17.25" customHeight="1" x14ac:dyDescent="0.45">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row>
    <row r="83" spans="1:42" ht="17.25" customHeight="1" x14ac:dyDescent="0.45">
      <c r="A83" s="58"/>
      <c r="B83" s="60" t="s">
        <v>51</v>
      </c>
      <c r="C83" s="61" t="s">
        <v>52</v>
      </c>
      <c r="D83" s="61" t="s">
        <v>53</v>
      </c>
      <c r="E83" s="61" t="s">
        <v>54</v>
      </c>
      <c r="F83" s="61" t="s">
        <v>55</v>
      </c>
      <c r="G83" s="58"/>
      <c r="H83" s="63"/>
      <c r="I83" s="60" t="s">
        <v>51</v>
      </c>
      <c r="J83" s="61" t="s">
        <v>52</v>
      </c>
      <c r="K83" s="61" t="s">
        <v>53</v>
      </c>
      <c r="L83" s="61" t="s">
        <v>54</v>
      </c>
      <c r="M83" s="61" t="s">
        <v>55</v>
      </c>
      <c r="N83" s="58"/>
      <c r="O83" s="63"/>
      <c r="P83" s="60" t="s">
        <v>51</v>
      </c>
      <c r="Q83" s="61" t="s">
        <v>52</v>
      </c>
      <c r="R83" s="61" t="s">
        <v>53</v>
      </c>
      <c r="S83" s="61" t="s">
        <v>54</v>
      </c>
      <c r="T83" s="61" t="s">
        <v>55</v>
      </c>
      <c r="U83" s="58"/>
      <c r="V83" s="63"/>
      <c r="W83" s="60" t="s">
        <v>51</v>
      </c>
      <c r="X83" s="61" t="s">
        <v>52</v>
      </c>
      <c r="Y83" s="61" t="s">
        <v>53</v>
      </c>
      <c r="Z83" s="61" t="s">
        <v>54</v>
      </c>
      <c r="AA83" s="61" t="s">
        <v>55</v>
      </c>
      <c r="AB83" s="58"/>
      <c r="AC83" s="63"/>
      <c r="AD83" s="60" t="s">
        <v>51</v>
      </c>
      <c r="AE83" s="61" t="s">
        <v>52</v>
      </c>
      <c r="AF83" s="61" t="s">
        <v>53</v>
      </c>
      <c r="AG83" s="61" t="s">
        <v>54</v>
      </c>
      <c r="AH83" s="61" t="s">
        <v>55</v>
      </c>
      <c r="AI83" s="58"/>
      <c r="AJ83" s="63"/>
      <c r="AK83" s="60" t="s">
        <v>51</v>
      </c>
      <c r="AL83" s="61" t="s">
        <v>52</v>
      </c>
      <c r="AM83" s="61" t="s">
        <v>53</v>
      </c>
      <c r="AN83" s="61" t="s">
        <v>54</v>
      </c>
      <c r="AO83" s="61" t="s">
        <v>55</v>
      </c>
      <c r="AP83" s="58"/>
    </row>
    <row r="84" spans="1:42" ht="17.25" customHeight="1" x14ac:dyDescent="0.45">
      <c r="A84" s="64"/>
      <c r="B84" s="60" t="s">
        <v>63</v>
      </c>
      <c r="C84" s="61">
        <f>B54+B65+C76</f>
        <v>9</v>
      </c>
      <c r="D84" s="61">
        <f>B52+B63+C74</f>
        <v>7</v>
      </c>
      <c r="E84" s="61">
        <f>C52+C63+B74</f>
        <v>1</v>
      </c>
      <c r="F84" s="61">
        <f>D84-E84</f>
        <v>6</v>
      </c>
      <c r="G84" s="58"/>
      <c r="H84" s="64"/>
      <c r="I84" s="60" t="s">
        <v>65</v>
      </c>
      <c r="J84" s="61">
        <f>I54+I65+J76</f>
        <v>9</v>
      </c>
      <c r="K84" s="61">
        <f>I52+I63+J74</f>
        <v>8</v>
      </c>
      <c r="L84" s="61">
        <f>J52+J63+I74</f>
        <v>0</v>
      </c>
      <c r="M84" s="61">
        <f>K84-L84</f>
        <v>8</v>
      </c>
      <c r="N84" s="58"/>
      <c r="O84" s="65"/>
      <c r="P84" s="60" t="s">
        <v>67</v>
      </c>
      <c r="Q84" s="61">
        <f>P54+P65+Q76</f>
        <v>9</v>
      </c>
      <c r="R84" s="61">
        <f>P52+P63+Q74</f>
        <v>7</v>
      </c>
      <c r="S84" s="61">
        <f>Q52+Q63+P74</f>
        <v>2</v>
      </c>
      <c r="T84" s="61">
        <f>R84-S84</f>
        <v>5</v>
      </c>
      <c r="U84" s="58"/>
      <c r="V84" s="65"/>
      <c r="W84" s="60" t="s">
        <v>69</v>
      </c>
      <c r="X84" s="61">
        <f>W54+W65+X76</f>
        <v>9</v>
      </c>
      <c r="Y84" s="61">
        <f>W52+W63+X74</f>
        <v>7</v>
      </c>
      <c r="Z84" s="61">
        <f>X52+X63+W74</f>
        <v>1</v>
      </c>
      <c r="AA84" s="61">
        <f>Y84-Z84</f>
        <v>6</v>
      </c>
      <c r="AB84" s="58"/>
      <c r="AC84" s="65"/>
      <c r="AD84" s="60" t="s">
        <v>71</v>
      </c>
      <c r="AE84" s="61">
        <f>AD54+AD65+AE76</f>
        <v>9</v>
      </c>
      <c r="AF84" s="61">
        <f>AD52+AD63+AE74</f>
        <v>7</v>
      </c>
      <c r="AG84" s="61">
        <f>AE52+AE63+AD74</f>
        <v>1</v>
      </c>
      <c r="AH84" s="61">
        <f>AF84-AG84</f>
        <v>6</v>
      </c>
      <c r="AI84" s="58"/>
      <c r="AJ84" s="58"/>
      <c r="AK84" s="60" t="s">
        <v>73</v>
      </c>
      <c r="AL84" s="61">
        <f>AK54+AK65+AL76</f>
        <v>9</v>
      </c>
      <c r="AM84" s="61">
        <f>AK52+AK63+AL74</f>
        <v>7</v>
      </c>
      <c r="AN84" s="61">
        <f>AL52+AL63+AK74</f>
        <v>1</v>
      </c>
      <c r="AO84" s="61">
        <f>AM84-AN84</f>
        <v>6</v>
      </c>
      <c r="AP84" s="58"/>
    </row>
    <row r="85" spans="1:42" ht="17.25" customHeight="1" x14ac:dyDescent="0.45">
      <c r="A85" s="64"/>
      <c r="B85" s="60" t="s">
        <v>64</v>
      </c>
      <c r="C85" s="61">
        <f>C54+C70+B81</f>
        <v>4</v>
      </c>
      <c r="D85" s="61">
        <f>C52+C68+B79</f>
        <v>4</v>
      </c>
      <c r="E85" s="61">
        <f>B52+B68+C79</f>
        <v>3</v>
      </c>
      <c r="F85" s="61">
        <f>D85-E85</f>
        <v>1</v>
      </c>
      <c r="G85" s="58"/>
      <c r="H85" s="64"/>
      <c r="I85" s="60" t="s">
        <v>66</v>
      </c>
      <c r="J85" s="61">
        <f>J54+J70+I81</f>
        <v>1</v>
      </c>
      <c r="K85" s="61">
        <f>J52+J68+I79</f>
        <v>1</v>
      </c>
      <c r="L85" s="61">
        <f>I52+I68+J79</f>
        <v>6</v>
      </c>
      <c r="M85" s="61">
        <f>K85-L85</f>
        <v>-5</v>
      </c>
      <c r="N85" s="58"/>
      <c r="O85" s="65"/>
      <c r="P85" s="60" t="s">
        <v>68</v>
      </c>
      <c r="Q85" s="61">
        <f>Q54+Q70+P81</f>
        <v>3</v>
      </c>
      <c r="R85" s="61">
        <f>Q52+Q68+P79</f>
        <v>4</v>
      </c>
      <c r="S85" s="61">
        <f>P52+P68+Q79</f>
        <v>4</v>
      </c>
      <c r="T85" s="61">
        <f>R85-S85</f>
        <v>0</v>
      </c>
      <c r="U85" s="58"/>
      <c r="V85" s="65"/>
      <c r="W85" s="60" t="s">
        <v>70</v>
      </c>
      <c r="X85" s="61">
        <f>X54+X70+W81</f>
        <v>4</v>
      </c>
      <c r="Y85" s="61">
        <f>X52+X68+W79</f>
        <v>2</v>
      </c>
      <c r="Z85" s="61">
        <f>W52+W68+X79</f>
        <v>3</v>
      </c>
      <c r="AA85" s="61">
        <f>Y85-Z85</f>
        <v>-1</v>
      </c>
      <c r="AB85" s="58"/>
      <c r="AC85" s="65"/>
      <c r="AD85" s="60" t="s">
        <v>72</v>
      </c>
      <c r="AE85" s="61">
        <f>AE54+AE70+AD81</f>
        <v>1</v>
      </c>
      <c r="AF85" s="61">
        <f>AE52+AE68+AD79</f>
        <v>1</v>
      </c>
      <c r="AG85" s="61">
        <f>AD52+AD68+AE79</f>
        <v>6</v>
      </c>
      <c r="AH85" s="61">
        <f>AF85-AG85</f>
        <v>-5</v>
      </c>
      <c r="AI85" s="58"/>
      <c r="AJ85" s="58"/>
      <c r="AK85" s="60" t="s">
        <v>74</v>
      </c>
      <c r="AL85" s="61">
        <f>AL54+AL70+AK81</f>
        <v>6</v>
      </c>
      <c r="AM85" s="61">
        <f>AL52+AL68+AK79</f>
        <v>5</v>
      </c>
      <c r="AN85" s="61">
        <f>AK52+AK68+AL79</f>
        <v>2</v>
      </c>
      <c r="AO85" s="61">
        <f>AM85-AN85</f>
        <v>3</v>
      </c>
      <c r="AP85" s="58"/>
    </row>
    <row r="86" spans="1:42" ht="17.25" customHeight="1" x14ac:dyDescent="0.45">
      <c r="A86" s="66"/>
      <c r="B86" s="60" t="s">
        <v>75</v>
      </c>
      <c r="C86" s="61">
        <f>B59+C65+C81</f>
        <v>4</v>
      </c>
      <c r="D86" s="61">
        <f>B57+C63+C79</f>
        <v>2</v>
      </c>
      <c r="E86" s="61">
        <f>C57+B63+B79</f>
        <v>3</v>
      </c>
      <c r="F86" s="61">
        <f>D86-E86</f>
        <v>-1</v>
      </c>
      <c r="G86" s="58"/>
      <c r="H86" s="66"/>
      <c r="I86" s="60" t="s">
        <v>77</v>
      </c>
      <c r="J86" s="61">
        <f>I59+J65+J81</f>
        <v>1</v>
      </c>
      <c r="K86" s="61">
        <f>I57+J63+J79</f>
        <v>1</v>
      </c>
      <c r="L86" s="61">
        <f>J57+I63+I79</f>
        <v>6</v>
      </c>
      <c r="M86" s="61">
        <f>K86-L86</f>
        <v>-5</v>
      </c>
      <c r="N86" s="58"/>
      <c r="O86" s="65"/>
      <c r="P86" s="60" t="s">
        <v>79</v>
      </c>
      <c r="Q86" s="61">
        <f>P59+Q65+Q81</f>
        <v>0</v>
      </c>
      <c r="R86" s="61">
        <f>P57+Q63+Q79</f>
        <v>0</v>
      </c>
      <c r="S86" s="61">
        <f>Q57+P63+P79</f>
        <v>8</v>
      </c>
      <c r="T86" s="61">
        <f>R86-S86</f>
        <v>-8</v>
      </c>
      <c r="U86" s="58"/>
      <c r="V86" s="65"/>
      <c r="W86" s="60" t="s">
        <v>81</v>
      </c>
      <c r="X86" s="61">
        <f>W59+X65+X81</f>
        <v>4</v>
      </c>
      <c r="Y86" s="61">
        <f>W57+X63+X79</f>
        <v>4</v>
      </c>
      <c r="Z86" s="61">
        <f>X57+W63+W79</f>
        <v>3</v>
      </c>
      <c r="AA86" s="61">
        <f>Y86-Z86</f>
        <v>1</v>
      </c>
      <c r="AB86" s="58"/>
      <c r="AC86" s="65"/>
      <c r="AD86" s="60" t="s">
        <v>83</v>
      </c>
      <c r="AE86" s="61">
        <f>AD59+AE65+AE81</f>
        <v>1</v>
      </c>
      <c r="AF86" s="61">
        <f>AD57+AE63+AE79</f>
        <v>1</v>
      </c>
      <c r="AG86" s="61">
        <f>AE57+AD63+AD79</f>
        <v>5</v>
      </c>
      <c r="AH86" s="61">
        <f>AF86-AG86</f>
        <v>-4</v>
      </c>
      <c r="AI86" s="58"/>
      <c r="AJ86" s="58"/>
      <c r="AK86" s="60" t="s">
        <v>85</v>
      </c>
      <c r="AL86" s="61">
        <f>AK59+AL65+AL81</f>
        <v>3</v>
      </c>
      <c r="AM86" s="61">
        <f>AK57+AL63+AL79</f>
        <v>1</v>
      </c>
      <c r="AN86" s="61">
        <f>AL57+AK63+AK79</f>
        <v>4</v>
      </c>
      <c r="AO86" s="61">
        <f>AM86-AN86</f>
        <v>-3</v>
      </c>
      <c r="AP86" s="58"/>
    </row>
    <row r="87" spans="1:42" ht="16.5" customHeight="1" x14ac:dyDescent="0.45">
      <c r="A87" s="67"/>
      <c r="B87" s="60" t="s">
        <v>76</v>
      </c>
      <c r="C87" s="61">
        <f>C59+B70+B76</f>
        <v>0</v>
      </c>
      <c r="D87" s="61">
        <f>C57+B68+B74</f>
        <v>0</v>
      </c>
      <c r="E87" s="61">
        <f>B57+C68+C74</f>
        <v>6</v>
      </c>
      <c r="F87" s="61">
        <f>D87-E87</f>
        <v>-6</v>
      </c>
      <c r="G87" s="58"/>
      <c r="H87" s="67"/>
      <c r="I87" s="60" t="s">
        <v>78</v>
      </c>
      <c r="J87" s="61">
        <f>J59+I70+I76</f>
        <v>6</v>
      </c>
      <c r="K87" s="61">
        <f>J57+I68+I74</f>
        <v>4</v>
      </c>
      <c r="L87" s="61">
        <f>I57+J68+J74</f>
        <v>2</v>
      </c>
      <c r="M87" s="61">
        <f>K87-L87</f>
        <v>2</v>
      </c>
      <c r="N87" s="58"/>
      <c r="O87" s="65"/>
      <c r="P87" s="60" t="s">
        <v>80</v>
      </c>
      <c r="Q87" s="61">
        <f>Q59+P70+P76</f>
        <v>6</v>
      </c>
      <c r="R87" s="61">
        <f>Q57+P68+P74</f>
        <v>6</v>
      </c>
      <c r="S87" s="61">
        <f>P57+Q68+Q74</f>
        <v>3</v>
      </c>
      <c r="T87" s="61">
        <f>R87-S87</f>
        <v>3</v>
      </c>
      <c r="U87" s="58"/>
      <c r="V87" s="65"/>
      <c r="W87" s="60" t="s">
        <v>82</v>
      </c>
      <c r="X87" s="61">
        <f>X59+W70+W76</f>
        <v>0</v>
      </c>
      <c r="Y87" s="61">
        <f>X57+W68+W74</f>
        <v>0</v>
      </c>
      <c r="Z87" s="61">
        <f>W57+X68+X74</f>
        <v>6</v>
      </c>
      <c r="AA87" s="61">
        <f>Y87-Z87</f>
        <v>-6</v>
      </c>
      <c r="AB87" s="58"/>
      <c r="AC87" s="65"/>
      <c r="AD87" s="60" t="s">
        <v>84</v>
      </c>
      <c r="AE87" s="61">
        <f>AE59+AD70+AD76</f>
        <v>6</v>
      </c>
      <c r="AF87" s="61">
        <f>AE57+AD68+AD74</f>
        <v>5</v>
      </c>
      <c r="AG87" s="61">
        <f>AD57+AE68+AE74</f>
        <v>2</v>
      </c>
      <c r="AH87" s="61">
        <f>AF87-AG87</f>
        <v>3</v>
      </c>
      <c r="AI87" s="58"/>
      <c r="AJ87" s="58"/>
      <c r="AK87" s="60" t="s">
        <v>86</v>
      </c>
      <c r="AL87" s="61">
        <f>AL59+AK70+AK76</f>
        <v>0</v>
      </c>
      <c r="AM87" s="61">
        <f>AL57+AK68+AK74</f>
        <v>0</v>
      </c>
      <c r="AN87" s="61">
        <f>AK57+AL68+AL74</f>
        <v>6</v>
      </c>
      <c r="AO87" s="61">
        <f>AM87-AN87</f>
        <v>-6</v>
      </c>
      <c r="AP87" s="58"/>
    </row>
    <row r="88" spans="1:42" ht="16.5" customHeight="1" x14ac:dyDescent="0.45">
      <c r="A88" s="58"/>
      <c r="C88" s="61"/>
      <c r="G88" s="58"/>
      <c r="H88" s="58"/>
      <c r="K88" s="61"/>
      <c r="L88" s="61"/>
      <c r="M88" s="61"/>
      <c r="N88" s="58"/>
      <c r="O88" s="58"/>
      <c r="R88" s="61"/>
      <c r="S88" s="61"/>
      <c r="T88" s="61"/>
      <c r="U88" s="58"/>
      <c r="V88" s="58"/>
      <c r="Y88" s="61"/>
      <c r="Z88" s="61"/>
      <c r="AA88" s="61"/>
      <c r="AB88" s="58"/>
      <c r="AC88" s="58"/>
      <c r="AI88" s="58"/>
      <c r="AJ88" s="58"/>
      <c r="AP88" s="58"/>
    </row>
    <row r="89" spans="1:42" ht="16.5" customHeight="1" x14ac:dyDescent="0.45">
      <c r="A89" s="58"/>
      <c r="B89" s="92" t="s">
        <v>56</v>
      </c>
      <c r="C89" s="92"/>
      <c r="G89" s="58"/>
      <c r="H89" s="58"/>
      <c r="I89" s="92" t="s">
        <v>56</v>
      </c>
      <c r="J89" s="92"/>
      <c r="K89" s="61"/>
      <c r="L89" s="61"/>
      <c r="M89" s="61"/>
      <c r="N89" s="58"/>
      <c r="O89" s="58"/>
      <c r="P89" s="92" t="s">
        <v>56</v>
      </c>
      <c r="Q89" s="92"/>
      <c r="R89" s="61"/>
      <c r="S89" s="61"/>
      <c r="T89" s="61"/>
      <c r="U89" s="58"/>
      <c r="V89" s="58"/>
      <c r="W89" s="92" t="s">
        <v>56</v>
      </c>
      <c r="X89" s="92"/>
      <c r="Y89" s="61"/>
      <c r="Z89" s="61"/>
      <c r="AA89" s="61"/>
      <c r="AB89" s="58"/>
      <c r="AC89" s="58"/>
      <c r="AD89" s="92" t="s">
        <v>56</v>
      </c>
      <c r="AE89" s="92"/>
      <c r="AI89" s="58"/>
      <c r="AJ89" s="58"/>
      <c r="AK89" s="92" t="s">
        <v>56</v>
      </c>
      <c r="AL89" s="92"/>
      <c r="AP89" s="58"/>
    </row>
    <row r="90" spans="1:42" ht="16.5" customHeight="1" x14ac:dyDescent="0.45">
      <c r="A90" s="68">
        <v>1</v>
      </c>
      <c r="B90" s="60" t="str">
        <f t="array" ref="B90:B93">_xlfn.SORTBY(B84:B87,C84:C87,-1,F84:F87,-1,D84:D87,-1)</f>
        <v>Belgien</v>
      </c>
      <c r="C90" s="61">
        <f t="array" ref="C90:C93">_xlfn.SORTBY(C84:C87,C84:C87,-1,F84:F87,-1,D84:D87,-1)</f>
        <v>9</v>
      </c>
      <c r="D90" s="61">
        <f t="array" ref="D90:D93">_xlfn.SORTBY(D84:D87,C84:C87,-1,F84:F87,-1,D84:D87,-1)</f>
        <v>7</v>
      </c>
      <c r="E90" s="61">
        <f t="array" ref="E90:E93">_xlfn.SORTBY(E84:E87,C84:C87,-1,F84:F87,-1,D84:D87,-1)</f>
        <v>1</v>
      </c>
      <c r="F90" s="61">
        <f t="array" ref="F90:F93">_xlfn.SORTBY(F84:F87,C84:C87,-1,F84:F87,-1,D84:D87,-1)</f>
        <v>6</v>
      </c>
      <c r="G90" s="58"/>
      <c r="H90" s="68">
        <v>1</v>
      </c>
      <c r="I90" s="60" t="str">
        <f t="array" ref="I90:I93">_xlfn.SORTBY(I84:I87,J84:J87,-1,M84:M87,-1,K84:K87,-1)</f>
        <v>Spanien</v>
      </c>
      <c r="J90" s="61">
        <f t="array" ref="J90:J93">_xlfn.SORTBY(J84:J87,J84:J87,-1,M84:M87,-1,K84:K87,-1)</f>
        <v>9</v>
      </c>
      <c r="K90" s="61">
        <f t="array" ref="K90:K93">_xlfn.SORTBY(K84:K87,J84:J87,-1,M84:M87,-1,K84:K87,-1)</f>
        <v>8</v>
      </c>
      <c r="L90" s="61">
        <f t="array" ref="L90:L93">_xlfn.SORTBY(L84:L87,J84:J87,-1,M84:M87,-1,K84:K87,-1)</f>
        <v>0</v>
      </c>
      <c r="M90" s="61">
        <f t="array" ref="M90:M93">_xlfn.SORTBY(M84:M87,J84:J87,-1,M84:M87,-1,K84:K87,-1)</f>
        <v>8</v>
      </c>
      <c r="N90" s="58"/>
      <c r="O90" s="68">
        <v>1</v>
      </c>
      <c r="P90" s="60" t="str">
        <f t="array" ref="P90:P93">_xlfn.SORTBY(P84:P87,Q84:Q87,-1,T84:T87,-1,R84:R87,-1)</f>
        <v>Frankreich</v>
      </c>
      <c r="Q90" s="61">
        <f t="array" ref="Q90:Q93">_xlfn.SORTBY(Q84:Q87,Q84:Q87,-1,T84:T87,-1,R84:R87,-1)</f>
        <v>9</v>
      </c>
      <c r="R90" s="61">
        <f t="array" ref="R90:R93">_xlfn.SORTBY(R84:R87,Q84:Q87,-1,T84:T87,-1,R84:R87,-1)</f>
        <v>7</v>
      </c>
      <c r="S90" s="61">
        <f t="array" ref="S90:S93">_xlfn.SORTBY(S84:S87,Q84:Q87,-1,T84:T87,-1,R84:R87,-1)</f>
        <v>2</v>
      </c>
      <c r="T90" s="61">
        <f t="array" ref="T90:T93">_xlfn.SORTBY(T84:T87,Q84:Q87,-1,T84:T87,-1,R84:R87,-1)</f>
        <v>5</v>
      </c>
      <c r="U90" s="58"/>
      <c r="V90" s="68">
        <v>1</v>
      </c>
      <c r="W90" s="60" t="str">
        <f t="array" ref="W90:W93">_xlfn.SORTBY(W84:W87,X84:X87,-1,AA84:AA87,-1,Y84:Y87,-1)</f>
        <v>Argentinien</v>
      </c>
      <c r="X90" s="61">
        <f t="array" ref="X90:X93">_xlfn.SORTBY(X84:X87,X84:X87,-1,AA84:AA87,-1,Y84:Y87,-1)</f>
        <v>9</v>
      </c>
      <c r="Y90" s="61">
        <f t="array" ref="Y90:Y93">_xlfn.SORTBY(Y84:Y87,X84:X87,-1,AA84:AA87,-1,Y84:Y87,-1)</f>
        <v>7</v>
      </c>
      <c r="Z90" s="61">
        <f t="array" ref="Z90:Z93">_xlfn.SORTBY(Z84:Z87,X84:X87,-1,AA84:AA87,-1,Y84:Y87,-1)</f>
        <v>1</v>
      </c>
      <c r="AA90" s="61">
        <f t="array" ref="AA90:AA93">_xlfn.SORTBY(AA84:AA87,X84:X87,-1,AA84:AA87,-1,Y84:Y87,-1)</f>
        <v>6</v>
      </c>
      <c r="AB90" s="58"/>
      <c r="AC90" s="68">
        <v>1</v>
      </c>
      <c r="AD90" s="60" t="str">
        <f t="array" ref="AD90:AD93">_xlfn.SORTBY(AD84:AD87,AE84:AE87,-1,AH84:AH87,-1,AF84:AF87,-1)</f>
        <v>Portugal</v>
      </c>
      <c r="AE90" s="61">
        <f t="array" ref="AE90:AE93">_xlfn.SORTBY(AE84:AE87,AE84:AE87,-1,AH84:AH87,-1,AF84:AF87,-1)</f>
        <v>9</v>
      </c>
      <c r="AF90" s="61">
        <f t="array" ref="AF90:AF93">_xlfn.SORTBY(AF84:AF87,AE84:AE87,-1,AH84:AH87,-1,AF84:AF87,-1)</f>
        <v>7</v>
      </c>
      <c r="AG90" s="61">
        <f t="array" ref="AG90:AG93">_xlfn.SORTBY(AG84:AG87,AE84:AE87,-1,AH84:AH87,-1,AF84:AF87,-1)</f>
        <v>1</v>
      </c>
      <c r="AH90" s="61">
        <f t="array" ref="AH90:AH93">_xlfn.SORTBY(AH84:AH87,AE84:AE87,-1,AH84:AH87,-1,AF84:AF87,-1)</f>
        <v>6</v>
      </c>
      <c r="AI90" s="58"/>
      <c r="AJ90" s="68">
        <v>1</v>
      </c>
      <c r="AK90" s="60" t="str">
        <f t="array" ref="AK90:AK93">_xlfn.SORTBY(AK84:AK87,AL84:AL87,-1,AO84:AO87,-1,AM84:AM87,-1)</f>
        <v>England</v>
      </c>
      <c r="AL90" s="61">
        <f t="array" ref="AL90:AL93">_xlfn.SORTBY(AL84:AL87,AL84:AL87,-1,AO84:AO87,-1,AM84:AM87,-1)</f>
        <v>9</v>
      </c>
      <c r="AM90" s="61">
        <f t="array" ref="AM90:AM93">_xlfn.SORTBY(AM84:AM87,AL84:AL87,-1,AO84:AO87,-1,AM84:AM87,-1)</f>
        <v>7</v>
      </c>
      <c r="AN90" s="61">
        <f t="array" ref="AN90:AN93">_xlfn.SORTBY(AN84:AN87,AL84:AL87,-1,AO84:AO87,-1,AM84:AM87,-1)</f>
        <v>1</v>
      </c>
      <c r="AO90" s="61">
        <f t="array" ref="AO90:AO93">_xlfn.SORTBY(AO84:AO87,AL84:AL87,-1,AO84:AO87,-1,AM84:AM87,-1)</f>
        <v>6</v>
      </c>
      <c r="AP90" s="58"/>
    </row>
    <row r="91" spans="1:42" ht="16.5" customHeight="1" x14ac:dyDescent="0.45">
      <c r="A91" s="68">
        <v>2</v>
      </c>
      <c r="B91" s="60" t="str">
        <v>Ägypten</v>
      </c>
      <c r="C91" s="61">
        <v>4</v>
      </c>
      <c r="D91" s="61">
        <v>4</v>
      </c>
      <c r="E91" s="61">
        <v>3</v>
      </c>
      <c r="F91" s="61">
        <v>1</v>
      </c>
      <c r="G91" s="58"/>
      <c r="H91" s="68">
        <v>2</v>
      </c>
      <c r="I91" s="60" t="str">
        <v>Uruguay</v>
      </c>
      <c r="J91" s="61">
        <v>6</v>
      </c>
      <c r="K91" s="61">
        <v>4</v>
      </c>
      <c r="L91" s="61">
        <v>2</v>
      </c>
      <c r="M91" s="61">
        <v>2</v>
      </c>
      <c r="N91" s="58"/>
      <c r="O91" s="68">
        <v>2</v>
      </c>
      <c r="P91" s="60" t="str">
        <v>Norwegen</v>
      </c>
      <c r="Q91" s="61">
        <v>6</v>
      </c>
      <c r="R91" s="61">
        <v>6</v>
      </c>
      <c r="S91" s="61">
        <v>3</v>
      </c>
      <c r="T91" s="61">
        <v>3</v>
      </c>
      <c r="U91" s="58"/>
      <c r="V91" s="68">
        <v>2</v>
      </c>
      <c r="W91" s="60" t="str">
        <v>Österreich</v>
      </c>
      <c r="X91" s="61">
        <v>4</v>
      </c>
      <c r="Y91" s="61">
        <v>4</v>
      </c>
      <c r="Z91" s="61">
        <v>3</v>
      </c>
      <c r="AA91" s="61">
        <v>1</v>
      </c>
      <c r="AB91" s="58"/>
      <c r="AC91" s="68">
        <v>2</v>
      </c>
      <c r="AD91" s="60" t="str">
        <v>Kolumbien</v>
      </c>
      <c r="AE91" s="61">
        <v>6</v>
      </c>
      <c r="AF91" s="61">
        <v>5</v>
      </c>
      <c r="AG91" s="61">
        <v>2</v>
      </c>
      <c r="AH91" s="61">
        <v>3</v>
      </c>
      <c r="AI91" s="58"/>
      <c r="AJ91" s="68">
        <v>2</v>
      </c>
      <c r="AK91" s="60" t="str">
        <v>Kroatien</v>
      </c>
      <c r="AL91" s="61">
        <v>6</v>
      </c>
      <c r="AM91" s="61">
        <v>5</v>
      </c>
      <c r="AN91" s="61">
        <v>2</v>
      </c>
      <c r="AO91" s="61">
        <v>3</v>
      </c>
      <c r="AP91" s="58"/>
    </row>
    <row r="92" spans="1:42" ht="16.5" customHeight="1" x14ac:dyDescent="0.45">
      <c r="A92" s="69">
        <v>3</v>
      </c>
      <c r="B92" s="60" t="str">
        <v>Iran</v>
      </c>
      <c r="C92" s="61">
        <v>4</v>
      </c>
      <c r="D92" s="61">
        <v>2</v>
      </c>
      <c r="E92" s="61">
        <v>3</v>
      </c>
      <c r="F92" s="61">
        <v>-1</v>
      </c>
      <c r="G92" s="58"/>
      <c r="H92" s="69">
        <v>3</v>
      </c>
      <c r="I92" s="60" t="str">
        <v>Kap Verde</v>
      </c>
      <c r="J92" s="61">
        <v>1</v>
      </c>
      <c r="K92" s="61">
        <v>1</v>
      </c>
      <c r="L92" s="61">
        <v>6</v>
      </c>
      <c r="M92" s="61">
        <v>-5</v>
      </c>
      <c r="N92" s="58"/>
      <c r="O92" s="69">
        <v>3</v>
      </c>
      <c r="P92" s="60" t="str">
        <v>Senegal</v>
      </c>
      <c r="Q92" s="61">
        <v>3</v>
      </c>
      <c r="R92" s="61">
        <v>4</v>
      </c>
      <c r="S92" s="61">
        <v>4</v>
      </c>
      <c r="T92" s="61">
        <v>0</v>
      </c>
      <c r="U92" s="58"/>
      <c r="V92" s="69">
        <v>3</v>
      </c>
      <c r="W92" s="60" t="str">
        <v>Algerien</v>
      </c>
      <c r="X92" s="61">
        <v>4</v>
      </c>
      <c r="Y92" s="61">
        <v>2</v>
      </c>
      <c r="Z92" s="61">
        <v>3</v>
      </c>
      <c r="AA92" s="61">
        <v>-1</v>
      </c>
      <c r="AB92" s="58"/>
      <c r="AC92" s="69">
        <v>3</v>
      </c>
      <c r="AD92" s="60" t="str">
        <v>Usbekistan</v>
      </c>
      <c r="AE92" s="61">
        <v>1</v>
      </c>
      <c r="AF92" s="61">
        <v>1</v>
      </c>
      <c r="AG92" s="61">
        <v>5</v>
      </c>
      <c r="AH92" s="61">
        <v>-4</v>
      </c>
      <c r="AI92" s="58"/>
      <c r="AJ92" s="69">
        <v>3</v>
      </c>
      <c r="AK92" s="60" t="str">
        <v>Ghana</v>
      </c>
      <c r="AL92" s="61">
        <v>3</v>
      </c>
      <c r="AM92" s="61">
        <v>1</v>
      </c>
      <c r="AN92" s="61">
        <v>4</v>
      </c>
      <c r="AO92" s="61">
        <v>-3</v>
      </c>
      <c r="AP92" s="58"/>
    </row>
    <row r="93" spans="1:42" ht="16.5" customHeight="1" x14ac:dyDescent="0.45">
      <c r="A93" s="70">
        <v>4</v>
      </c>
      <c r="B93" s="60" t="str">
        <v>Neuseeland</v>
      </c>
      <c r="C93" s="61">
        <v>0</v>
      </c>
      <c r="D93" s="61">
        <v>0</v>
      </c>
      <c r="E93" s="61">
        <v>6</v>
      </c>
      <c r="F93" s="61">
        <v>-6</v>
      </c>
      <c r="G93" s="58"/>
      <c r="H93" s="70">
        <v>4</v>
      </c>
      <c r="I93" s="60" t="str">
        <v>Saudi-Arabien</v>
      </c>
      <c r="J93" s="61">
        <v>1</v>
      </c>
      <c r="K93" s="61">
        <v>1</v>
      </c>
      <c r="L93" s="61">
        <v>6</v>
      </c>
      <c r="M93" s="61">
        <v>-5</v>
      </c>
      <c r="N93" s="58"/>
      <c r="O93" s="70">
        <v>4</v>
      </c>
      <c r="P93" s="60" t="str">
        <v>Irak</v>
      </c>
      <c r="Q93" s="61">
        <v>0</v>
      </c>
      <c r="R93" s="61">
        <v>0</v>
      </c>
      <c r="S93" s="61">
        <v>8</v>
      </c>
      <c r="T93" s="61">
        <v>-8</v>
      </c>
      <c r="U93" s="58"/>
      <c r="V93" s="70">
        <v>4</v>
      </c>
      <c r="W93" s="60" t="str">
        <v>Jordanien</v>
      </c>
      <c r="X93" s="61">
        <v>0</v>
      </c>
      <c r="Y93" s="61">
        <v>0</v>
      </c>
      <c r="Z93" s="61">
        <v>6</v>
      </c>
      <c r="AA93" s="61">
        <v>-6</v>
      </c>
      <c r="AB93" s="58"/>
      <c r="AC93" s="70">
        <v>4</v>
      </c>
      <c r="AD93" s="60" t="str">
        <v>DR Kongo</v>
      </c>
      <c r="AE93" s="61">
        <v>1</v>
      </c>
      <c r="AF93" s="61">
        <v>1</v>
      </c>
      <c r="AG93" s="61">
        <v>6</v>
      </c>
      <c r="AH93" s="61">
        <v>-5</v>
      </c>
      <c r="AI93" s="58"/>
      <c r="AJ93" s="70">
        <v>4</v>
      </c>
      <c r="AK93" s="60" t="str">
        <v>Panama</v>
      </c>
      <c r="AL93" s="61">
        <v>0</v>
      </c>
      <c r="AM93" s="61">
        <v>0</v>
      </c>
      <c r="AN93" s="61">
        <v>6</v>
      </c>
      <c r="AO93" s="61">
        <v>-6</v>
      </c>
      <c r="AP93" s="58"/>
    </row>
    <row r="94" spans="1:42" ht="16.5" customHeight="1" x14ac:dyDescent="0.45">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row>
    <row r="95" spans="1:42" ht="30.75" customHeight="1" x14ac:dyDescent="0.7">
      <c r="R95" s="71"/>
      <c r="S95" s="71"/>
      <c r="T95" s="71"/>
      <c r="U95" s="71" t="s">
        <v>87</v>
      </c>
      <c r="V95" s="71"/>
      <c r="W95" s="71"/>
    </row>
    <row r="96" spans="1:42" ht="30.75" customHeight="1" x14ac:dyDescent="0.7">
      <c r="Q96" s="71"/>
      <c r="R96" s="71"/>
      <c r="S96" s="71"/>
      <c r="T96" s="71"/>
      <c r="U96" s="71"/>
      <c r="V96" s="71"/>
      <c r="W96" s="71"/>
    </row>
    <row r="97" spans="17:24" ht="16.5" customHeight="1" x14ac:dyDescent="0.45">
      <c r="R97" s="91" t="s">
        <v>51</v>
      </c>
      <c r="S97" s="91"/>
      <c r="T97" s="91"/>
      <c r="U97" s="60" t="s">
        <v>52</v>
      </c>
      <c r="V97" s="60" t="s">
        <v>88</v>
      </c>
      <c r="W97" s="60" t="s">
        <v>89</v>
      </c>
      <c r="X97" s="60" t="s">
        <v>90</v>
      </c>
    </row>
    <row r="98" spans="17:24" ht="16.5" customHeight="1" x14ac:dyDescent="0.45">
      <c r="R98" s="91" t="str">
        <f>B92</f>
        <v>Iran</v>
      </c>
      <c r="S98" s="91"/>
      <c r="T98" s="91"/>
      <c r="U98" s="60">
        <f>C92</f>
        <v>4</v>
      </c>
      <c r="V98" s="60">
        <f>D92</f>
        <v>2</v>
      </c>
      <c r="W98" s="60">
        <f>E92</f>
        <v>3</v>
      </c>
      <c r="X98" s="60">
        <f>F92</f>
        <v>-1</v>
      </c>
    </row>
    <row r="99" spans="17:24" ht="16.5" customHeight="1" x14ac:dyDescent="0.45">
      <c r="R99" s="91" t="str">
        <f>I92</f>
        <v>Kap Verde</v>
      </c>
      <c r="S99" s="91"/>
      <c r="T99" s="91"/>
      <c r="U99" s="60">
        <f>J92</f>
        <v>1</v>
      </c>
      <c r="V99" s="60">
        <f>K92</f>
        <v>1</v>
      </c>
      <c r="W99" s="60">
        <f>L92</f>
        <v>6</v>
      </c>
      <c r="X99" s="60">
        <f>M92</f>
        <v>-5</v>
      </c>
    </row>
    <row r="100" spans="17:24" ht="16.5" customHeight="1" x14ac:dyDescent="0.45">
      <c r="R100" s="91" t="str">
        <f>P92</f>
        <v>Senegal</v>
      </c>
      <c r="S100" s="91"/>
      <c r="T100" s="91"/>
      <c r="U100" s="60">
        <f>Q92</f>
        <v>3</v>
      </c>
      <c r="V100" s="60">
        <f>R92</f>
        <v>4</v>
      </c>
      <c r="W100" s="60">
        <f>S92</f>
        <v>4</v>
      </c>
      <c r="X100" s="60">
        <f>T92</f>
        <v>0</v>
      </c>
    </row>
    <row r="101" spans="17:24" ht="16.5" customHeight="1" x14ac:dyDescent="0.45">
      <c r="R101" s="91" t="str">
        <f>W92</f>
        <v>Algerien</v>
      </c>
      <c r="S101" s="91"/>
      <c r="T101" s="91"/>
      <c r="U101" s="60">
        <f>X92</f>
        <v>4</v>
      </c>
      <c r="V101" s="60">
        <f>Y92</f>
        <v>2</v>
      </c>
      <c r="W101" s="60">
        <f>Z92</f>
        <v>3</v>
      </c>
      <c r="X101" s="60">
        <f>AA92</f>
        <v>-1</v>
      </c>
    </row>
    <row r="102" spans="17:24" ht="16.5" customHeight="1" x14ac:dyDescent="0.45">
      <c r="R102" s="91" t="str">
        <f>AD92</f>
        <v>Usbekistan</v>
      </c>
      <c r="S102" s="91"/>
      <c r="T102" s="91"/>
      <c r="U102" s="60">
        <f>AE92</f>
        <v>1</v>
      </c>
      <c r="V102" s="60">
        <f>AF92</f>
        <v>1</v>
      </c>
      <c r="W102" s="60">
        <f>AG92</f>
        <v>5</v>
      </c>
      <c r="X102" s="60">
        <f>AH92</f>
        <v>-4</v>
      </c>
    </row>
    <row r="103" spans="17:24" ht="16.5" customHeight="1" x14ac:dyDescent="0.45">
      <c r="R103" s="91" t="str">
        <f>AK92</f>
        <v>Ghana</v>
      </c>
      <c r="S103" s="91"/>
      <c r="T103" s="91"/>
      <c r="U103" s="60">
        <f>AL92</f>
        <v>3</v>
      </c>
      <c r="V103" s="60">
        <f>AM92</f>
        <v>1</v>
      </c>
      <c r="W103" s="60">
        <f>AN92</f>
        <v>4</v>
      </c>
      <c r="X103" s="60">
        <f>AO92</f>
        <v>-3</v>
      </c>
    </row>
    <row r="104" spans="17:24" ht="16.5" customHeight="1" x14ac:dyDescent="0.45">
      <c r="R104" s="91" t="str">
        <f>B45</f>
        <v>Tschechien</v>
      </c>
      <c r="S104" s="91"/>
      <c r="T104" s="91"/>
      <c r="U104" s="60">
        <f>C45</f>
        <v>4</v>
      </c>
      <c r="V104" s="60">
        <f>D45</f>
        <v>4</v>
      </c>
      <c r="W104" s="60">
        <f>E45</f>
        <v>4</v>
      </c>
      <c r="X104" s="60">
        <f>F45</f>
        <v>0</v>
      </c>
    </row>
    <row r="105" spans="17:24" ht="16.5" customHeight="1" x14ac:dyDescent="0.45">
      <c r="R105" s="91" t="str">
        <f>I45</f>
        <v>Bosnien-Herz.</v>
      </c>
      <c r="S105" s="91"/>
      <c r="T105" s="91"/>
      <c r="U105" s="60">
        <f>J45</f>
        <v>3</v>
      </c>
      <c r="V105" s="60">
        <f>K45</f>
        <v>4</v>
      </c>
      <c r="W105" s="60">
        <f>L45</f>
        <v>5</v>
      </c>
      <c r="X105" s="60">
        <f>M45</f>
        <v>-1</v>
      </c>
    </row>
    <row r="106" spans="17:24" ht="16.5" customHeight="1" x14ac:dyDescent="0.45">
      <c r="R106" s="91" t="str">
        <f>P45</f>
        <v>Schottland</v>
      </c>
      <c r="S106" s="91"/>
      <c r="T106" s="91"/>
      <c r="U106" s="60">
        <f>Q45</f>
        <v>3</v>
      </c>
      <c r="V106" s="60">
        <f>R45</f>
        <v>1</v>
      </c>
      <c r="W106" s="60">
        <f>S45</f>
        <v>4</v>
      </c>
      <c r="X106" s="60">
        <f>T45</f>
        <v>-3</v>
      </c>
    </row>
    <row r="107" spans="17:24" ht="16.5" customHeight="1" x14ac:dyDescent="0.45">
      <c r="R107" s="91" t="str">
        <f>W45</f>
        <v>Paraguay</v>
      </c>
      <c r="S107" s="91"/>
      <c r="T107" s="91"/>
      <c r="U107" s="60">
        <f>X45</f>
        <v>4</v>
      </c>
      <c r="V107" s="60">
        <f>Y45</f>
        <v>2</v>
      </c>
      <c r="W107" s="60">
        <f>Z45</f>
        <v>3</v>
      </c>
      <c r="X107" s="60">
        <f>AA45</f>
        <v>-1</v>
      </c>
    </row>
    <row r="108" spans="17:24" ht="16.5" customHeight="1" x14ac:dyDescent="0.45">
      <c r="R108" s="91" t="str">
        <f>AD45</f>
        <v>Ecuador</v>
      </c>
      <c r="S108" s="91"/>
      <c r="T108" s="91"/>
      <c r="U108" s="60">
        <f>AE45</f>
        <v>4</v>
      </c>
      <c r="V108" s="60">
        <f>AF45</f>
        <v>3</v>
      </c>
      <c r="W108" s="60">
        <f>AG45</f>
        <v>2</v>
      </c>
      <c r="X108" s="60">
        <f>AH45</f>
        <v>1</v>
      </c>
    </row>
    <row r="109" spans="17:24" ht="16.5" customHeight="1" x14ac:dyDescent="0.45">
      <c r="R109" s="91" t="str">
        <f>AK45</f>
        <v>Schweden</v>
      </c>
      <c r="S109" s="91"/>
      <c r="T109" s="91"/>
      <c r="U109" s="60">
        <f>AL45</f>
        <v>4</v>
      </c>
      <c r="V109" s="60">
        <f>AM45</f>
        <v>4</v>
      </c>
      <c r="W109" s="60">
        <f>AN45</f>
        <v>4</v>
      </c>
      <c r="X109" s="60">
        <f>AO45</f>
        <v>0</v>
      </c>
    </row>
    <row r="112" spans="17:24" ht="16.5" customHeight="1" x14ac:dyDescent="0.45">
      <c r="Q112" s="68">
        <v>1</v>
      </c>
      <c r="R112" s="60" t="str">
        <f t="array" ref="R112:R123">_xlfn.SORTBY(R98:R109,U98:U109,-1,X98:X109,-1,V98:V109,-1)</f>
        <v>Ecuador</v>
      </c>
      <c r="U112" s="60">
        <f t="array" ref="U112:U123">_xlfn.SORTBY(U98:U109,U98:U109,-1,X98:X109,-1,V98:V109,-1)</f>
        <v>4</v>
      </c>
      <c r="V112" s="60">
        <f t="array" ref="V112:V123">_xlfn.SORTBY(V98:V109,U98:U109,-1,X98:X109,-1,V98:V109,-1)</f>
        <v>3</v>
      </c>
      <c r="W112" s="60">
        <f t="array" ref="W112:W123">_xlfn.SORTBY(W98:W109,U98:U109,-1,X98:X109,-1,V98:V109,-1)</f>
        <v>2</v>
      </c>
      <c r="X112" s="60">
        <f t="array" ref="X112:X123">_xlfn.SORTBY(X98:X109,U98:U109,-1,X98:X109,-1,V98:V109,-1)</f>
        <v>1</v>
      </c>
    </row>
    <row r="113" spans="17:24" ht="16.5" customHeight="1" x14ac:dyDescent="0.45">
      <c r="Q113" s="68">
        <v>2</v>
      </c>
      <c r="R113" s="60" t="str">
        <v>Tschechien</v>
      </c>
      <c r="U113" s="60">
        <v>4</v>
      </c>
      <c r="V113" s="60">
        <v>4</v>
      </c>
      <c r="W113" s="60">
        <v>4</v>
      </c>
      <c r="X113" s="60">
        <v>0</v>
      </c>
    </row>
    <row r="114" spans="17:24" ht="16.5" customHeight="1" x14ac:dyDescent="0.45">
      <c r="Q114" s="68">
        <v>3</v>
      </c>
      <c r="R114" s="60" t="str">
        <v>Schweden</v>
      </c>
      <c r="U114" s="60">
        <v>4</v>
      </c>
      <c r="V114" s="60">
        <v>4</v>
      </c>
      <c r="W114" s="60">
        <v>4</v>
      </c>
      <c r="X114" s="60">
        <v>0</v>
      </c>
    </row>
    <row r="115" spans="17:24" ht="16.5" customHeight="1" x14ac:dyDescent="0.45">
      <c r="Q115" s="68">
        <v>4</v>
      </c>
      <c r="R115" s="60" t="str">
        <v>Iran</v>
      </c>
      <c r="U115" s="60">
        <v>4</v>
      </c>
      <c r="V115" s="60">
        <v>2</v>
      </c>
      <c r="W115" s="60">
        <v>3</v>
      </c>
      <c r="X115" s="60">
        <v>-1</v>
      </c>
    </row>
    <row r="116" spans="17:24" ht="16.5" customHeight="1" x14ac:dyDescent="0.45">
      <c r="Q116" s="68">
        <v>5</v>
      </c>
      <c r="R116" s="60" t="str">
        <v>Algerien</v>
      </c>
      <c r="U116" s="60">
        <v>4</v>
      </c>
      <c r="V116" s="60">
        <v>2</v>
      </c>
      <c r="W116" s="60">
        <v>3</v>
      </c>
      <c r="X116" s="60">
        <v>-1</v>
      </c>
    </row>
    <row r="117" spans="17:24" ht="16.5" customHeight="1" x14ac:dyDescent="0.45">
      <c r="Q117" s="68">
        <v>6</v>
      </c>
      <c r="R117" s="60" t="str">
        <v>Paraguay</v>
      </c>
      <c r="U117" s="60">
        <v>4</v>
      </c>
      <c r="V117" s="60">
        <v>2</v>
      </c>
      <c r="W117" s="60">
        <v>3</v>
      </c>
      <c r="X117" s="60">
        <v>-1</v>
      </c>
    </row>
    <row r="118" spans="17:24" ht="16.5" customHeight="1" x14ac:dyDescent="0.45">
      <c r="Q118" s="68">
        <v>7</v>
      </c>
      <c r="R118" s="60" t="str">
        <v>Senegal</v>
      </c>
      <c r="U118" s="60">
        <v>3</v>
      </c>
      <c r="V118" s="60">
        <v>4</v>
      </c>
      <c r="W118" s="60">
        <v>4</v>
      </c>
      <c r="X118" s="60">
        <v>0</v>
      </c>
    </row>
    <row r="119" spans="17:24" ht="16.5" customHeight="1" x14ac:dyDescent="0.45">
      <c r="Q119" s="68">
        <v>8</v>
      </c>
      <c r="R119" s="60" t="str">
        <v>Bosnien-Herz.</v>
      </c>
      <c r="U119" s="60">
        <v>3</v>
      </c>
      <c r="V119" s="60">
        <v>4</v>
      </c>
      <c r="W119" s="60">
        <v>5</v>
      </c>
      <c r="X119" s="60">
        <v>-1</v>
      </c>
    </row>
    <row r="120" spans="17:24" ht="16.5" customHeight="1" x14ac:dyDescent="0.45">
      <c r="Q120" s="70">
        <v>9</v>
      </c>
      <c r="R120" s="60" t="str">
        <v>Ghana</v>
      </c>
      <c r="U120" s="60">
        <v>3</v>
      </c>
      <c r="V120" s="60">
        <v>1</v>
      </c>
      <c r="W120" s="60">
        <v>4</v>
      </c>
      <c r="X120" s="60">
        <v>-3</v>
      </c>
    </row>
    <row r="121" spans="17:24" ht="16.5" customHeight="1" x14ac:dyDescent="0.45">
      <c r="Q121" s="70">
        <v>10</v>
      </c>
      <c r="R121" s="60" t="str">
        <v>Schottland</v>
      </c>
      <c r="U121" s="60">
        <v>3</v>
      </c>
      <c r="V121" s="60">
        <v>1</v>
      </c>
      <c r="W121" s="60">
        <v>4</v>
      </c>
      <c r="X121" s="60">
        <v>-3</v>
      </c>
    </row>
    <row r="122" spans="17:24" ht="16.5" customHeight="1" x14ac:dyDescent="0.45">
      <c r="Q122" s="70">
        <v>11</v>
      </c>
      <c r="R122" s="60" t="str">
        <v>Usbekistan</v>
      </c>
      <c r="U122" s="60">
        <v>1</v>
      </c>
      <c r="V122" s="60">
        <v>1</v>
      </c>
      <c r="W122" s="60">
        <v>5</v>
      </c>
      <c r="X122" s="60">
        <v>-4</v>
      </c>
    </row>
    <row r="123" spans="17:24" ht="16.5" customHeight="1" x14ac:dyDescent="0.45">
      <c r="Q123" s="70">
        <v>12</v>
      </c>
      <c r="R123" s="60" t="str">
        <v>Kap Verde</v>
      </c>
      <c r="U123" s="60">
        <v>1</v>
      </c>
      <c r="V123" s="60">
        <v>1</v>
      </c>
      <c r="W123" s="60">
        <v>6</v>
      </c>
      <c r="X123" s="60">
        <v>-5</v>
      </c>
    </row>
    <row r="131" spans="17:23" ht="30.75" customHeight="1" x14ac:dyDescent="0.7">
      <c r="Q131" s="71" t="s">
        <v>91</v>
      </c>
      <c r="R131" s="71"/>
      <c r="S131" s="71"/>
      <c r="T131" s="71"/>
      <c r="U131" s="71"/>
      <c r="V131" s="71"/>
      <c r="W131" s="71"/>
    </row>
    <row r="132" spans="17:23" ht="30.75" customHeight="1" x14ac:dyDescent="0.7">
      <c r="Q132" s="71"/>
      <c r="R132" s="71"/>
      <c r="S132" s="71"/>
      <c r="T132" s="71"/>
      <c r="U132" s="71"/>
      <c r="V132" s="71"/>
      <c r="W132" s="71"/>
    </row>
    <row r="133" spans="17:23" ht="21" customHeight="1" x14ac:dyDescent="0.45">
      <c r="Q133" s="72" t="s">
        <v>92</v>
      </c>
      <c r="R133" s="72"/>
      <c r="S133" s="72"/>
      <c r="T133" s="72"/>
      <c r="U133" s="72"/>
      <c r="V133" s="72"/>
      <c r="W133" s="73">
        <v>5</v>
      </c>
    </row>
    <row r="134" spans="17:23" ht="21" customHeight="1" x14ac:dyDescent="0.45">
      <c r="Q134" s="72"/>
      <c r="R134" s="72"/>
      <c r="S134" s="72"/>
      <c r="T134" s="72"/>
      <c r="U134" s="72"/>
      <c r="V134" s="72"/>
      <c r="W134" s="73"/>
    </row>
    <row r="135" spans="17:23" ht="21" customHeight="1" x14ac:dyDescent="0.45">
      <c r="Q135" s="72" t="s">
        <v>93</v>
      </c>
      <c r="R135" s="72"/>
      <c r="S135" s="72"/>
      <c r="T135" s="72"/>
      <c r="U135" s="72"/>
      <c r="V135" s="72"/>
      <c r="W135" s="73">
        <v>5</v>
      </c>
    </row>
    <row r="136" spans="17:23" ht="21" customHeight="1" x14ac:dyDescent="0.45">
      <c r="Q136" s="72"/>
      <c r="R136" s="72"/>
      <c r="S136" s="72"/>
      <c r="T136" s="72"/>
      <c r="U136" s="72"/>
      <c r="V136" s="72"/>
      <c r="W136" s="73"/>
    </row>
    <row r="137" spans="17:23" ht="21" customHeight="1" x14ac:dyDescent="0.5">
      <c r="Q137" s="74" t="s">
        <v>94</v>
      </c>
      <c r="W137" s="73">
        <v>5</v>
      </c>
    </row>
    <row r="139" spans="17:23" ht="21" customHeight="1" x14ac:dyDescent="0.45">
      <c r="Q139" s="72" t="s">
        <v>95</v>
      </c>
      <c r="R139" s="72"/>
      <c r="S139" s="72"/>
      <c r="T139" s="72"/>
      <c r="U139" s="72"/>
      <c r="V139" s="72"/>
      <c r="W139" s="73">
        <v>10</v>
      </c>
    </row>
    <row r="140" spans="17:23" ht="21" customHeight="1" x14ac:dyDescent="0.45">
      <c r="Q140" s="72"/>
      <c r="R140" s="72"/>
      <c r="S140" s="72"/>
      <c r="T140" s="72"/>
      <c r="U140" s="72"/>
      <c r="V140" s="72"/>
      <c r="W140" s="73"/>
    </row>
    <row r="141" spans="17:23" ht="21" customHeight="1" x14ac:dyDescent="0.45">
      <c r="Q141" s="72" t="s">
        <v>96</v>
      </c>
      <c r="R141" s="72"/>
      <c r="S141" s="72"/>
      <c r="T141" s="72"/>
      <c r="U141" s="72"/>
      <c r="V141" s="72"/>
      <c r="W141" s="73">
        <v>20</v>
      </c>
    </row>
    <row r="142" spans="17:23" ht="21" customHeight="1" x14ac:dyDescent="0.45">
      <c r="Q142" s="72"/>
      <c r="R142" s="72"/>
      <c r="S142" s="72"/>
      <c r="T142" s="72"/>
      <c r="U142" s="72"/>
      <c r="V142" s="72"/>
      <c r="W142" s="73"/>
    </row>
    <row r="143" spans="17:23" ht="21" customHeight="1" x14ac:dyDescent="0.45">
      <c r="Q143" s="72" t="s">
        <v>97</v>
      </c>
      <c r="R143" s="72"/>
      <c r="S143" s="72"/>
      <c r="T143" s="72"/>
      <c r="U143" s="72"/>
      <c r="V143" s="72"/>
      <c r="W143" s="73">
        <v>40</v>
      </c>
    </row>
    <row r="144" spans="17:23" ht="21" customHeight="1" x14ac:dyDescent="0.45">
      <c r="Q144" s="72"/>
      <c r="R144" s="72"/>
      <c r="S144" s="72"/>
      <c r="T144" s="72"/>
      <c r="U144" s="72"/>
      <c r="V144" s="72"/>
      <c r="W144" s="73"/>
    </row>
    <row r="145" spans="1:23" ht="21" customHeight="1" x14ac:dyDescent="0.45">
      <c r="Q145" s="72" t="s">
        <v>98</v>
      </c>
      <c r="R145" s="72"/>
      <c r="S145" s="72"/>
      <c r="T145" s="72"/>
      <c r="U145" s="72"/>
      <c r="V145" s="72"/>
      <c r="W145" s="73">
        <v>60</v>
      </c>
    </row>
    <row r="146" spans="1:23" ht="21" customHeight="1" x14ac:dyDescent="0.45">
      <c r="Q146" s="72"/>
      <c r="R146" s="72"/>
      <c r="S146" s="72"/>
      <c r="T146" s="72"/>
      <c r="U146" s="72"/>
      <c r="V146" s="72"/>
      <c r="W146" s="73"/>
    </row>
    <row r="147" spans="1:23" ht="21" customHeight="1" x14ac:dyDescent="0.45">
      <c r="Q147" s="72" t="s">
        <v>99</v>
      </c>
      <c r="W147" s="73">
        <v>40</v>
      </c>
    </row>
    <row r="149" spans="1:23" ht="21" customHeight="1" x14ac:dyDescent="0.45">
      <c r="Q149" s="72" t="s">
        <v>100</v>
      </c>
      <c r="R149" s="72"/>
      <c r="S149" s="72"/>
      <c r="T149" s="72"/>
      <c r="U149" s="72"/>
      <c r="V149" s="72"/>
      <c r="W149" s="73">
        <v>80</v>
      </c>
    </row>
    <row r="152" spans="1:23" ht="21" x14ac:dyDescent="0.5">
      <c r="A152" s="75" t="s">
        <v>101</v>
      </c>
      <c r="B152" s="83"/>
      <c r="C152" s="83"/>
      <c r="D152" s="83"/>
      <c r="E152" s="83"/>
      <c r="F152" s="83"/>
      <c r="G152" s="83"/>
      <c r="H152" s="83"/>
    </row>
    <row r="153" spans="1:23" x14ac:dyDescent="0.45">
      <c r="A153" s="2"/>
      <c r="B153" s="2"/>
      <c r="C153" s="2"/>
      <c r="D153" s="2"/>
      <c r="E153" s="2"/>
      <c r="F153" s="2"/>
      <c r="G153" s="2"/>
      <c r="H153" s="2"/>
    </row>
    <row r="154" spans="1:23" x14ac:dyDescent="0.45">
      <c r="A154" s="23" t="s">
        <v>102</v>
      </c>
      <c r="B154" s="24">
        <f>SUM(G160:G231)</f>
        <v>235</v>
      </c>
      <c r="C154" s="2"/>
      <c r="D154" s="2"/>
      <c r="E154" s="2"/>
      <c r="F154" s="2"/>
      <c r="G154" s="2"/>
      <c r="H154" s="2"/>
    </row>
    <row r="155" spans="1:23" x14ac:dyDescent="0.45">
      <c r="A155" s="23" t="s">
        <v>103</v>
      </c>
      <c r="B155" s="24">
        <f>SUM(H160:H231)</f>
        <v>238</v>
      </c>
      <c r="C155" s="2"/>
      <c r="D155" s="2"/>
      <c r="E155" s="2"/>
      <c r="F155" s="2"/>
      <c r="G155" s="2"/>
      <c r="H155" s="2"/>
    </row>
    <row r="156" spans="1:23" x14ac:dyDescent="0.45">
      <c r="A156" s="23" t="s">
        <v>104</v>
      </c>
      <c r="B156" s="24">
        <f>SUM(E234:E265)</f>
        <v>135</v>
      </c>
      <c r="C156" s="2"/>
      <c r="D156" s="2"/>
      <c r="E156" s="2"/>
      <c r="F156" s="2"/>
      <c r="G156" s="2"/>
      <c r="H156" s="2"/>
    </row>
    <row r="157" spans="1:23" x14ac:dyDescent="0.45">
      <c r="A157" s="25" t="s">
        <v>105</v>
      </c>
      <c r="B157" s="26">
        <f>B154+B155+B156</f>
        <v>608</v>
      </c>
      <c r="C157" s="2"/>
      <c r="D157" s="2"/>
      <c r="E157" s="2"/>
      <c r="F157" s="2"/>
      <c r="G157" s="2"/>
      <c r="H157" s="2"/>
    </row>
    <row r="158" spans="1:23" x14ac:dyDescent="0.45">
      <c r="A158" s="2"/>
      <c r="B158" s="2"/>
      <c r="C158" s="2"/>
      <c r="D158" s="2"/>
      <c r="E158" s="2"/>
      <c r="F158" s="2"/>
      <c r="G158" s="2"/>
      <c r="H158" s="2"/>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4</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5</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5</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4</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5</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2</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4</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2</v>
      </c>
    </row>
    <row r="201" spans="1:8" x14ac:dyDescent="0.45">
      <c r="A201" s="28">
        <v>42</v>
      </c>
      <c r="B201" s="29" t="s">
        <v>236</v>
      </c>
      <c r="C201" s="30" t="s">
        <v>237</v>
      </c>
      <c r="D201" s="30" t="s">
        <v>238</v>
      </c>
      <c r="E201" s="28">
        <f>Realität!B79</f>
        <v>1</v>
      </c>
      <c r="F201" s="28">
        <f>Realität!C79</f>
        <v>1</v>
      </c>
      <c r="G201" s="28">
        <f>IF(OR(B79="",Realität!B79=""),0,IF(SIGN(B79-C79)=SIGN(Realität!B79-Realität!C79),5,0))</f>
        <v>5</v>
      </c>
      <c r="H201" s="28">
        <f>IF(OR(B79="",Realität!B79=""),0,MAX(0,5-ABS(B79-Realität!B79)-ABS(C79-Realität!C79)))</f>
        <v>5</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2</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4</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3</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3</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3</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2</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5</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4</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B232" s="2"/>
      <c r="C232" s="2"/>
      <c r="D232" s="2"/>
      <c r="E232" s="2"/>
      <c r="F232" s="23" t="s">
        <v>330</v>
      </c>
      <c r="G232" s="24">
        <f>SUM(G160:G231)</f>
        <v>235</v>
      </c>
      <c r="H232" s="24">
        <f>SUM(H160:H231)</f>
        <v>238</v>
      </c>
    </row>
    <row r="233" spans="1:8" x14ac:dyDescent="0.45">
      <c r="A233" s="27" t="s">
        <v>106</v>
      </c>
      <c r="B233" s="27" t="s">
        <v>331</v>
      </c>
      <c r="C233" s="27" t="s">
        <v>332</v>
      </c>
      <c r="D233" s="27" t="s">
        <v>333</v>
      </c>
      <c r="E233" s="27" t="s">
        <v>52</v>
      </c>
      <c r="F233" s="2"/>
      <c r="G233" s="2"/>
      <c r="H233" s="2"/>
    </row>
    <row r="234" spans="1:8" x14ac:dyDescent="0.45">
      <c r="A234" s="28">
        <v>1</v>
      </c>
      <c r="B234" s="29" t="s">
        <v>334</v>
      </c>
      <c r="C234" s="29" t="str">
        <f>Realität!B43</f>
        <v>Mexiko</v>
      </c>
      <c r="D234" s="29" t="str">
        <f>B43</f>
        <v>Mexiko</v>
      </c>
      <c r="E234" s="28">
        <f t="shared" ref="E234:E265" si="0">IF(OR(C234="",D234=""),0,IF(COUNTIF($C$234:$C$265,D234)&gt;0,5,0))</f>
        <v>5</v>
      </c>
      <c r="F234" s="2"/>
      <c r="G234" s="2"/>
      <c r="H234" s="2"/>
    </row>
    <row r="235" spans="1:8" x14ac:dyDescent="0.45">
      <c r="A235" s="28">
        <v>2</v>
      </c>
      <c r="B235" s="29" t="s">
        <v>335</v>
      </c>
      <c r="C235" s="29" t="str">
        <f>Realität!B44</f>
        <v>Südafrika</v>
      </c>
      <c r="D235" s="29" t="str">
        <f>B44</f>
        <v>Südkorea</v>
      </c>
      <c r="E235" s="28">
        <f t="shared" si="0"/>
        <v>0</v>
      </c>
      <c r="F235" s="2"/>
      <c r="G235" s="2"/>
      <c r="H235" s="2"/>
    </row>
    <row r="236" spans="1:8" x14ac:dyDescent="0.45">
      <c r="A236" s="28">
        <v>3</v>
      </c>
      <c r="B236" s="29" t="s">
        <v>336</v>
      </c>
      <c r="C236" s="29" t="str">
        <f>Realität!I43</f>
        <v>Schweiz</v>
      </c>
      <c r="D236" s="29" t="str">
        <f>I43</f>
        <v>Kanada</v>
      </c>
      <c r="E236" s="28">
        <f t="shared" si="0"/>
        <v>5</v>
      </c>
      <c r="F236" s="2"/>
      <c r="G236" s="2"/>
      <c r="H236" s="2"/>
    </row>
    <row r="237" spans="1:8" x14ac:dyDescent="0.45">
      <c r="A237" s="28">
        <v>4</v>
      </c>
      <c r="B237" s="29" t="s">
        <v>337</v>
      </c>
      <c r="C237" s="29" t="str">
        <f>Realität!I44</f>
        <v>Kanada</v>
      </c>
      <c r="D237" s="29" t="str">
        <f>I44</f>
        <v>Schweiz</v>
      </c>
      <c r="E237" s="28">
        <f t="shared" si="0"/>
        <v>5</v>
      </c>
      <c r="F237" s="2"/>
      <c r="G237" s="2"/>
      <c r="H237" s="2"/>
    </row>
    <row r="238" spans="1:8" x14ac:dyDescent="0.45">
      <c r="A238" s="28">
        <v>5</v>
      </c>
      <c r="B238" s="29" t="s">
        <v>338</v>
      </c>
      <c r="C238" s="29" t="str">
        <f>Realität!P43</f>
        <v>Brasilien</v>
      </c>
      <c r="D238" s="29" t="str">
        <f>P43</f>
        <v>Brasilien</v>
      </c>
      <c r="E238" s="28">
        <f t="shared" si="0"/>
        <v>5</v>
      </c>
      <c r="F238" s="2"/>
      <c r="G238" s="2"/>
      <c r="H238" s="2"/>
    </row>
    <row r="239" spans="1:8" x14ac:dyDescent="0.45">
      <c r="A239" s="28">
        <v>6</v>
      </c>
      <c r="B239" s="29" t="s">
        <v>339</v>
      </c>
      <c r="C239" s="29" t="str">
        <f>Realität!P44</f>
        <v>Marokko</v>
      </c>
      <c r="D239" s="29" t="str">
        <f>P44</f>
        <v>Marokko</v>
      </c>
      <c r="E239" s="28">
        <f t="shared" si="0"/>
        <v>5</v>
      </c>
      <c r="F239" s="2"/>
      <c r="G239" s="2"/>
      <c r="H239" s="2"/>
    </row>
    <row r="240" spans="1:8" x14ac:dyDescent="0.45">
      <c r="A240" s="28">
        <v>7</v>
      </c>
      <c r="B240" s="29" t="s">
        <v>340</v>
      </c>
      <c r="C240" s="29" t="str">
        <f>Realität!W43</f>
        <v>USA</v>
      </c>
      <c r="D240" s="29" t="str">
        <f>W43</f>
        <v>USA</v>
      </c>
      <c r="E240" s="28">
        <f t="shared" si="0"/>
        <v>5</v>
      </c>
      <c r="F240" s="2"/>
      <c r="G240" s="2"/>
      <c r="H240" s="2"/>
    </row>
    <row r="241" spans="1:8" x14ac:dyDescent="0.45">
      <c r="A241" s="28">
        <v>8</v>
      </c>
      <c r="B241" s="29" t="s">
        <v>341</v>
      </c>
      <c r="C241" s="29" t="str">
        <f>Realität!W44</f>
        <v>Australien</v>
      </c>
      <c r="D241" s="29" t="str">
        <f>W44</f>
        <v>Türkei</v>
      </c>
      <c r="E241" s="28">
        <f t="shared" si="0"/>
        <v>0</v>
      </c>
      <c r="F241" s="2"/>
      <c r="G241" s="2"/>
      <c r="H241" s="2"/>
    </row>
    <row r="242" spans="1:8" x14ac:dyDescent="0.45">
      <c r="A242" s="28">
        <v>9</v>
      </c>
      <c r="B242" s="29" t="s">
        <v>342</v>
      </c>
      <c r="C242" s="29" t="str">
        <f>Realität!AD43</f>
        <v>Deutschland</v>
      </c>
      <c r="D242" s="29" t="str">
        <f>AD43</f>
        <v>Deutschland</v>
      </c>
      <c r="E242" s="28">
        <f t="shared" si="0"/>
        <v>5</v>
      </c>
      <c r="F242" s="2"/>
      <c r="G242" s="2"/>
      <c r="H242" s="2"/>
    </row>
    <row r="243" spans="1:8" x14ac:dyDescent="0.45">
      <c r="A243" s="28">
        <v>10</v>
      </c>
      <c r="B243" s="29" t="s">
        <v>343</v>
      </c>
      <c r="C243" s="29" t="str">
        <f>Realität!AD44</f>
        <v>Elfenbeinküste</v>
      </c>
      <c r="D243" s="29" t="str">
        <f>AD44</f>
        <v>Elfenbeinküste</v>
      </c>
      <c r="E243" s="28">
        <f t="shared" si="0"/>
        <v>5</v>
      </c>
      <c r="F243" s="2"/>
      <c r="G243" s="2"/>
      <c r="H243" s="2"/>
    </row>
    <row r="244" spans="1:8" x14ac:dyDescent="0.45">
      <c r="A244" s="28">
        <v>11</v>
      </c>
      <c r="B244" s="29" t="s">
        <v>344</v>
      </c>
      <c r="C244" s="29" t="str">
        <f>Realität!AK43</f>
        <v>Niederlande</v>
      </c>
      <c r="D244" s="29" t="str">
        <f>AK43</f>
        <v>Niederlande</v>
      </c>
      <c r="E244" s="28">
        <f t="shared" si="0"/>
        <v>5</v>
      </c>
      <c r="F244" s="2"/>
      <c r="G244" s="2"/>
      <c r="H244" s="2"/>
    </row>
    <row r="245" spans="1:8" x14ac:dyDescent="0.45">
      <c r="A245" s="28">
        <v>12</v>
      </c>
      <c r="B245" s="29" t="s">
        <v>345</v>
      </c>
      <c r="C245" s="29" t="str">
        <f>Realität!AK44</f>
        <v>Japan</v>
      </c>
      <c r="D245" s="29" t="str">
        <f>AK44</f>
        <v>Japan</v>
      </c>
      <c r="E245" s="28">
        <f t="shared" si="0"/>
        <v>5</v>
      </c>
      <c r="F245" s="2"/>
      <c r="G245" s="2"/>
      <c r="H245" s="2"/>
    </row>
    <row r="246" spans="1:8" x14ac:dyDescent="0.45">
      <c r="A246" s="28">
        <v>13</v>
      </c>
      <c r="B246" s="29" t="s">
        <v>346</v>
      </c>
      <c r="C246" s="29" t="str">
        <f>Realität!B90</f>
        <v>Belgien</v>
      </c>
      <c r="D246" s="29" t="str">
        <f>B90</f>
        <v>Belgien</v>
      </c>
      <c r="E246" s="28">
        <f t="shared" si="0"/>
        <v>5</v>
      </c>
      <c r="F246" s="2"/>
      <c r="G246" s="2"/>
      <c r="H246" s="2"/>
    </row>
    <row r="247" spans="1:8" x14ac:dyDescent="0.45">
      <c r="A247" s="28">
        <v>14</v>
      </c>
      <c r="B247" s="29" t="s">
        <v>347</v>
      </c>
      <c r="C247" s="29" t="str">
        <f>Realität!B91</f>
        <v>Ägypten</v>
      </c>
      <c r="D247" s="29" t="str">
        <f>B91</f>
        <v>Ägypten</v>
      </c>
      <c r="E247" s="28">
        <f t="shared" si="0"/>
        <v>5</v>
      </c>
      <c r="F247" s="2"/>
      <c r="G247" s="2"/>
      <c r="H247" s="2"/>
    </row>
    <row r="248" spans="1:8" x14ac:dyDescent="0.45">
      <c r="A248" s="28">
        <v>15</v>
      </c>
      <c r="B248" s="29" t="s">
        <v>348</v>
      </c>
      <c r="C248" s="29" t="str">
        <f>Realität!I90</f>
        <v>Spanien</v>
      </c>
      <c r="D248" s="29" t="str">
        <f>I90</f>
        <v>Spanien</v>
      </c>
      <c r="E248" s="28">
        <f t="shared" si="0"/>
        <v>5</v>
      </c>
      <c r="F248" s="2"/>
      <c r="G248" s="2"/>
      <c r="H248" s="2"/>
    </row>
    <row r="249" spans="1:8" x14ac:dyDescent="0.45">
      <c r="A249" s="28">
        <v>16</v>
      </c>
      <c r="B249" s="29" t="s">
        <v>349</v>
      </c>
      <c r="C249" s="29" t="str">
        <f>Realität!I91</f>
        <v>Kap Verde</v>
      </c>
      <c r="D249" s="29" t="str">
        <f>I91</f>
        <v>Uruguay</v>
      </c>
      <c r="E249" s="28">
        <f t="shared" si="0"/>
        <v>0</v>
      </c>
      <c r="F249" s="2"/>
      <c r="G249" s="2"/>
      <c r="H249" s="2"/>
    </row>
    <row r="250" spans="1:8" x14ac:dyDescent="0.45">
      <c r="A250" s="28">
        <v>17</v>
      </c>
      <c r="B250" s="29" t="s">
        <v>350</v>
      </c>
      <c r="C250" s="29" t="str">
        <f>Realität!P90</f>
        <v>Frankreich</v>
      </c>
      <c r="D250" s="29" t="str">
        <f>P90</f>
        <v>Frankreich</v>
      </c>
      <c r="E250" s="28">
        <f t="shared" si="0"/>
        <v>5</v>
      </c>
      <c r="F250" s="2"/>
      <c r="G250" s="2"/>
      <c r="H250" s="2"/>
    </row>
    <row r="251" spans="1:8" x14ac:dyDescent="0.45">
      <c r="A251" s="28">
        <v>18</v>
      </c>
      <c r="B251" s="29" t="s">
        <v>351</v>
      </c>
      <c r="C251" s="29" t="str">
        <f>Realität!P91</f>
        <v>Norwegen</v>
      </c>
      <c r="D251" s="29" t="str">
        <f>P91</f>
        <v>Norwegen</v>
      </c>
      <c r="E251" s="28">
        <f t="shared" si="0"/>
        <v>5</v>
      </c>
      <c r="F251" s="2"/>
      <c r="G251" s="2"/>
      <c r="H251" s="2"/>
    </row>
    <row r="252" spans="1:8" x14ac:dyDescent="0.45">
      <c r="A252" s="28">
        <v>19</v>
      </c>
      <c r="B252" s="29" t="s">
        <v>352</v>
      </c>
      <c r="C252" s="29" t="str">
        <f>Realität!W90</f>
        <v>Argentinien</v>
      </c>
      <c r="D252" s="29" t="str">
        <f>W90</f>
        <v>Argentinien</v>
      </c>
      <c r="E252" s="28">
        <f t="shared" si="0"/>
        <v>5</v>
      </c>
      <c r="F252" s="2"/>
      <c r="G252" s="2"/>
      <c r="H252" s="2"/>
    </row>
    <row r="253" spans="1:8" x14ac:dyDescent="0.45">
      <c r="A253" s="28">
        <v>20</v>
      </c>
      <c r="B253" s="29" t="s">
        <v>353</v>
      </c>
      <c r="C253" s="29" t="str">
        <f>Realität!W91</f>
        <v>Österreich</v>
      </c>
      <c r="D253" s="29" t="str">
        <f>W91</f>
        <v>Österreich</v>
      </c>
      <c r="E253" s="28">
        <f t="shared" si="0"/>
        <v>5</v>
      </c>
      <c r="F253" s="2"/>
      <c r="G253" s="2"/>
      <c r="H253" s="2"/>
    </row>
    <row r="254" spans="1:8" x14ac:dyDescent="0.45">
      <c r="A254" s="28">
        <v>21</v>
      </c>
      <c r="B254" s="29" t="s">
        <v>354</v>
      </c>
      <c r="C254" s="29" t="str">
        <f>Realität!AD90</f>
        <v>Kolumbien</v>
      </c>
      <c r="D254" s="29" t="str">
        <f>AD90</f>
        <v>Portugal</v>
      </c>
      <c r="E254" s="28">
        <f t="shared" si="0"/>
        <v>5</v>
      </c>
      <c r="F254" s="2"/>
      <c r="G254" s="2"/>
      <c r="H254" s="2"/>
    </row>
    <row r="255" spans="1:8" x14ac:dyDescent="0.45">
      <c r="A255" s="28">
        <v>22</v>
      </c>
      <c r="B255" s="29" t="s">
        <v>355</v>
      </c>
      <c r="C255" s="29" t="str">
        <f>Realität!AD91</f>
        <v>Portugal</v>
      </c>
      <c r="D255" s="29" t="str">
        <f>AD91</f>
        <v>Kolumbien</v>
      </c>
      <c r="E255" s="28">
        <f t="shared" si="0"/>
        <v>5</v>
      </c>
      <c r="F255" s="2"/>
      <c r="G255" s="2"/>
      <c r="H255" s="2"/>
    </row>
    <row r="256" spans="1:8" x14ac:dyDescent="0.45">
      <c r="A256" s="28">
        <v>23</v>
      </c>
      <c r="B256" s="29" t="s">
        <v>356</v>
      </c>
      <c r="C256" s="29" t="str">
        <f>Realität!AK90</f>
        <v>England</v>
      </c>
      <c r="D256" s="29" t="str">
        <f>AK90</f>
        <v>England</v>
      </c>
      <c r="E256" s="28">
        <f t="shared" si="0"/>
        <v>5</v>
      </c>
      <c r="F256" s="2"/>
      <c r="G256" s="2"/>
      <c r="H256" s="2"/>
    </row>
    <row r="257" spans="1:8" x14ac:dyDescent="0.45">
      <c r="A257" s="28">
        <v>24</v>
      </c>
      <c r="B257" s="29" t="s">
        <v>357</v>
      </c>
      <c r="C257" s="29" t="str">
        <f>Realität!AK91</f>
        <v>Kroatien</v>
      </c>
      <c r="D257" s="29" t="str">
        <f>AK91</f>
        <v>Kroatien</v>
      </c>
      <c r="E257" s="28">
        <f t="shared" si="0"/>
        <v>5</v>
      </c>
      <c r="F257" s="2"/>
      <c r="G257" s="2"/>
      <c r="H257" s="2"/>
    </row>
    <row r="258" spans="1:8" x14ac:dyDescent="0.45">
      <c r="A258" s="28">
        <v>25</v>
      </c>
      <c r="B258" s="29" t="s">
        <v>358</v>
      </c>
      <c r="C258" s="29" t="str">
        <f>Realität!R112</f>
        <v>DR Kongo</v>
      </c>
      <c r="D258" s="29" t="str">
        <f t="shared" ref="D258:D265" si="1">R112</f>
        <v>Ecuador</v>
      </c>
      <c r="E258" s="28">
        <f t="shared" si="0"/>
        <v>5</v>
      </c>
      <c r="F258" s="2"/>
      <c r="G258" s="2"/>
      <c r="H258" s="2"/>
    </row>
    <row r="259" spans="1:8" x14ac:dyDescent="0.45">
      <c r="A259" s="28">
        <v>26</v>
      </c>
      <c r="B259" s="29" t="s">
        <v>359</v>
      </c>
      <c r="C259" s="29" t="str">
        <f>Realität!R113</f>
        <v>Schweden</v>
      </c>
      <c r="D259" s="29" t="str">
        <f t="shared" si="1"/>
        <v>Tschechien</v>
      </c>
      <c r="E259" s="28">
        <f t="shared" si="0"/>
        <v>0</v>
      </c>
      <c r="F259" s="2"/>
      <c r="G259" s="2"/>
      <c r="H259" s="2"/>
    </row>
    <row r="260" spans="1:8" x14ac:dyDescent="0.45">
      <c r="A260" s="28">
        <v>27</v>
      </c>
      <c r="B260" s="29" t="s">
        <v>360</v>
      </c>
      <c r="C260" s="29" t="str">
        <f>Realität!R114</f>
        <v>Ghana</v>
      </c>
      <c r="D260" s="29" t="str">
        <f t="shared" si="1"/>
        <v>Schweden</v>
      </c>
      <c r="E260" s="28">
        <f t="shared" si="0"/>
        <v>5</v>
      </c>
      <c r="F260" s="2"/>
      <c r="G260" s="2"/>
      <c r="H260" s="2"/>
    </row>
    <row r="261" spans="1:8" x14ac:dyDescent="0.45">
      <c r="A261" s="28">
        <v>28</v>
      </c>
      <c r="B261" s="29" t="s">
        <v>361</v>
      </c>
      <c r="C261" s="29" t="str">
        <f>Realität!R115</f>
        <v>Ecuador</v>
      </c>
      <c r="D261" s="29" t="str">
        <f t="shared" si="1"/>
        <v>Iran</v>
      </c>
      <c r="E261" s="28">
        <f t="shared" si="0"/>
        <v>0</v>
      </c>
      <c r="F261" s="2"/>
      <c r="G261" s="2"/>
      <c r="H261" s="2"/>
    </row>
    <row r="262" spans="1:8" x14ac:dyDescent="0.45">
      <c r="A262" s="28">
        <v>29</v>
      </c>
      <c r="B262" s="29" t="s">
        <v>362</v>
      </c>
      <c r="C262" s="29" t="str">
        <f>Realität!R116</f>
        <v>Bosnien-Herz.</v>
      </c>
      <c r="D262" s="29" t="str">
        <f t="shared" si="1"/>
        <v>Algerien</v>
      </c>
      <c r="E262" s="28">
        <f t="shared" si="0"/>
        <v>5</v>
      </c>
      <c r="F262" s="2"/>
      <c r="G262" s="2"/>
      <c r="H262" s="2"/>
    </row>
    <row r="263" spans="1:8" x14ac:dyDescent="0.45">
      <c r="A263" s="28">
        <v>30</v>
      </c>
      <c r="B263" s="29" t="s">
        <v>363</v>
      </c>
      <c r="C263" s="29" t="str">
        <f>Realität!R117</f>
        <v>Algerien</v>
      </c>
      <c r="D263" s="29" t="str">
        <f t="shared" si="1"/>
        <v>Paraguay</v>
      </c>
      <c r="E263" s="28">
        <f t="shared" si="0"/>
        <v>5</v>
      </c>
      <c r="F263" s="2"/>
      <c r="G263" s="2"/>
      <c r="H263" s="2"/>
    </row>
    <row r="264" spans="1:8" x14ac:dyDescent="0.45">
      <c r="A264" s="28">
        <v>31</v>
      </c>
      <c r="B264" s="29" t="s">
        <v>364</v>
      </c>
      <c r="C264" s="29" t="str">
        <f>Realität!R118</f>
        <v>Paraguay</v>
      </c>
      <c r="D264" s="29" t="str">
        <f t="shared" si="1"/>
        <v>Senegal</v>
      </c>
      <c r="E264" s="28">
        <f t="shared" si="0"/>
        <v>5</v>
      </c>
      <c r="F264" s="2"/>
      <c r="G264" s="2"/>
      <c r="H264" s="2"/>
    </row>
    <row r="265" spans="1:8" x14ac:dyDescent="0.45">
      <c r="A265" s="28">
        <v>32</v>
      </c>
      <c r="B265" s="29" t="s">
        <v>365</v>
      </c>
      <c r="C265" s="29" t="str">
        <f>Realität!R119</f>
        <v>Senegal</v>
      </c>
      <c r="D265" s="29" t="str">
        <f t="shared" si="1"/>
        <v>Bosnien-Herz.</v>
      </c>
      <c r="E265" s="28">
        <f t="shared" si="0"/>
        <v>5</v>
      </c>
      <c r="F265" s="2"/>
      <c r="G265" s="2"/>
      <c r="H265" s="2"/>
    </row>
    <row r="266" spans="1:8" x14ac:dyDescent="0.45">
      <c r="A266" s="2"/>
      <c r="B266" s="2"/>
      <c r="C266" s="2"/>
      <c r="D266" s="23" t="s">
        <v>330</v>
      </c>
      <c r="E266" s="24">
        <f>SUM(E234:E265)</f>
        <v>135</v>
      </c>
      <c r="F266" s="2"/>
      <c r="G266" s="2"/>
      <c r="H266" s="2"/>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9999999999998" bottom="0.78749999999999998"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4FA-B7AD-4A07-94F0-727508C44A1D}">
  <dimension ref="A1:AP266"/>
  <sheetViews>
    <sheetView topLeftCell="A122" zoomScale="75" workbookViewId="0">
      <selection activeCell="J159" sqref="J159"/>
    </sheetView>
  </sheetViews>
  <sheetFormatPr defaultColWidth="11.44140625" defaultRowHeight="17.399999999999999" x14ac:dyDescent="0.45"/>
  <cols>
    <col min="1" max="1" width="11.44140625" style="2" customWidth="1"/>
    <col min="2" max="3" width="16.77734375" style="2" customWidth="1"/>
    <col min="4" max="6" width="4.33203125" style="2" customWidth="1"/>
    <col min="7" max="8" width="11.44140625" style="2" customWidth="1"/>
    <col min="9" max="10" width="16.77734375" style="2" customWidth="1"/>
    <col min="11" max="13" width="4.33203125" style="2" customWidth="1"/>
    <col min="14" max="15" width="11.44140625" style="2" customWidth="1"/>
    <col min="16" max="17" width="16.77734375" style="2" customWidth="1"/>
    <col min="18" max="18" width="5.33203125" style="2" customWidth="1"/>
    <col min="19" max="20" width="4.33203125" style="2" customWidth="1"/>
    <col min="21" max="21" width="16.77734375" style="2" customWidth="1"/>
    <col min="22" max="22" width="11.44140625" style="2" customWidth="1"/>
    <col min="23" max="24" width="16.77734375" style="2" customWidth="1"/>
    <col min="25" max="27" width="4.33203125" style="2" customWidth="1"/>
    <col min="28" max="29" width="11.44140625" style="2" customWidth="1"/>
    <col min="30" max="31" width="16.77734375" style="2" customWidth="1"/>
    <col min="32" max="32" width="4.33203125" style="2" customWidth="1"/>
    <col min="33" max="33" width="4.44140625" style="2" customWidth="1"/>
    <col min="34" max="35" width="4.33203125" style="2" customWidth="1"/>
    <col min="36" max="36" width="11.44140625" style="2" customWidth="1"/>
    <col min="37" max="38" width="16.77734375" style="2" customWidth="1"/>
    <col min="39" max="41" width="4.33203125" style="2" customWidth="1"/>
    <col min="42" max="42" width="11.44140625" style="2" customWidth="1"/>
    <col min="43" max="16384" width="11.44140625" style="2"/>
  </cols>
  <sheetData>
    <row r="1" spans="1:42" ht="17.55" customHeight="1" x14ac:dyDescent="0.7">
      <c r="A1" s="17"/>
      <c r="B1" s="79" t="s">
        <v>18</v>
      </c>
      <c r="C1" s="83"/>
      <c r="D1" s="4"/>
      <c r="E1" s="6"/>
      <c r="F1" s="6"/>
      <c r="G1" s="4"/>
      <c r="H1" s="79" t="s">
        <v>19</v>
      </c>
      <c r="I1" s="83"/>
      <c r="J1" s="83"/>
      <c r="K1" s="83"/>
      <c r="L1" s="6"/>
      <c r="M1" s="6"/>
      <c r="N1" s="4"/>
      <c r="O1" s="79" t="s">
        <v>20</v>
      </c>
      <c r="P1" s="83"/>
      <c r="Q1" s="83"/>
      <c r="R1" s="83"/>
      <c r="S1" s="6"/>
      <c r="T1" s="6"/>
      <c r="U1" s="4"/>
      <c r="V1" s="79" t="s">
        <v>21</v>
      </c>
      <c r="W1" s="83"/>
      <c r="X1" s="83"/>
      <c r="Y1" s="83"/>
      <c r="Z1" s="6"/>
      <c r="AA1" s="6"/>
      <c r="AB1" s="4"/>
      <c r="AC1" s="79" t="s">
        <v>22</v>
      </c>
      <c r="AD1" s="83"/>
      <c r="AE1" s="83"/>
      <c r="AF1" s="83"/>
      <c r="AG1" s="6"/>
      <c r="AH1" s="6"/>
      <c r="AI1" s="4"/>
      <c r="AJ1" s="79" t="s">
        <v>23</v>
      </c>
      <c r="AK1" s="83"/>
      <c r="AL1" s="83"/>
      <c r="AM1" s="83"/>
      <c r="AN1" s="6"/>
      <c r="AO1" s="6"/>
      <c r="AP1" s="4"/>
    </row>
    <row r="2" spans="1:42" x14ac:dyDescent="0.45">
      <c r="A2" s="4"/>
      <c r="B2" s="83"/>
      <c r="C2" s="83"/>
      <c r="D2" s="4"/>
      <c r="E2" s="6"/>
      <c r="F2" s="6"/>
      <c r="G2" s="4"/>
      <c r="H2" s="83"/>
      <c r="I2" s="83"/>
      <c r="J2" s="83"/>
      <c r="K2" s="83"/>
      <c r="L2" s="6"/>
      <c r="M2" s="6"/>
      <c r="N2" s="4"/>
      <c r="O2" s="83"/>
      <c r="P2" s="83"/>
      <c r="Q2" s="83"/>
      <c r="R2" s="83"/>
      <c r="S2" s="6"/>
      <c r="T2" s="6"/>
      <c r="U2" s="4"/>
      <c r="V2" s="83"/>
      <c r="W2" s="83"/>
      <c r="X2" s="83"/>
      <c r="Y2" s="83"/>
      <c r="Z2" s="6"/>
      <c r="AA2" s="6"/>
      <c r="AB2" s="4"/>
      <c r="AC2" s="83"/>
      <c r="AD2" s="83"/>
      <c r="AE2" s="83"/>
      <c r="AF2" s="83"/>
      <c r="AG2" s="6"/>
      <c r="AH2" s="6"/>
      <c r="AI2" s="4"/>
      <c r="AJ2" s="83"/>
      <c r="AK2" s="83"/>
      <c r="AL2" s="83"/>
      <c r="AM2" s="83"/>
      <c r="AN2" s="6"/>
      <c r="AO2" s="6"/>
      <c r="AP2" s="4"/>
    </row>
    <row r="3" spans="1:42" x14ac:dyDescent="0.45">
      <c r="A3" s="4"/>
      <c r="B3" s="81" t="s">
        <v>24</v>
      </c>
      <c r="C3" s="83"/>
      <c r="D3" s="4"/>
      <c r="E3" s="4"/>
      <c r="F3" s="4"/>
      <c r="G3" s="4"/>
      <c r="H3" s="4"/>
      <c r="I3" s="81" t="s">
        <v>24</v>
      </c>
      <c r="J3" s="83"/>
      <c r="K3" s="4"/>
      <c r="L3" s="4"/>
      <c r="M3" s="4"/>
      <c r="N3" s="4"/>
      <c r="O3" s="4"/>
      <c r="P3" s="81" t="s">
        <v>24</v>
      </c>
      <c r="Q3" s="83"/>
      <c r="R3" s="4"/>
      <c r="S3" s="4"/>
      <c r="T3" s="4"/>
      <c r="U3" s="4"/>
      <c r="V3" s="4"/>
      <c r="W3" s="81" t="s">
        <v>24</v>
      </c>
      <c r="X3" s="83"/>
      <c r="Y3" s="4"/>
      <c r="Z3" s="4"/>
      <c r="AA3" s="4"/>
      <c r="AB3" s="4"/>
      <c r="AC3" s="4"/>
      <c r="AD3" s="81" t="s">
        <v>24</v>
      </c>
      <c r="AE3" s="83"/>
      <c r="AF3" s="4"/>
      <c r="AG3" s="4"/>
      <c r="AH3" s="4"/>
      <c r="AI3" s="4"/>
      <c r="AJ3" s="4"/>
      <c r="AK3" s="81" t="s">
        <v>24</v>
      </c>
      <c r="AL3" s="83"/>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1</v>
      </c>
      <c r="D5" s="4"/>
      <c r="E5" s="4"/>
      <c r="F5" s="4"/>
      <c r="G5" s="4"/>
      <c r="H5" s="4"/>
      <c r="I5" s="3">
        <v>2</v>
      </c>
      <c r="J5" s="3">
        <v>0</v>
      </c>
      <c r="K5" s="4"/>
      <c r="L5" s="4"/>
      <c r="M5" s="4"/>
      <c r="N5" s="4"/>
      <c r="O5" s="4"/>
      <c r="P5" s="3">
        <v>3</v>
      </c>
      <c r="Q5" s="3">
        <v>0</v>
      </c>
      <c r="R5" s="4"/>
      <c r="S5" s="4"/>
      <c r="T5" s="4"/>
      <c r="U5" s="4"/>
      <c r="V5" s="4"/>
      <c r="W5" s="3">
        <v>2</v>
      </c>
      <c r="X5" s="3">
        <v>1</v>
      </c>
      <c r="Y5" s="4"/>
      <c r="Z5" s="4"/>
      <c r="AA5" s="4"/>
      <c r="AB5" s="4"/>
      <c r="AC5" s="4"/>
      <c r="AD5" s="3">
        <v>6</v>
      </c>
      <c r="AE5" s="3">
        <v>0</v>
      </c>
      <c r="AF5" s="4"/>
      <c r="AG5" s="4"/>
      <c r="AH5" s="4"/>
      <c r="AI5" s="4"/>
      <c r="AJ5" s="4"/>
      <c r="AK5" s="3">
        <v>2</v>
      </c>
      <c r="AL5" s="3">
        <v>1</v>
      </c>
      <c r="AM5" s="4"/>
      <c r="AN5" s="4"/>
      <c r="AO5" s="4"/>
      <c r="AP5" s="4"/>
    </row>
    <row r="6" spans="1:42" x14ac:dyDescent="0.45">
      <c r="A6" s="4"/>
      <c r="B6" s="80" t="str">
        <f>IF(B5=C5,"Unentschieden",IF(B5&gt;C5,B4,C4))</f>
        <v>Mexiko</v>
      </c>
      <c r="C6" s="95"/>
      <c r="D6" s="4"/>
      <c r="E6" s="4"/>
      <c r="F6" s="4"/>
      <c r="G6" s="4"/>
      <c r="H6" s="4"/>
      <c r="I6" s="80" t="str">
        <f>IF(I5=J5,"Unentschieden",IF(I5&gt;J5,I4,J4))</f>
        <v>Kanada</v>
      </c>
      <c r="J6" s="95"/>
      <c r="K6" s="4"/>
      <c r="L6" s="4"/>
      <c r="M6" s="4"/>
      <c r="N6" s="4"/>
      <c r="O6" s="4"/>
      <c r="P6" s="80" t="str">
        <f>IF(P5=Q5,"Unentschieden",IF(P5&gt;Q5,P4,Q4))</f>
        <v>Brasilien</v>
      </c>
      <c r="Q6" s="95"/>
      <c r="R6" s="4"/>
      <c r="S6" s="4"/>
      <c r="T6" s="4"/>
      <c r="U6" s="4"/>
      <c r="V6" s="4"/>
      <c r="W6" s="80" t="str">
        <f>IF(W5=X5,"Unentschieden",IF(W5&gt;X5,W4,X4))</f>
        <v>USA</v>
      </c>
      <c r="X6" s="95"/>
      <c r="Y6" s="4"/>
      <c r="Z6" s="4"/>
      <c r="AA6" s="4"/>
      <c r="AB6" s="4"/>
      <c r="AC6" s="4"/>
      <c r="AD6" s="80" t="str">
        <f>IF(AD5=AE5,"Unentschieden",IF(AD5&gt;AE5,AD4,AE4))</f>
        <v>Deutschland</v>
      </c>
      <c r="AE6" s="95"/>
      <c r="AF6" s="4"/>
      <c r="AG6" s="4"/>
      <c r="AH6" s="4"/>
      <c r="AI6" s="4"/>
      <c r="AJ6" s="4"/>
      <c r="AK6" s="80" t="str">
        <f>IF(AK5=AL5,"Unentschieden",IF(AK5&gt;AL5,AK4,AL4))</f>
        <v>Niederlande</v>
      </c>
      <c r="AL6" s="95"/>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v>1</v>
      </c>
      <c r="C10" s="3">
        <v>1</v>
      </c>
      <c r="D10" s="4"/>
      <c r="E10" s="4"/>
      <c r="F10" s="4"/>
      <c r="G10" s="4"/>
      <c r="H10" s="4"/>
      <c r="I10" s="3">
        <v>1</v>
      </c>
      <c r="J10" s="3">
        <v>3</v>
      </c>
      <c r="K10" s="4"/>
      <c r="L10" s="4"/>
      <c r="M10" s="4"/>
      <c r="N10" s="4"/>
      <c r="O10" s="4"/>
      <c r="P10" s="3">
        <v>1</v>
      </c>
      <c r="Q10" s="3">
        <v>2</v>
      </c>
      <c r="R10" s="4"/>
      <c r="S10" s="4"/>
      <c r="T10" s="4"/>
      <c r="U10" s="4"/>
      <c r="V10" s="4"/>
      <c r="W10" s="3">
        <v>1</v>
      </c>
      <c r="X10" s="3">
        <v>2</v>
      </c>
      <c r="Y10" s="4"/>
      <c r="Z10" s="4"/>
      <c r="AA10" s="4"/>
      <c r="AB10" s="4"/>
      <c r="AC10" s="4"/>
      <c r="AD10" s="3">
        <v>2</v>
      </c>
      <c r="AE10" s="3">
        <v>1</v>
      </c>
      <c r="AF10" s="4"/>
      <c r="AG10" s="4"/>
      <c r="AH10" s="4"/>
      <c r="AI10" s="4"/>
      <c r="AJ10" s="4"/>
      <c r="AK10" s="3">
        <v>2</v>
      </c>
      <c r="AL10" s="3">
        <v>0</v>
      </c>
      <c r="AM10" s="4"/>
      <c r="AN10" s="4"/>
      <c r="AO10" s="4"/>
      <c r="AP10" s="4"/>
    </row>
    <row r="11" spans="1:42" x14ac:dyDescent="0.45">
      <c r="A11" s="4"/>
      <c r="B11" s="80" t="str">
        <f>IF(B10=C10,"Unentschieden",IF(B10&gt;C10,B9,C9))</f>
        <v>Unentschieden</v>
      </c>
      <c r="C11" s="95"/>
      <c r="D11" s="4"/>
      <c r="E11" s="4"/>
      <c r="F11" s="4"/>
      <c r="G11" s="4"/>
      <c r="H11" s="4"/>
      <c r="I11" s="80" t="str">
        <f>IF(I10=J10,"Unentschieden",IF(I10&gt;J10,I9,J9))</f>
        <v>Schweiz</v>
      </c>
      <c r="J11" s="95"/>
      <c r="K11" s="4"/>
      <c r="L11" s="4"/>
      <c r="M11" s="4"/>
      <c r="N11" s="4"/>
      <c r="O11" s="4"/>
      <c r="P11" s="80" t="str">
        <f>IF(P10=Q10,"Unentschieden",IF(P10&gt;Q10,P9,Q9))</f>
        <v>Schottland</v>
      </c>
      <c r="Q11" s="95"/>
      <c r="R11" s="4"/>
      <c r="S11" s="4"/>
      <c r="T11" s="4"/>
      <c r="U11" s="4"/>
      <c r="V11" s="4"/>
      <c r="W11" s="80" t="str">
        <f>IF(W10=X10,"Unentschieden",IF(W10&gt;X10,W9,X9))</f>
        <v>Türkei</v>
      </c>
      <c r="X11" s="95"/>
      <c r="Y11" s="4"/>
      <c r="Z11" s="4"/>
      <c r="AA11" s="4"/>
      <c r="AB11" s="4"/>
      <c r="AC11" s="4"/>
      <c r="AD11" s="80" t="str">
        <f>IF(AD10=AE10,"Unentschieden",IF(AD10&gt;AE10,AD9,AE9))</f>
        <v>Elfenbeinküste</v>
      </c>
      <c r="AE11" s="95"/>
      <c r="AF11" s="4"/>
      <c r="AG11" s="4"/>
      <c r="AH11" s="4"/>
      <c r="AI11" s="4"/>
      <c r="AJ11" s="4"/>
      <c r="AK11" s="80" t="str">
        <f>IF(AK10=AL10,"Unentschieden",IF(AK10&gt;AL10,AK9,AL9))</f>
        <v>Schweden</v>
      </c>
      <c r="AL11" s="95"/>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3"/>
      <c r="D14" s="4"/>
      <c r="E14" s="4"/>
      <c r="F14" s="4"/>
      <c r="G14" s="4"/>
      <c r="H14" s="4"/>
      <c r="I14" s="81" t="s">
        <v>49</v>
      </c>
      <c r="J14" s="83"/>
      <c r="K14" s="4"/>
      <c r="L14" s="4"/>
      <c r="M14" s="4"/>
      <c r="N14" s="4"/>
      <c r="O14" s="4"/>
      <c r="P14" s="81" t="s">
        <v>49</v>
      </c>
      <c r="Q14" s="83"/>
      <c r="R14" s="4"/>
      <c r="S14" s="4"/>
      <c r="T14" s="4"/>
      <c r="U14" s="4"/>
      <c r="V14" s="4"/>
      <c r="W14" s="81" t="s">
        <v>49</v>
      </c>
      <c r="X14" s="83"/>
      <c r="Y14" s="4"/>
      <c r="Z14" s="4"/>
      <c r="AA14" s="4"/>
      <c r="AB14" s="4"/>
      <c r="AC14" s="4"/>
      <c r="AD14" s="81" t="s">
        <v>49</v>
      </c>
      <c r="AE14" s="83"/>
      <c r="AF14" s="4"/>
      <c r="AG14" s="4"/>
      <c r="AH14" s="4"/>
      <c r="AI14" s="4"/>
      <c r="AJ14" s="4"/>
      <c r="AK14" s="81" t="s">
        <v>49</v>
      </c>
      <c r="AL14" s="83"/>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2</v>
      </c>
      <c r="C16" s="3">
        <v>0</v>
      </c>
      <c r="D16" s="4"/>
      <c r="E16" s="4"/>
      <c r="F16" s="4"/>
      <c r="G16" s="4"/>
      <c r="H16" s="4"/>
      <c r="I16" s="3">
        <v>2</v>
      </c>
      <c r="J16" s="3">
        <v>0</v>
      </c>
      <c r="K16" s="4"/>
      <c r="L16" s="4"/>
      <c r="M16" s="4"/>
      <c r="N16" s="4"/>
      <c r="O16" s="4"/>
      <c r="P16" s="3">
        <v>1</v>
      </c>
      <c r="Q16" s="3">
        <v>2</v>
      </c>
      <c r="R16" s="4"/>
      <c r="S16" s="4"/>
      <c r="T16" s="4"/>
      <c r="U16" s="4"/>
      <c r="V16" s="4"/>
      <c r="W16" s="3">
        <v>1</v>
      </c>
      <c r="X16" s="3">
        <v>1</v>
      </c>
      <c r="Y16" s="4"/>
      <c r="Z16" s="4"/>
      <c r="AA16" s="4"/>
      <c r="AB16" s="4"/>
      <c r="AC16" s="4"/>
      <c r="AD16" s="3">
        <v>3</v>
      </c>
      <c r="AE16" s="3">
        <v>0</v>
      </c>
      <c r="AF16" s="4"/>
      <c r="AG16" s="4"/>
      <c r="AH16" s="4"/>
      <c r="AI16" s="4"/>
      <c r="AJ16" s="4"/>
      <c r="AK16" s="3">
        <v>1</v>
      </c>
      <c r="AL16" s="3">
        <v>1</v>
      </c>
      <c r="AM16" s="4"/>
      <c r="AN16" s="4"/>
      <c r="AO16" s="4"/>
      <c r="AP16" s="4"/>
    </row>
    <row r="17" spans="1:42" x14ac:dyDescent="0.45">
      <c r="A17" s="4"/>
      <c r="B17" s="80" t="str">
        <f>IF(B16=C16,"Unentschieden",IF(B16&gt;C16,B15,C15))</f>
        <v>Tschechien</v>
      </c>
      <c r="C17" s="95"/>
      <c r="D17" s="4"/>
      <c r="E17" s="4"/>
      <c r="F17" s="4"/>
      <c r="G17" s="4"/>
      <c r="H17" s="4"/>
      <c r="I17" s="80" t="str">
        <f>IF(I16=J16,"Unentschieden",IF(I16&gt;J16,I15,J15))</f>
        <v>Schweiz</v>
      </c>
      <c r="J17" s="95"/>
      <c r="K17" s="4"/>
      <c r="L17" s="4"/>
      <c r="M17" s="4"/>
      <c r="N17" s="4"/>
      <c r="O17" s="4"/>
      <c r="P17" s="80" t="str">
        <f>IF(P16=Q16,"Unentschieden",IF(P16&gt;Q16,P15,Q15))</f>
        <v>Marokko</v>
      </c>
      <c r="Q17" s="95"/>
      <c r="R17" s="4"/>
      <c r="S17" s="4"/>
      <c r="T17" s="4"/>
      <c r="U17" s="4"/>
      <c r="V17" s="4"/>
      <c r="W17" s="80" t="str">
        <f>IF(W16=X16,"Unentschieden",IF(W16&gt;X16,W15,X15))</f>
        <v>Unentschieden</v>
      </c>
      <c r="X17" s="95"/>
      <c r="Y17" s="4"/>
      <c r="Z17" s="4"/>
      <c r="AA17" s="4"/>
      <c r="AB17" s="4"/>
      <c r="AC17" s="4"/>
      <c r="AD17" s="80" t="str">
        <f>IF(AD16=AE16,"Unentschieden",IF(AD16&gt;AE16,AD15,AE15))</f>
        <v>Ecuador</v>
      </c>
      <c r="AE17" s="95"/>
      <c r="AF17" s="4"/>
      <c r="AG17" s="4"/>
      <c r="AH17" s="4"/>
      <c r="AI17" s="4"/>
      <c r="AJ17" s="4"/>
      <c r="AK17" s="80" t="str">
        <f>IF(AK16=AL16,"Unentschieden",IF(AK16&gt;AL16,AK15,AL15))</f>
        <v>Unentschieden</v>
      </c>
      <c r="AL17" s="95"/>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1</v>
      </c>
      <c r="AL18" s="1">
        <f>IF(AL16=AK16,1,IF(AL16&gt;AK16,3,0))</f>
        <v>1</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v>2</v>
      </c>
      <c r="C21" s="3">
        <v>1</v>
      </c>
      <c r="D21" s="4"/>
      <c r="E21" s="4"/>
      <c r="F21" s="4"/>
      <c r="G21" s="4"/>
      <c r="H21" s="4"/>
      <c r="I21" s="3">
        <v>2</v>
      </c>
      <c r="J21" s="3">
        <v>1</v>
      </c>
      <c r="K21" s="4"/>
      <c r="L21" s="4"/>
      <c r="M21" s="4"/>
      <c r="N21" s="4"/>
      <c r="O21" s="4"/>
      <c r="P21" s="3">
        <v>5</v>
      </c>
      <c r="Q21" s="3">
        <v>0</v>
      </c>
      <c r="R21" s="4"/>
      <c r="S21" s="4"/>
      <c r="T21" s="4"/>
      <c r="U21" s="4"/>
      <c r="V21" s="4"/>
      <c r="W21" s="3">
        <v>2</v>
      </c>
      <c r="X21" s="3">
        <v>1</v>
      </c>
      <c r="Y21" s="4"/>
      <c r="Z21" s="4"/>
      <c r="AA21" s="4"/>
      <c r="AB21" s="4"/>
      <c r="AC21" s="4"/>
      <c r="AD21" s="3">
        <v>3</v>
      </c>
      <c r="AE21" s="3">
        <v>1</v>
      </c>
      <c r="AF21" s="4"/>
      <c r="AG21" s="4"/>
      <c r="AH21" s="4"/>
      <c r="AI21" s="4"/>
      <c r="AJ21" s="4"/>
      <c r="AK21" s="3">
        <v>1</v>
      </c>
      <c r="AL21" s="3">
        <v>3</v>
      </c>
      <c r="AM21" s="4"/>
      <c r="AN21" s="4"/>
      <c r="AO21" s="4"/>
      <c r="AP21" s="4"/>
    </row>
    <row r="22" spans="1:42" x14ac:dyDescent="0.45">
      <c r="A22" s="4"/>
      <c r="B22" s="80" t="str">
        <f>IF(B21=C21,"Unentschieden",IF(B21&gt;C21,B20,C20))</f>
        <v>Mexiko</v>
      </c>
      <c r="C22" s="95"/>
      <c r="D22" s="4"/>
      <c r="E22" s="4"/>
      <c r="F22" s="4"/>
      <c r="G22" s="4"/>
      <c r="H22" s="4"/>
      <c r="I22" s="80" t="str">
        <f>IF(I21=J21,"Unentschieden",IF(I21&gt;J21,I20,J20))</f>
        <v>Kanada</v>
      </c>
      <c r="J22" s="95"/>
      <c r="K22" s="4"/>
      <c r="L22" s="4"/>
      <c r="M22" s="4"/>
      <c r="N22" s="4"/>
      <c r="O22" s="4"/>
      <c r="P22" s="80" t="str">
        <f>IF(P21=Q21,"Unentschieden",IF(P21&gt;Q21,P20,Q20))</f>
        <v>Brasilien</v>
      </c>
      <c r="Q22" s="95"/>
      <c r="R22" s="4"/>
      <c r="S22" s="4"/>
      <c r="T22" s="4"/>
      <c r="U22" s="4"/>
      <c r="V22" s="4"/>
      <c r="W22" s="80" t="str">
        <f>IF(W21=X21,"Unentschieden",IF(W21&gt;X21,W20,X20))</f>
        <v>USA</v>
      </c>
      <c r="X22" s="95"/>
      <c r="Y22" s="4"/>
      <c r="Z22" s="4"/>
      <c r="AA22" s="4"/>
      <c r="AB22" s="4"/>
      <c r="AC22" s="4"/>
      <c r="AD22" s="80" t="str">
        <f>IF(AD21=AE21,"Unentschieden",IF(AD21&gt;AE21,AD20,AE20))</f>
        <v>Deutschland</v>
      </c>
      <c r="AE22" s="95"/>
      <c r="AF22" s="4"/>
      <c r="AG22" s="4"/>
      <c r="AH22" s="4"/>
      <c r="AI22" s="4"/>
      <c r="AJ22" s="4"/>
      <c r="AK22" s="80" t="str">
        <f>IF(AK21=AL21,"Unentschieden",IF(AK21&gt;AL21,AK20,AL20))</f>
        <v>Schweden</v>
      </c>
      <c r="AL22" s="95"/>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0</v>
      </c>
      <c r="AL23" s="1">
        <f>IF(AL21=AK21,1,IF(AL21&gt;AK21,3,0))</f>
        <v>3</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3"/>
      <c r="D25" s="4"/>
      <c r="E25" s="4"/>
      <c r="F25" s="4"/>
      <c r="G25" s="4"/>
      <c r="H25" s="4"/>
      <c r="I25" s="81" t="s">
        <v>50</v>
      </c>
      <c r="J25" s="83"/>
      <c r="K25" s="4"/>
      <c r="L25" s="4"/>
      <c r="M25" s="4"/>
      <c r="N25" s="4"/>
      <c r="O25" s="4"/>
      <c r="P25" s="81" t="s">
        <v>50</v>
      </c>
      <c r="Q25" s="83"/>
      <c r="R25" s="4"/>
      <c r="S25" s="4"/>
      <c r="T25" s="4"/>
      <c r="U25" s="4"/>
      <c r="V25" s="4"/>
      <c r="W25" s="81" t="s">
        <v>50</v>
      </c>
      <c r="X25" s="83"/>
      <c r="Y25" s="4"/>
      <c r="Z25" s="4"/>
      <c r="AA25" s="4"/>
      <c r="AB25" s="4"/>
      <c r="AC25" s="4"/>
      <c r="AD25" s="81" t="s">
        <v>50</v>
      </c>
      <c r="AE25" s="83"/>
      <c r="AF25" s="4"/>
      <c r="AG25" s="4"/>
      <c r="AH25" s="4"/>
      <c r="AI25" s="4"/>
      <c r="AJ25" s="4"/>
      <c r="AK25" s="81" t="s">
        <v>50</v>
      </c>
      <c r="AL25" s="83"/>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v>1</v>
      </c>
      <c r="C27" s="3">
        <v>1</v>
      </c>
      <c r="D27" s="4"/>
      <c r="E27" s="4"/>
      <c r="F27" s="4"/>
      <c r="G27" s="4"/>
      <c r="H27" s="4"/>
      <c r="I27" s="3">
        <v>1</v>
      </c>
      <c r="J27" s="3">
        <v>2</v>
      </c>
      <c r="K27" s="4"/>
      <c r="L27" s="4"/>
      <c r="M27" s="4"/>
      <c r="N27" s="4"/>
      <c r="O27" s="4"/>
      <c r="P27" s="3">
        <v>1</v>
      </c>
      <c r="Q27" s="3">
        <v>0</v>
      </c>
      <c r="R27" s="4"/>
      <c r="S27" s="4"/>
      <c r="T27" s="4"/>
      <c r="U27" s="4"/>
      <c r="V27" s="4"/>
      <c r="W27" s="3">
        <v>0</v>
      </c>
      <c r="X27" s="3">
        <v>2</v>
      </c>
      <c r="Y27" s="4"/>
      <c r="Z27" s="4"/>
      <c r="AA27" s="4"/>
      <c r="AB27" s="4"/>
      <c r="AC27" s="4"/>
      <c r="AD27" s="3">
        <v>1</v>
      </c>
      <c r="AE27" s="3">
        <v>1</v>
      </c>
      <c r="AF27" s="4"/>
      <c r="AG27" s="4"/>
      <c r="AH27" s="4"/>
      <c r="AI27" s="4"/>
      <c r="AJ27" s="4"/>
      <c r="AK27" s="3">
        <v>1</v>
      </c>
      <c r="AL27" s="3">
        <v>2</v>
      </c>
      <c r="AM27" s="4"/>
      <c r="AN27" s="4"/>
      <c r="AO27" s="4"/>
      <c r="AP27" s="4"/>
    </row>
    <row r="28" spans="1:42" x14ac:dyDescent="0.45">
      <c r="A28" s="4"/>
      <c r="B28" s="80" t="str">
        <f>IF(B27=C27,"Unentschieden",IF(B27&gt;C27,B26,C26))</f>
        <v>Unentschieden</v>
      </c>
      <c r="C28" s="95"/>
      <c r="D28" s="4"/>
      <c r="E28" s="4"/>
      <c r="F28" s="4"/>
      <c r="G28" s="4"/>
      <c r="H28" s="4"/>
      <c r="I28" s="80" t="str">
        <f>IF(I27=J27,"Unentschieden",IF(I27&gt;J27,I26,J26))</f>
        <v>Katar</v>
      </c>
      <c r="J28" s="95"/>
      <c r="K28" s="4"/>
      <c r="L28" s="4"/>
      <c r="M28" s="4"/>
      <c r="N28" s="4"/>
      <c r="O28" s="4"/>
      <c r="P28" s="80" t="str">
        <f>IF(P27=Q27,"Unentschieden",IF(P27&gt;Q27,P26,Q26))</f>
        <v>Marokko</v>
      </c>
      <c r="Q28" s="95"/>
      <c r="R28" s="4"/>
      <c r="S28" s="4"/>
      <c r="T28" s="4"/>
      <c r="U28" s="4"/>
      <c r="V28" s="4"/>
      <c r="W28" s="80" t="str">
        <f>IF(W27=X27,"Unentschieden",IF(W27&gt;X27,W26,X26))</f>
        <v>Australien</v>
      </c>
      <c r="X28" s="95"/>
      <c r="Y28" s="4"/>
      <c r="Z28" s="4"/>
      <c r="AA28" s="4"/>
      <c r="AB28" s="4"/>
      <c r="AC28" s="4"/>
      <c r="AD28" s="80" t="str">
        <f>IF(AD27=AE27,"Unentschieden",IF(AD27&gt;AE27,AD26,AE26))</f>
        <v>Unentschieden</v>
      </c>
      <c r="AE28" s="95"/>
      <c r="AF28" s="4"/>
      <c r="AG28" s="4"/>
      <c r="AH28" s="4"/>
      <c r="AI28" s="4"/>
      <c r="AJ28" s="4"/>
      <c r="AK28" s="80" t="str">
        <f>IF(AK27=AL27,"Unentschieden",IF(AK27&gt;AL27,AK26,AL26))</f>
        <v>Schweden</v>
      </c>
      <c r="AL28" s="95"/>
      <c r="AM28" s="4"/>
      <c r="AN28" s="4"/>
      <c r="AO28" s="4"/>
      <c r="AP28" s="4"/>
    </row>
    <row r="29" spans="1:42" x14ac:dyDescent="0.45">
      <c r="A29" s="4"/>
      <c r="B29" s="1">
        <f>IF(B27=C27,1,IF(B27&gt;C27,3,0))</f>
        <v>1</v>
      </c>
      <c r="C29" s="1">
        <f>IF(C27=B27,1,IF(C27&gt;B27,3,0))</f>
        <v>1</v>
      </c>
      <c r="D29" s="4"/>
      <c r="E29" s="4"/>
      <c r="F29" s="4"/>
      <c r="G29" s="4"/>
      <c r="H29" s="4"/>
      <c r="I29" s="1">
        <f>IF(I27=J27,1,IF(I27&gt;J27,3,0))</f>
        <v>0</v>
      </c>
      <c r="J29" s="1">
        <f>IF(J27=I27,1,IF(J27&gt;I27,3,0))</f>
        <v>3</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1</v>
      </c>
      <c r="AE29" s="1">
        <f>IF(AE27=AD27,1,IF(AE27&gt;AD27,3,0))</f>
        <v>1</v>
      </c>
      <c r="AF29" s="4"/>
      <c r="AG29" s="4"/>
      <c r="AH29" s="4"/>
      <c r="AI29" s="4"/>
      <c r="AJ29" s="4"/>
      <c r="AK29" s="1">
        <f>IF(AK27=AL27,1,IF(AK27&gt;AL27,3,0))</f>
        <v>0</v>
      </c>
      <c r="AL29" s="1">
        <f>IF(AL27=AK27,1,IF(AL27&gt;AK27,3,0))</f>
        <v>3</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v>1</v>
      </c>
      <c r="C32" s="3">
        <v>2</v>
      </c>
      <c r="D32" s="4"/>
      <c r="E32" s="4"/>
      <c r="F32" s="4"/>
      <c r="G32" s="4"/>
      <c r="H32" s="4"/>
      <c r="I32" s="3">
        <v>1</v>
      </c>
      <c r="J32" s="3">
        <v>1</v>
      </c>
      <c r="K32" s="4"/>
      <c r="L32" s="4"/>
      <c r="M32" s="4"/>
      <c r="N32" s="4"/>
      <c r="O32" s="4"/>
      <c r="P32" s="3">
        <v>1</v>
      </c>
      <c r="Q32" s="3">
        <v>3</v>
      </c>
      <c r="R32" s="4"/>
      <c r="S32" s="4"/>
      <c r="T32" s="4"/>
      <c r="U32" s="4"/>
      <c r="V32" s="4"/>
      <c r="W32" s="3">
        <v>1</v>
      </c>
      <c r="X32" s="3">
        <v>1</v>
      </c>
      <c r="Y32" s="4"/>
      <c r="Z32" s="4"/>
      <c r="AA32" s="4"/>
      <c r="AB32" s="4"/>
      <c r="AC32" s="4"/>
      <c r="AD32" s="3">
        <v>0</v>
      </c>
      <c r="AE32" s="3">
        <v>2</v>
      </c>
      <c r="AF32" s="4"/>
      <c r="AG32" s="4"/>
      <c r="AH32" s="4"/>
      <c r="AI32" s="4"/>
      <c r="AJ32" s="4"/>
      <c r="AK32" s="3">
        <v>0</v>
      </c>
      <c r="AL32" s="3">
        <v>2</v>
      </c>
      <c r="AM32" s="4"/>
      <c r="AN32" s="4"/>
      <c r="AO32" s="4"/>
      <c r="AP32" s="4"/>
    </row>
    <row r="33" spans="1:42" x14ac:dyDescent="0.45">
      <c r="A33" s="4"/>
      <c r="B33" s="80" t="str">
        <f>IF(B32=C32,"Unentschieden",IF(B32&gt;C32,B31,C31))</f>
        <v>Mexiko</v>
      </c>
      <c r="C33" s="95"/>
      <c r="D33" s="4"/>
      <c r="E33" s="4"/>
      <c r="F33" s="4"/>
      <c r="G33" s="4"/>
      <c r="H33" s="4"/>
      <c r="I33" s="80" t="str">
        <f>IF(I32=J32,"Unentschieden",IF(I32&gt;J32,I31,J31))</f>
        <v>Unentschieden</v>
      </c>
      <c r="J33" s="95"/>
      <c r="K33" s="4"/>
      <c r="L33" s="4"/>
      <c r="M33" s="4"/>
      <c r="N33" s="4"/>
      <c r="O33" s="4"/>
      <c r="P33" s="80" t="str">
        <f>IF(P32=Q32,"Unentschieden",IF(P32&gt;Q32,P31,Q31))</f>
        <v>Brasilien</v>
      </c>
      <c r="Q33" s="95"/>
      <c r="R33" s="4"/>
      <c r="S33" s="4"/>
      <c r="T33" s="4"/>
      <c r="U33" s="4"/>
      <c r="V33" s="4"/>
      <c r="W33" s="80" t="str">
        <f>IF(W32=X32,"Unentschieden",IF(W32&gt;X32,W31,X31))</f>
        <v>Unentschieden</v>
      </c>
      <c r="X33" s="95"/>
      <c r="Y33" s="4"/>
      <c r="Z33" s="4"/>
      <c r="AA33" s="4"/>
      <c r="AB33" s="4"/>
      <c r="AC33" s="4"/>
      <c r="AD33" s="80" t="str">
        <f>IF(AD32=AE32,"Unentschieden",IF(AD32&gt;AE32,AD31,AE31))</f>
        <v>Deutschland</v>
      </c>
      <c r="AE33" s="95"/>
      <c r="AF33" s="4"/>
      <c r="AG33" s="4"/>
      <c r="AH33" s="4"/>
      <c r="AI33" s="4"/>
      <c r="AJ33" s="4"/>
      <c r="AK33" s="80" t="str">
        <f>IF(AK32=AL32,"Unentschieden",IF(AK32&gt;AL32,AK31,AL31))</f>
        <v>Niederlande</v>
      </c>
      <c r="AL33" s="95"/>
      <c r="AM33" s="4"/>
      <c r="AN33" s="4"/>
      <c r="AO33" s="4"/>
      <c r="AP33" s="4"/>
    </row>
    <row r="34" spans="1:42" x14ac:dyDescent="0.45">
      <c r="A34" s="4"/>
      <c r="B34" s="1">
        <f>IF(B32=C32,1,IF(B32&gt;C32,3,0))</f>
        <v>0</v>
      </c>
      <c r="C34" s="1">
        <f>IF(C32=B32,1,IF(C32&gt;B32,3,0))</f>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9</v>
      </c>
      <c r="D37" s="1">
        <f>B5+B21+C32</f>
        <v>6</v>
      </c>
      <c r="E37" s="1">
        <f>C5+C21+B32</f>
        <v>3</v>
      </c>
      <c r="F37" s="1">
        <f>D37-E37</f>
        <v>3</v>
      </c>
      <c r="G37" s="4"/>
      <c r="H37" s="7"/>
      <c r="I37" s="2" t="s">
        <v>27</v>
      </c>
      <c r="J37" s="1">
        <f>I7+I23+J34</f>
        <v>7</v>
      </c>
      <c r="K37" s="1">
        <f>I5+I21+J32</f>
        <v>5</v>
      </c>
      <c r="L37" s="1">
        <f>J5+J21+I32</f>
        <v>2</v>
      </c>
      <c r="M37" s="1">
        <f>K37-L37</f>
        <v>3</v>
      </c>
      <c r="N37" s="4"/>
      <c r="O37" s="13"/>
      <c r="P37" s="2" t="s">
        <v>29</v>
      </c>
      <c r="Q37" s="1">
        <f>P7+P23+Q34</f>
        <v>9</v>
      </c>
      <c r="R37" s="1">
        <f>P5+P21+Q32</f>
        <v>11</v>
      </c>
      <c r="S37" s="1">
        <f>Q5+Q21+P32</f>
        <v>1</v>
      </c>
      <c r="T37" s="1">
        <f>R37-S37</f>
        <v>10</v>
      </c>
      <c r="U37" s="4"/>
      <c r="V37" s="13"/>
      <c r="W37" s="2" t="s">
        <v>31</v>
      </c>
      <c r="X37" s="1">
        <f>W7+W23+X34</f>
        <v>7</v>
      </c>
      <c r="Y37" s="1">
        <f>W5+W21+X32</f>
        <v>5</v>
      </c>
      <c r="Z37" s="1">
        <f>X5+X21+W32</f>
        <v>3</v>
      </c>
      <c r="AA37" s="1">
        <f>Y37-Z37</f>
        <v>2</v>
      </c>
      <c r="AB37" s="4"/>
      <c r="AC37" s="13"/>
      <c r="AD37" s="2" t="s">
        <v>33</v>
      </c>
      <c r="AE37" s="1">
        <f>AD7+AD23+AE34</f>
        <v>9</v>
      </c>
      <c r="AF37" s="1">
        <f>AD5+AD21+AE32</f>
        <v>11</v>
      </c>
      <c r="AG37" s="1">
        <f>AE5+AE21+AD32</f>
        <v>1</v>
      </c>
      <c r="AH37" s="1">
        <f>AF37-AG37</f>
        <v>10</v>
      </c>
      <c r="AI37" s="4"/>
      <c r="AJ37" s="4"/>
      <c r="AK37" s="2" t="s">
        <v>35</v>
      </c>
      <c r="AL37" s="1">
        <f>AK7+AK23+AL34</f>
        <v>6</v>
      </c>
      <c r="AM37" s="1">
        <f>AK5+AK21+AL32</f>
        <v>5</v>
      </c>
      <c r="AN37" s="1">
        <f>AL5+AL21+AK32</f>
        <v>4</v>
      </c>
      <c r="AO37" s="1">
        <f>AM37-AN37</f>
        <v>1</v>
      </c>
      <c r="AP37" s="4"/>
    </row>
    <row r="38" spans="1:42" x14ac:dyDescent="0.45">
      <c r="A38" s="7"/>
      <c r="B38" s="2" t="s">
        <v>26</v>
      </c>
      <c r="C38" s="1">
        <f>C7+C18+B29</f>
        <v>1</v>
      </c>
      <c r="D38" s="1">
        <f>C5+C16+B27</f>
        <v>2</v>
      </c>
      <c r="E38" s="1">
        <f>B5+B16+C27</f>
        <v>5</v>
      </c>
      <c r="F38" s="1">
        <f>D38-E38</f>
        <v>-3</v>
      </c>
      <c r="G38" s="4"/>
      <c r="H38" s="7"/>
      <c r="I38" s="2" t="s">
        <v>28</v>
      </c>
      <c r="J38" s="1">
        <f>J7+J18+I29</f>
        <v>0</v>
      </c>
      <c r="K38" s="1">
        <f>J5+J16+I27</f>
        <v>1</v>
      </c>
      <c r="L38" s="1">
        <f>I5+I16+J27</f>
        <v>6</v>
      </c>
      <c r="M38" s="1">
        <f>K38-L38</f>
        <v>-5</v>
      </c>
      <c r="N38" s="4"/>
      <c r="O38" s="13"/>
      <c r="P38" s="2" t="s">
        <v>30</v>
      </c>
      <c r="Q38" s="1">
        <f>Q7+Q18+P29</f>
        <v>6</v>
      </c>
      <c r="R38" s="1">
        <f>Q5+Q16+P27</f>
        <v>3</v>
      </c>
      <c r="S38" s="1">
        <f>P5+P16+Q27</f>
        <v>4</v>
      </c>
      <c r="T38" s="1">
        <f>R38-S38</f>
        <v>-1</v>
      </c>
      <c r="U38" s="4"/>
      <c r="V38" s="13"/>
      <c r="W38" s="2" t="s">
        <v>32</v>
      </c>
      <c r="X38" s="1">
        <f>X7+X18+W29</f>
        <v>1</v>
      </c>
      <c r="Y38" s="1">
        <f>X5+X16+W27</f>
        <v>2</v>
      </c>
      <c r="Z38" s="1">
        <f>W5+W16+X27</f>
        <v>5</v>
      </c>
      <c r="AA38" s="1">
        <f>Y38-Z38</f>
        <v>-3</v>
      </c>
      <c r="AB38" s="4"/>
      <c r="AC38" s="13"/>
      <c r="AD38" s="2" t="s">
        <v>34</v>
      </c>
      <c r="AE38" s="1">
        <f>AE7+AE18+AD29</f>
        <v>1</v>
      </c>
      <c r="AF38" s="1">
        <f>AE5+AE16+AD27</f>
        <v>1</v>
      </c>
      <c r="AG38" s="1">
        <f>AD5+AD16+AE27</f>
        <v>10</v>
      </c>
      <c r="AH38" s="1">
        <f>AF38-AG38</f>
        <v>-9</v>
      </c>
      <c r="AI38" s="4"/>
      <c r="AJ38" s="4"/>
      <c r="AK38" s="2" t="s">
        <v>36</v>
      </c>
      <c r="AL38" s="1">
        <f>AL7+AL18+AK29</f>
        <v>1</v>
      </c>
      <c r="AM38" s="1">
        <f>AL5+AL16+AK27</f>
        <v>3</v>
      </c>
      <c r="AN38" s="1">
        <f>AK5+AK16+AL27</f>
        <v>5</v>
      </c>
      <c r="AO38" s="1">
        <f>AM38-AN38</f>
        <v>-2</v>
      </c>
      <c r="AP38" s="4"/>
    </row>
    <row r="39" spans="1:42" x14ac:dyDescent="0.45">
      <c r="A39" s="8"/>
      <c r="B39" s="2" t="s">
        <v>37</v>
      </c>
      <c r="C39" s="1">
        <f>B12+C23+C29</f>
        <v>2</v>
      </c>
      <c r="D39" s="1">
        <f>B10+C21+C27</f>
        <v>3</v>
      </c>
      <c r="E39" s="1">
        <f>C10+B21+B27</f>
        <v>4</v>
      </c>
      <c r="F39" s="1">
        <f>D39-E39</f>
        <v>-1</v>
      </c>
      <c r="G39" s="4"/>
      <c r="H39" s="8"/>
      <c r="I39" s="2" t="s">
        <v>39</v>
      </c>
      <c r="J39" s="1">
        <f>I12+J23+J29</f>
        <v>3</v>
      </c>
      <c r="K39" s="1">
        <f>I10+J21+J27</f>
        <v>4</v>
      </c>
      <c r="L39" s="1">
        <f>J10+I21+I27</f>
        <v>6</v>
      </c>
      <c r="M39" s="1">
        <f>K39-L39</f>
        <v>-2</v>
      </c>
      <c r="N39" s="4"/>
      <c r="O39" s="13"/>
      <c r="P39" s="2" t="s">
        <v>41</v>
      </c>
      <c r="Q39" s="1">
        <f>P12+Q23+Q29</f>
        <v>0</v>
      </c>
      <c r="R39" s="1">
        <f>P10+Q21+Q27</f>
        <v>1</v>
      </c>
      <c r="S39" s="1">
        <f>Q10+P21+P27</f>
        <v>8</v>
      </c>
      <c r="T39" s="1">
        <f>R39-S39</f>
        <v>-7</v>
      </c>
      <c r="U39" s="4"/>
      <c r="V39" s="13"/>
      <c r="W39" s="2" t="s">
        <v>43</v>
      </c>
      <c r="X39" s="1">
        <f>W12+X23+X29</f>
        <v>3</v>
      </c>
      <c r="Y39" s="1">
        <f>W10+X21+X27</f>
        <v>4</v>
      </c>
      <c r="Z39" s="1">
        <f>X10+W21+W27</f>
        <v>4</v>
      </c>
      <c r="AA39" s="1">
        <f>Y39-Z39</f>
        <v>0</v>
      </c>
      <c r="AB39" s="4"/>
      <c r="AC39" s="13"/>
      <c r="AD39" s="2" t="s">
        <v>45</v>
      </c>
      <c r="AE39" s="1">
        <f>AD12+AE23+AE29</f>
        <v>4</v>
      </c>
      <c r="AF39" s="1">
        <f>AD10+AE21+AE27</f>
        <v>4</v>
      </c>
      <c r="AG39" s="1">
        <f>AE10+AD21+AD27</f>
        <v>5</v>
      </c>
      <c r="AH39" s="1">
        <f>AF39-AG39</f>
        <v>-1</v>
      </c>
      <c r="AI39" s="4"/>
      <c r="AJ39" s="4"/>
      <c r="AK39" s="2" t="s">
        <v>47</v>
      </c>
      <c r="AL39" s="1">
        <f>AK12+AL23+AL29</f>
        <v>9</v>
      </c>
      <c r="AM39" s="1">
        <f>AK10+AL21+AL27</f>
        <v>7</v>
      </c>
      <c r="AN39" s="1">
        <f>AL10+AK21+AK27</f>
        <v>2</v>
      </c>
      <c r="AO39" s="1">
        <f>AM39-AN39</f>
        <v>5</v>
      </c>
      <c r="AP39" s="4"/>
    </row>
    <row r="40" spans="1:42" x14ac:dyDescent="0.45">
      <c r="A40" s="9"/>
      <c r="B40" s="2" t="s">
        <v>38</v>
      </c>
      <c r="C40" s="1">
        <f>C12+B18+B34</f>
        <v>4</v>
      </c>
      <c r="D40" s="1">
        <f>C10+B16+B32</f>
        <v>4</v>
      </c>
      <c r="E40" s="1">
        <f>B10+C16+C32</f>
        <v>3</v>
      </c>
      <c r="F40" s="1">
        <f>D40-E40</f>
        <v>1</v>
      </c>
      <c r="G40" s="4"/>
      <c r="H40" s="9"/>
      <c r="I40" s="2" t="s">
        <v>40</v>
      </c>
      <c r="J40" s="1">
        <f>J12+I18+I34</f>
        <v>7</v>
      </c>
      <c r="K40" s="1">
        <f>J10+I16+I32</f>
        <v>6</v>
      </c>
      <c r="L40" s="1">
        <f>I10+J16+J32</f>
        <v>2</v>
      </c>
      <c r="M40" s="1">
        <f>K40-L40</f>
        <v>4</v>
      </c>
      <c r="N40" s="4"/>
      <c r="O40" s="13"/>
      <c r="P40" s="2" t="s">
        <v>42</v>
      </c>
      <c r="Q40" s="1">
        <f>Q12+P18+P34</f>
        <v>3</v>
      </c>
      <c r="R40" s="1">
        <f>Q10+P16+P32</f>
        <v>4</v>
      </c>
      <c r="S40" s="1">
        <f>P10+Q16+Q32</f>
        <v>6</v>
      </c>
      <c r="T40" s="1">
        <f>R40-S40</f>
        <v>-2</v>
      </c>
      <c r="U40" s="4"/>
      <c r="V40" s="13"/>
      <c r="W40" s="2" t="s">
        <v>44</v>
      </c>
      <c r="X40" s="1">
        <f>X12+W18+W34</f>
        <v>5</v>
      </c>
      <c r="Y40" s="1">
        <f>X10+W16+W32</f>
        <v>4</v>
      </c>
      <c r="Z40" s="1">
        <f>W10+X16+X32</f>
        <v>3</v>
      </c>
      <c r="AA40" s="1">
        <f>Y40-Z40</f>
        <v>1</v>
      </c>
      <c r="AB40" s="4"/>
      <c r="AC40" s="13"/>
      <c r="AD40" s="2" t="s">
        <v>46</v>
      </c>
      <c r="AE40" s="1">
        <f>AE12+AD18+AD34</f>
        <v>3</v>
      </c>
      <c r="AF40" s="1">
        <f>AE10+AD16+AD32</f>
        <v>4</v>
      </c>
      <c r="AG40" s="1">
        <f>AD10+AE16+AE32</f>
        <v>4</v>
      </c>
      <c r="AH40" s="1">
        <f>AF40-AG40</f>
        <v>0</v>
      </c>
      <c r="AI40" s="4"/>
      <c r="AJ40" s="4"/>
      <c r="AK40" s="2" t="s">
        <v>48</v>
      </c>
      <c r="AL40" s="1">
        <f>AL12+AK18+AK34</f>
        <v>1</v>
      </c>
      <c r="AM40" s="1">
        <f>AL10+AK16+AK32</f>
        <v>1</v>
      </c>
      <c r="AN40" s="1">
        <f>AK10+AL16+AL32</f>
        <v>5</v>
      </c>
      <c r="AO40" s="1">
        <f>AM40-AN40</f>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3"/>
      <c r="D42" s="1"/>
      <c r="E42" s="1"/>
      <c r="F42" s="1"/>
      <c r="G42" s="4"/>
      <c r="H42" s="4"/>
      <c r="I42" s="81" t="s">
        <v>56</v>
      </c>
      <c r="J42" s="83"/>
      <c r="K42" s="1"/>
      <c r="L42" s="1"/>
      <c r="M42" s="1"/>
      <c r="N42" s="4"/>
      <c r="O42" s="4"/>
      <c r="P42" s="81" t="s">
        <v>56</v>
      </c>
      <c r="Q42" s="83"/>
      <c r="U42" s="4"/>
      <c r="V42" s="4"/>
      <c r="W42" s="81" t="s">
        <v>56</v>
      </c>
      <c r="X42" s="83"/>
      <c r="AB42" s="4"/>
      <c r="AC42" s="4"/>
      <c r="AD42" s="81" t="s">
        <v>56</v>
      </c>
      <c r="AE42" s="83"/>
      <c r="AI42" s="4"/>
      <c r="AJ42" s="4"/>
      <c r="AK42" s="81" t="s">
        <v>56</v>
      </c>
      <c r="AL42" s="83"/>
      <c r="AP42" s="4"/>
    </row>
    <row r="43" spans="1:42" x14ac:dyDescent="0.45">
      <c r="A43" s="10">
        <v>1</v>
      </c>
      <c r="B43" s="2" t="str">
        <f t="array" ref="B43:B46">_xlfn.SORTBY(B37:B40,C37:C40,-1,F37:F40,-1,D37:D40,-1)</f>
        <v>Mexiko</v>
      </c>
      <c r="C43" s="1">
        <f t="array" ref="C43:C46">_xlfn.SORTBY(C37:C40,C37:C40,-1,F37:F40,-1,D37:D40,-1)</f>
        <v>9</v>
      </c>
      <c r="D43" s="1">
        <f t="array" ref="D43:D46">_xlfn.SORTBY(D37:D40,C37:C40,-1,F37:F40,-1,D37:D40,-1)</f>
        <v>6</v>
      </c>
      <c r="E43" s="1">
        <f t="array" ref="E43:E46">_xlfn.SORTBY(E37:E40,C37:C40,-1,F37:F40,-1,D37:D40,-1)</f>
        <v>3</v>
      </c>
      <c r="F43" s="1">
        <f t="array" ref="F43:F46">_xlfn.SORTBY(F37:F40,C37:C40,-1,F37:F40,-1,D37:D40,-1)</f>
        <v>3</v>
      </c>
      <c r="G43" s="4"/>
      <c r="H43" s="10">
        <v>1</v>
      </c>
      <c r="I43" s="2" t="str">
        <f t="array" ref="I43:I46">_xlfn.SORTBY(I37:I40,J37:J40,-1,M37:M40,-1,K37:K40,-1)</f>
        <v>Schweiz</v>
      </c>
      <c r="J43" s="1">
        <f t="array" ref="J43:J46">_xlfn.SORTBY(J37:J40,J37:J40,-1,M37:M40,-1,K37:K40,-1)</f>
        <v>7</v>
      </c>
      <c r="K43" s="1">
        <f t="array" ref="K43:K46">_xlfn.SORTBY(K37:K40,J37:J40,-1,M37:M40,-1,K37:K40,-1)</f>
        <v>6</v>
      </c>
      <c r="L43" s="1">
        <f t="array" ref="L43:L46">_xlfn.SORTBY(L37:L40,J37:J40,-1,M37:M40,-1,K37:K40,-1)</f>
        <v>2</v>
      </c>
      <c r="M43" s="1">
        <f t="array" ref="M43:M46">_xlfn.SORTBY(M37:M40,J37:J40,-1,M37:M40,-1,K37:K40,-1)</f>
        <v>4</v>
      </c>
      <c r="N43" s="4"/>
      <c r="O43" s="10">
        <v>1</v>
      </c>
      <c r="P43" s="2" t="str">
        <f t="array" ref="P43:P46">_xlfn.SORTBY(P37:P40,Q37:Q40,-1,T37:T40,-1,R37:R40,-1)</f>
        <v>Brasilien</v>
      </c>
      <c r="Q43" s="1">
        <f t="array" ref="Q43:Q46">_xlfn.SORTBY(Q37:Q40,Q37:Q40,-1,T37:T40,-1,R37:R40,-1)</f>
        <v>9</v>
      </c>
      <c r="R43" s="1">
        <f t="array" ref="R43:R46">_xlfn.SORTBY(R37:R40,Q37:Q40,-1,T37:T40,-1,R37:R40,-1)</f>
        <v>11</v>
      </c>
      <c r="S43" s="1">
        <f t="array" ref="S43:S46">_xlfn.SORTBY(S37:S40,Q37:Q40,-1,T37:T40,-1,R37:R40,-1)</f>
        <v>1</v>
      </c>
      <c r="T43" s="1">
        <f t="array" ref="T43:T46">_xlfn.SORTBY(T37:T40,Q37:Q40,-1,T37:T40,-1,R37:R40,-1)</f>
        <v>10</v>
      </c>
      <c r="U43" s="4"/>
      <c r="V43" s="10">
        <v>1</v>
      </c>
      <c r="W43" s="2" t="str">
        <f t="array" ref="W43:W46">_xlfn.SORTBY(W37:W40,X37:X40,-1,AA37:AA40,-1,Y37:Y40,-1)</f>
        <v>USA</v>
      </c>
      <c r="X43" s="1">
        <f t="array" ref="X43:X46">_xlfn.SORTBY(X37:X40,X37:X40,-1,AA37:AA40,-1,Y37:Y40,-1)</f>
        <v>7</v>
      </c>
      <c r="Y43" s="1">
        <f t="array" ref="Y43:Y46">_xlfn.SORTBY(Y37:Y40,X37:X40,-1,AA37:AA40,-1,Y37:Y40,-1)</f>
        <v>5</v>
      </c>
      <c r="Z43" s="1">
        <f t="array" ref="Z43:Z46">_xlfn.SORTBY(Z37:Z40,X37:X40,-1,AA37:AA40,-1,Y37:Y40,-1)</f>
        <v>3</v>
      </c>
      <c r="AA43" s="1">
        <f t="array" ref="AA43:AA46">_xlfn.SORTBY(AA37:AA40,X37:X40,-1,AA37:AA40,-1,Y37:Y40,-1)</f>
        <v>2</v>
      </c>
      <c r="AB43" s="4"/>
      <c r="AC43" s="10">
        <v>1</v>
      </c>
      <c r="AD43" s="2" t="str">
        <f t="array" ref="AD43:AD46">_xlfn.SORTBY(AD37:AD40,AE37:AE40,-1,AH37:AH40,-1,AF37:AF40,-1)</f>
        <v>Deutschland</v>
      </c>
      <c r="AE43" s="1">
        <f t="array" ref="AE43:AE46">_xlfn.SORTBY(AE37:AE40,AE37:AE40,-1,AH37:AH40,-1,AF37:AF40,-1)</f>
        <v>9</v>
      </c>
      <c r="AF43" s="1">
        <f t="array" ref="AF43:AF46">_xlfn.SORTBY(AF37:AF40,AE37:AE40,-1,AH37:AH40,-1,AF37:AF40,-1)</f>
        <v>11</v>
      </c>
      <c r="AG43" s="1">
        <f t="array" ref="AG43:AG46">_xlfn.SORTBY(AG37:AG40,AE37:AE40,-1,AH37:AH40,-1,AF37:AF40,-1)</f>
        <v>1</v>
      </c>
      <c r="AH43" s="1">
        <f t="array" ref="AH43:AH46">_xlfn.SORTBY(AH37:AH40,AE37:AE40,-1,AH37:AH40,-1,AF37:AF40,-1)</f>
        <v>10</v>
      </c>
      <c r="AI43" s="4"/>
      <c r="AJ43" s="10">
        <v>1</v>
      </c>
      <c r="AK43" s="2" t="str">
        <f t="array" ref="AK43:AK46">_xlfn.SORTBY(AK37:AK40,AL37:AL40,-1,AO37:AO40,-1,AM37:AM40,-1)</f>
        <v>Schweden</v>
      </c>
      <c r="AL43" s="1">
        <f t="array" ref="AL43:AL46">_xlfn.SORTBY(AL37:AL40,AL37:AL40,-1,AO37:AO40,-1,AM37:AM40,-1)</f>
        <v>9</v>
      </c>
      <c r="AM43" s="1">
        <f t="array" ref="AM43:AM46">_xlfn.SORTBY(AM37:AM40,AL37:AL40,-1,AO37:AO40,-1,AM37:AM40,-1)</f>
        <v>7</v>
      </c>
      <c r="AN43" s="1">
        <f t="array" ref="AN43:AN46">_xlfn.SORTBY(AN37:AN40,AL37:AL40,-1,AO37:AO40,-1,AM37:AM40,-1)</f>
        <v>2</v>
      </c>
      <c r="AO43" s="1">
        <f t="array" ref="AO43:AO46">_xlfn.SORTBY(AO37:AO40,AL37:AL40,-1,AO37:AO40,-1,AM37:AM40,-1)</f>
        <v>5</v>
      </c>
      <c r="AP43" s="4"/>
    </row>
    <row r="44" spans="1:42" x14ac:dyDescent="0.45">
      <c r="A44" s="10">
        <v>2</v>
      </c>
      <c r="B44" s="2" t="str">
        <v>Tschechien</v>
      </c>
      <c r="C44" s="1">
        <v>4</v>
      </c>
      <c r="D44" s="1">
        <v>4</v>
      </c>
      <c r="E44" s="1">
        <v>3</v>
      </c>
      <c r="F44" s="1">
        <v>1</v>
      </c>
      <c r="G44" s="4"/>
      <c r="H44" s="10">
        <v>2</v>
      </c>
      <c r="I44" s="2" t="str">
        <v>Kanada</v>
      </c>
      <c r="J44" s="1">
        <v>7</v>
      </c>
      <c r="K44" s="1">
        <v>5</v>
      </c>
      <c r="L44" s="1">
        <v>2</v>
      </c>
      <c r="M44" s="1">
        <v>3</v>
      </c>
      <c r="N44" s="4"/>
      <c r="O44" s="10">
        <v>2</v>
      </c>
      <c r="P44" s="2" t="str">
        <v>Marokko</v>
      </c>
      <c r="Q44" s="1">
        <v>6</v>
      </c>
      <c r="R44" s="1">
        <v>3</v>
      </c>
      <c r="S44" s="1">
        <v>4</v>
      </c>
      <c r="T44" s="1">
        <v>-1</v>
      </c>
      <c r="U44" s="4"/>
      <c r="V44" s="10">
        <v>2</v>
      </c>
      <c r="W44" s="2" t="str">
        <v>Türkei</v>
      </c>
      <c r="X44" s="1">
        <v>5</v>
      </c>
      <c r="Y44" s="1">
        <v>4</v>
      </c>
      <c r="Z44" s="1">
        <v>3</v>
      </c>
      <c r="AA44" s="1">
        <v>1</v>
      </c>
      <c r="AB44" s="4"/>
      <c r="AC44" s="10">
        <v>2</v>
      </c>
      <c r="AD44" s="2" t="str">
        <v>Elfenbeinküste</v>
      </c>
      <c r="AE44" s="1">
        <v>4</v>
      </c>
      <c r="AF44" s="1">
        <v>4</v>
      </c>
      <c r="AG44" s="1">
        <v>5</v>
      </c>
      <c r="AH44" s="1">
        <v>-1</v>
      </c>
      <c r="AI44" s="4"/>
      <c r="AJ44" s="10">
        <v>2</v>
      </c>
      <c r="AK44" s="2" t="str">
        <v>Niederlande</v>
      </c>
      <c r="AL44" s="1">
        <v>6</v>
      </c>
      <c r="AM44" s="1">
        <v>5</v>
      </c>
      <c r="AN44" s="1">
        <v>4</v>
      </c>
      <c r="AO44" s="1">
        <v>1</v>
      </c>
      <c r="AP44" s="4"/>
    </row>
    <row r="45" spans="1:42" x14ac:dyDescent="0.45">
      <c r="A45" s="11">
        <v>3</v>
      </c>
      <c r="B45" s="2" t="str">
        <v>Südkorea</v>
      </c>
      <c r="C45" s="1">
        <v>2</v>
      </c>
      <c r="D45" s="1">
        <v>3</v>
      </c>
      <c r="E45" s="1">
        <v>4</v>
      </c>
      <c r="F45" s="1">
        <v>-1</v>
      </c>
      <c r="G45" s="4"/>
      <c r="H45" s="11">
        <v>3</v>
      </c>
      <c r="I45" s="2" t="str">
        <v>Katar</v>
      </c>
      <c r="J45" s="1">
        <v>3</v>
      </c>
      <c r="K45" s="1">
        <v>4</v>
      </c>
      <c r="L45" s="1">
        <v>6</v>
      </c>
      <c r="M45" s="1">
        <v>-2</v>
      </c>
      <c r="N45" s="4"/>
      <c r="O45" s="11">
        <v>3</v>
      </c>
      <c r="P45" s="2" t="str">
        <v>Schottland</v>
      </c>
      <c r="Q45" s="1">
        <v>3</v>
      </c>
      <c r="R45" s="1">
        <v>4</v>
      </c>
      <c r="S45" s="1">
        <v>6</v>
      </c>
      <c r="T45" s="1">
        <v>-2</v>
      </c>
      <c r="U45" s="4"/>
      <c r="V45" s="11">
        <v>3</v>
      </c>
      <c r="W45" s="2" t="str">
        <v>Australien</v>
      </c>
      <c r="X45" s="1">
        <v>3</v>
      </c>
      <c r="Y45" s="1">
        <v>4</v>
      </c>
      <c r="Z45" s="1">
        <v>4</v>
      </c>
      <c r="AA45" s="1">
        <v>0</v>
      </c>
      <c r="AB45" s="4"/>
      <c r="AC45" s="11">
        <v>3</v>
      </c>
      <c r="AD45" s="2" t="str">
        <v>Ecuador</v>
      </c>
      <c r="AE45" s="1">
        <v>3</v>
      </c>
      <c r="AF45" s="1">
        <v>4</v>
      </c>
      <c r="AG45" s="1">
        <v>4</v>
      </c>
      <c r="AH45" s="1">
        <v>0</v>
      </c>
      <c r="AI45" s="4"/>
      <c r="AJ45" s="11">
        <v>3</v>
      </c>
      <c r="AK45" s="2" t="str">
        <v>Japan</v>
      </c>
      <c r="AL45" s="1">
        <v>1</v>
      </c>
      <c r="AM45" s="1">
        <v>3</v>
      </c>
      <c r="AN45" s="1">
        <v>5</v>
      </c>
      <c r="AO45" s="1">
        <v>-2</v>
      </c>
      <c r="AP45" s="4"/>
    </row>
    <row r="46" spans="1:42" x14ac:dyDescent="0.45">
      <c r="A46" s="12">
        <v>4</v>
      </c>
      <c r="B46" s="2" t="str">
        <v>Südafrika</v>
      </c>
      <c r="C46" s="1">
        <v>1</v>
      </c>
      <c r="D46" s="1">
        <v>2</v>
      </c>
      <c r="E46" s="1">
        <v>5</v>
      </c>
      <c r="F46" s="1">
        <v>-3</v>
      </c>
      <c r="G46" s="4"/>
      <c r="H46" s="12">
        <v>4</v>
      </c>
      <c r="I46" s="2" t="str">
        <v>Bosnien-Herz.</v>
      </c>
      <c r="J46" s="1">
        <v>0</v>
      </c>
      <c r="K46" s="1">
        <v>1</v>
      </c>
      <c r="L46" s="1">
        <v>6</v>
      </c>
      <c r="M46" s="1">
        <v>-5</v>
      </c>
      <c r="N46" s="4"/>
      <c r="O46" s="12">
        <v>4</v>
      </c>
      <c r="P46" s="2" t="str">
        <v>Haiti</v>
      </c>
      <c r="Q46" s="1">
        <v>0</v>
      </c>
      <c r="R46" s="1">
        <v>1</v>
      </c>
      <c r="S46" s="1">
        <v>8</v>
      </c>
      <c r="T46" s="1">
        <v>-7</v>
      </c>
      <c r="U46" s="4"/>
      <c r="V46" s="12">
        <v>4</v>
      </c>
      <c r="W46" s="2" t="str">
        <v>Paraguay</v>
      </c>
      <c r="X46" s="1">
        <v>1</v>
      </c>
      <c r="Y46" s="1">
        <v>2</v>
      </c>
      <c r="Z46" s="1">
        <v>5</v>
      </c>
      <c r="AA46" s="1">
        <v>-3</v>
      </c>
      <c r="AB46" s="4"/>
      <c r="AC46" s="12">
        <v>4</v>
      </c>
      <c r="AD46" s="2" t="str">
        <v>Curacao</v>
      </c>
      <c r="AE46" s="1">
        <v>1</v>
      </c>
      <c r="AF46" s="1">
        <v>1</v>
      </c>
      <c r="AG46" s="1">
        <v>10</v>
      </c>
      <c r="AH46" s="1">
        <v>-9</v>
      </c>
      <c r="AI46" s="4"/>
      <c r="AJ46" s="12">
        <v>4</v>
      </c>
      <c r="AK46" s="2" t="str">
        <v>Tunesien</v>
      </c>
      <c r="AL46" s="1">
        <v>1</v>
      </c>
      <c r="AM46" s="1">
        <v>1</v>
      </c>
      <c r="AN46" s="1">
        <v>5</v>
      </c>
      <c r="AO46" s="1">
        <v>-4</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79" t="s">
        <v>57</v>
      </c>
      <c r="B48" s="83"/>
      <c r="C48" s="83"/>
      <c r="D48" s="83"/>
      <c r="E48" s="6"/>
      <c r="F48" s="6"/>
      <c r="G48" s="4"/>
      <c r="H48" s="79" t="s">
        <v>58</v>
      </c>
      <c r="I48" s="83"/>
      <c r="J48" s="83"/>
      <c r="K48" s="83"/>
      <c r="L48" s="6"/>
      <c r="M48" s="6"/>
      <c r="N48" s="4"/>
      <c r="O48" s="79" t="s">
        <v>59</v>
      </c>
      <c r="P48" s="83"/>
      <c r="Q48" s="83"/>
      <c r="R48" s="83"/>
      <c r="S48" s="6"/>
      <c r="T48" s="6"/>
      <c r="U48" s="4"/>
      <c r="V48" s="79" t="s">
        <v>60</v>
      </c>
      <c r="W48" s="83"/>
      <c r="X48" s="83"/>
      <c r="Y48" s="83"/>
      <c r="Z48" s="6"/>
      <c r="AA48" s="6"/>
      <c r="AB48" s="4"/>
      <c r="AC48" s="79" t="s">
        <v>61</v>
      </c>
      <c r="AD48" s="83"/>
      <c r="AE48" s="83"/>
      <c r="AF48" s="83"/>
      <c r="AG48" s="6"/>
      <c r="AH48" s="6"/>
      <c r="AI48" s="4"/>
      <c r="AJ48" s="79" t="s">
        <v>62</v>
      </c>
      <c r="AK48" s="83"/>
      <c r="AL48" s="83"/>
      <c r="AM48" s="83"/>
      <c r="AN48" s="6"/>
      <c r="AO48" s="6"/>
      <c r="AP48" s="4"/>
    </row>
    <row r="49" spans="1:42" ht="17.55" customHeight="1" x14ac:dyDescent="0.45">
      <c r="A49" s="83"/>
      <c r="B49" s="83"/>
      <c r="C49" s="83"/>
      <c r="D49" s="83"/>
      <c r="E49" s="6"/>
      <c r="F49" s="6"/>
      <c r="G49" s="4"/>
      <c r="H49" s="83"/>
      <c r="I49" s="83"/>
      <c r="J49" s="83"/>
      <c r="K49" s="83"/>
      <c r="L49" s="6"/>
      <c r="M49" s="6"/>
      <c r="N49" s="4"/>
      <c r="O49" s="83"/>
      <c r="P49" s="83"/>
      <c r="Q49" s="83"/>
      <c r="R49" s="83"/>
      <c r="S49" s="6"/>
      <c r="T49" s="6"/>
      <c r="U49" s="4"/>
      <c r="V49" s="83"/>
      <c r="W49" s="83"/>
      <c r="X49" s="83"/>
      <c r="Y49" s="83"/>
      <c r="Z49" s="6"/>
      <c r="AA49" s="6"/>
      <c r="AB49" s="4"/>
      <c r="AC49" s="83"/>
      <c r="AD49" s="83"/>
      <c r="AE49" s="83"/>
      <c r="AF49" s="83"/>
      <c r="AG49" s="6"/>
      <c r="AH49" s="6"/>
      <c r="AI49" s="4"/>
      <c r="AJ49" s="83"/>
      <c r="AK49" s="83"/>
      <c r="AL49" s="83"/>
      <c r="AM49" s="83"/>
      <c r="AN49" s="6"/>
      <c r="AO49" s="6"/>
      <c r="AP49" s="4"/>
    </row>
    <row r="50" spans="1:42" x14ac:dyDescent="0.45">
      <c r="A50" s="4"/>
      <c r="B50" s="81" t="s">
        <v>24</v>
      </c>
      <c r="C50" s="83"/>
      <c r="D50" s="4"/>
      <c r="E50" s="4"/>
      <c r="F50" s="4"/>
      <c r="G50" s="4"/>
      <c r="H50" s="4"/>
      <c r="I50" s="81" t="s">
        <v>24</v>
      </c>
      <c r="J50" s="83"/>
      <c r="K50" s="4"/>
      <c r="L50" s="4"/>
      <c r="M50" s="4"/>
      <c r="N50" s="4"/>
      <c r="O50" s="4"/>
      <c r="P50" s="81" t="s">
        <v>24</v>
      </c>
      <c r="Q50" s="83"/>
      <c r="R50" s="4"/>
      <c r="S50" s="4"/>
      <c r="T50" s="4"/>
      <c r="U50" s="4"/>
      <c r="V50" s="4"/>
      <c r="W50" s="81" t="s">
        <v>24</v>
      </c>
      <c r="X50" s="83"/>
      <c r="Y50" s="4"/>
      <c r="Z50" s="4"/>
      <c r="AA50" s="4"/>
      <c r="AB50" s="4"/>
      <c r="AC50" s="4"/>
      <c r="AD50" s="81" t="s">
        <v>24</v>
      </c>
      <c r="AE50" s="83"/>
      <c r="AF50" s="4"/>
      <c r="AG50" s="4"/>
      <c r="AH50" s="4"/>
      <c r="AI50" s="4"/>
      <c r="AJ50" s="4"/>
      <c r="AK50" s="81" t="s">
        <v>24</v>
      </c>
      <c r="AL50" s="83"/>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v>2</v>
      </c>
      <c r="C52" s="3">
        <v>0</v>
      </c>
      <c r="D52" s="4"/>
      <c r="E52" s="4"/>
      <c r="F52" s="4"/>
      <c r="G52" s="4"/>
      <c r="H52" s="4"/>
      <c r="I52" s="3">
        <v>7</v>
      </c>
      <c r="J52" s="3">
        <v>0</v>
      </c>
      <c r="K52" s="4"/>
      <c r="L52" s="4"/>
      <c r="M52" s="4"/>
      <c r="N52" s="4"/>
      <c r="O52" s="4"/>
      <c r="P52" s="3">
        <v>3</v>
      </c>
      <c r="Q52" s="3">
        <v>1</v>
      </c>
      <c r="R52" s="4"/>
      <c r="S52" s="4"/>
      <c r="T52" s="4"/>
      <c r="U52" s="4"/>
      <c r="V52" s="4"/>
      <c r="W52" s="3">
        <v>3</v>
      </c>
      <c r="X52" s="3">
        <v>1</v>
      </c>
      <c r="Y52" s="4"/>
      <c r="Z52" s="4"/>
      <c r="AA52" s="4"/>
      <c r="AB52" s="4"/>
      <c r="AC52" s="4"/>
      <c r="AD52" s="3">
        <v>3</v>
      </c>
      <c r="AE52" s="3">
        <v>0</v>
      </c>
      <c r="AF52" s="4"/>
      <c r="AG52" s="4"/>
      <c r="AH52" s="4"/>
      <c r="AI52" s="4"/>
      <c r="AJ52" s="4"/>
      <c r="AK52" s="3">
        <v>2</v>
      </c>
      <c r="AL52" s="3">
        <v>0</v>
      </c>
      <c r="AM52" s="4"/>
      <c r="AN52" s="4"/>
      <c r="AO52" s="4"/>
      <c r="AP52" s="4"/>
    </row>
    <row r="53" spans="1:42" x14ac:dyDescent="0.45">
      <c r="A53" s="4"/>
      <c r="B53" s="80" t="str">
        <f>IF(B52=C52,"Unentschieden",IF(B52&gt;C52,B51,C51))</f>
        <v>Belgien</v>
      </c>
      <c r="C53" s="95"/>
      <c r="D53" s="4"/>
      <c r="E53" s="4"/>
      <c r="F53" s="4"/>
      <c r="G53" s="4"/>
      <c r="H53" s="4"/>
      <c r="I53" s="80" t="str">
        <f>IF(I52=J52,"Unentschieden",IF(I52&gt;J52,I51,J51))</f>
        <v>Spanien</v>
      </c>
      <c r="J53" s="95"/>
      <c r="K53" s="4"/>
      <c r="L53" s="4"/>
      <c r="M53" s="4"/>
      <c r="N53" s="4"/>
      <c r="O53" s="4"/>
      <c r="P53" s="80" t="str">
        <f>IF(P52=Q52,"Unentschieden",IF(P52&gt;Q52,P51,Q51))</f>
        <v>Frankreich</v>
      </c>
      <c r="Q53" s="95"/>
      <c r="R53" s="4"/>
      <c r="S53" s="4"/>
      <c r="T53" s="4"/>
      <c r="U53" s="4"/>
      <c r="V53" s="4"/>
      <c r="W53" s="80" t="str">
        <f>IF(W52=X52,"Unentschieden",IF(W52&gt;X52,W51,X51))</f>
        <v>Argentinien</v>
      </c>
      <c r="X53" s="95"/>
      <c r="Y53" s="4"/>
      <c r="Z53" s="4"/>
      <c r="AA53" s="4"/>
      <c r="AB53" s="4"/>
      <c r="AC53" s="4"/>
      <c r="AD53" s="80" t="str">
        <f>IF(AD52=AE52,"Unentschieden",IF(AD52&gt;AE52,AD51,AE51))</f>
        <v>Portugal</v>
      </c>
      <c r="AE53" s="95"/>
      <c r="AF53" s="4"/>
      <c r="AG53" s="4"/>
      <c r="AH53" s="4"/>
      <c r="AI53" s="4"/>
      <c r="AJ53" s="4"/>
      <c r="AK53" s="80" t="str">
        <f>IF(AK52=AL52,"Unentschieden",IF(AK52&gt;AL52,AK51,AL51))</f>
        <v>England</v>
      </c>
      <c r="AL53" s="95"/>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v>1</v>
      </c>
      <c r="C57" s="3">
        <v>0</v>
      </c>
      <c r="D57" s="4"/>
      <c r="E57" s="4"/>
      <c r="F57" s="4"/>
      <c r="G57" s="4"/>
      <c r="H57" s="4"/>
      <c r="I57" s="3">
        <v>1</v>
      </c>
      <c r="J57" s="3">
        <v>3</v>
      </c>
      <c r="K57" s="4"/>
      <c r="L57" s="4"/>
      <c r="M57" s="4"/>
      <c r="N57" s="4"/>
      <c r="O57" s="4"/>
      <c r="P57" s="3">
        <v>0</v>
      </c>
      <c r="Q57" s="3">
        <v>3</v>
      </c>
      <c r="R57" s="4"/>
      <c r="S57" s="4"/>
      <c r="T57" s="4"/>
      <c r="U57" s="4"/>
      <c r="V57" s="4"/>
      <c r="W57" s="3">
        <v>1</v>
      </c>
      <c r="X57" s="3">
        <v>1</v>
      </c>
      <c r="Y57" s="4"/>
      <c r="Z57" s="4"/>
      <c r="AA57" s="4"/>
      <c r="AB57" s="4"/>
      <c r="AC57" s="4"/>
      <c r="AD57" s="3">
        <v>0</v>
      </c>
      <c r="AE57" s="3">
        <v>4</v>
      </c>
      <c r="AF57" s="4"/>
      <c r="AG57" s="4"/>
      <c r="AH57" s="4"/>
      <c r="AI57" s="4"/>
      <c r="AJ57" s="4"/>
      <c r="AK57" s="3">
        <v>1</v>
      </c>
      <c r="AL57" s="3">
        <v>1</v>
      </c>
      <c r="AM57" s="4"/>
      <c r="AN57" s="4"/>
      <c r="AO57" s="4"/>
      <c r="AP57" s="4"/>
    </row>
    <row r="58" spans="1:42" x14ac:dyDescent="0.45">
      <c r="A58" s="4"/>
      <c r="B58" s="80" t="str">
        <f>IF(B57=C57,"Unentschieden",IF(B57&gt;C57,B56,C56))</f>
        <v>Iran</v>
      </c>
      <c r="C58" s="95"/>
      <c r="D58" s="4"/>
      <c r="E58" s="4"/>
      <c r="F58" s="4"/>
      <c r="G58" s="4"/>
      <c r="H58" s="4"/>
      <c r="I58" s="80" t="str">
        <f>IF(I57=J57,"Unentschieden",IF(I57&gt;J57,I56,J56))</f>
        <v>Uruguay</v>
      </c>
      <c r="J58" s="95"/>
      <c r="K58" s="4"/>
      <c r="L58" s="4"/>
      <c r="M58" s="4"/>
      <c r="N58" s="4"/>
      <c r="O58" s="4"/>
      <c r="P58" s="80" t="str">
        <f>IF(P57=Q57,"Unentschieden",IF(P57&gt;Q57,P56,Q56))</f>
        <v>Norwegen</v>
      </c>
      <c r="Q58" s="95"/>
      <c r="R58" s="4"/>
      <c r="S58" s="4"/>
      <c r="T58" s="4"/>
      <c r="U58" s="4"/>
      <c r="V58" s="4"/>
      <c r="W58" s="80" t="str">
        <f>IF(W57=X57,"Unentschieden",IF(W57&gt;X57,W56,X56))</f>
        <v>Unentschieden</v>
      </c>
      <c r="X58" s="95"/>
      <c r="Y58" s="4"/>
      <c r="Z58" s="4"/>
      <c r="AA58" s="4"/>
      <c r="AB58" s="4"/>
      <c r="AC58" s="4"/>
      <c r="AD58" s="80" t="str">
        <f>IF(AD57=AE57,"Unentschieden",IF(AD57&gt;AE57,AD56,AE56))</f>
        <v>Kolumbien</v>
      </c>
      <c r="AE58" s="95"/>
      <c r="AF58" s="4"/>
      <c r="AG58" s="4"/>
      <c r="AH58" s="4"/>
      <c r="AI58" s="4"/>
      <c r="AJ58" s="4"/>
      <c r="AK58" s="80" t="str">
        <f>IF(AK57=AL57,"Unentschieden",IF(AK57&gt;AL57,AK56,AL56))</f>
        <v>Unentschieden</v>
      </c>
      <c r="AL58" s="95"/>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1</v>
      </c>
      <c r="X59" s="1">
        <f>IF(X57=W57,1,IF(X57&gt;W57,3,0))</f>
        <v>1</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3"/>
      <c r="D61" s="4"/>
      <c r="E61" s="4"/>
      <c r="F61" s="4"/>
      <c r="G61" s="4"/>
      <c r="H61" s="4"/>
      <c r="I61" s="81" t="s">
        <v>49</v>
      </c>
      <c r="J61" s="83"/>
      <c r="K61" s="4"/>
      <c r="L61" s="4"/>
      <c r="M61" s="4"/>
      <c r="N61" s="4"/>
      <c r="O61" s="4"/>
      <c r="P61" s="81" t="s">
        <v>49</v>
      </c>
      <c r="Q61" s="83"/>
      <c r="R61" s="4"/>
      <c r="S61" s="4"/>
      <c r="T61" s="4"/>
      <c r="U61" s="4"/>
      <c r="V61" s="4"/>
      <c r="W61" s="81" t="s">
        <v>49</v>
      </c>
      <c r="X61" s="83"/>
      <c r="Y61" s="4"/>
      <c r="Z61" s="4"/>
      <c r="AA61" s="4"/>
      <c r="AB61" s="4"/>
      <c r="AC61" s="4"/>
      <c r="AD61" s="81" t="s">
        <v>49</v>
      </c>
      <c r="AE61" s="83"/>
      <c r="AF61" s="4"/>
      <c r="AG61" s="4"/>
      <c r="AH61" s="4"/>
      <c r="AI61" s="4"/>
      <c r="AJ61" s="4"/>
      <c r="AK61" s="81" t="s">
        <v>49</v>
      </c>
      <c r="AL61" s="83"/>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v>2</v>
      </c>
      <c r="C63" s="3">
        <v>1</v>
      </c>
      <c r="D63" s="4"/>
      <c r="E63" s="4"/>
      <c r="F63" s="4"/>
      <c r="G63" s="4"/>
      <c r="H63" s="4"/>
      <c r="I63" s="3">
        <v>3</v>
      </c>
      <c r="J63" s="3">
        <v>0</v>
      </c>
      <c r="K63" s="4"/>
      <c r="L63" s="4"/>
      <c r="M63" s="4"/>
      <c r="N63" s="4"/>
      <c r="O63" s="4"/>
      <c r="P63" s="3">
        <v>4</v>
      </c>
      <c r="Q63" s="3">
        <v>1</v>
      </c>
      <c r="R63" s="4"/>
      <c r="S63" s="4"/>
      <c r="T63" s="4"/>
      <c r="U63" s="4"/>
      <c r="V63" s="4"/>
      <c r="W63" s="3">
        <v>2</v>
      </c>
      <c r="X63" s="3">
        <v>0</v>
      </c>
      <c r="Y63" s="4"/>
      <c r="Z63" s="4"/>
      <c r="AA63" s="4"/>
      <c r="AB63" s="4"/>
      <c r="AC63" s="4"/>
      <c r="AD63" s="3">
        <v>5</v>
      </c>
      <c r="AE63" s="3">
        <v>1</v>
      </c>
      <c r="AF63" s="4"/>
      <c r="AG63" s="4"/>
      <c r="AH63" s="4"/>
      <c r="AI63" s="4"/>
      <c r="AJ63" s="4"/>
      <c r="AK63" s="3">
        <v>1</v>
      </c>
      <c r="AL63" s="3">
        <v>0</v>
      </c>
      <c r="AM63" s="4"/>
      <c r="AN63" s="4"/>
      <c r="AO63" s="4"/>
      <c r="AP63" s="4"/>
    </row>
    <row r="64" spans="1:42" x14ac:dyDescent="0.45">
      <c r="A64" s="4"/>
      <c r="B64" s="80" t="str">
        <f>IF(B63=C63,"Unentschieden",IF(B63&gt;C63,B62,C62))</f>
        <v>Belgien</v>
      </c>
      <c r="C64" s="95"/>
      <c r="D64" s="4"/>
      <c r="E64" s="4"/>
      <c r="F64" s="4"/>
      <c r="G64" s="4"/>
      <c r="H64" s="4"/>
      <c r="I64" s="80" t="str">
        <f>IF(I63=J63,"Unentschieden",IF(I63&gt;J63,I62,J62))</f>
        <v>Spanien</v>
      </c>
      <c r="J64" s="95"/>
      <c r="K64" s="4"/>
      <c r="L64" s="4"/>
      <c r="M64" s="4"/>
      <c r="N64" s="4"/>
      <c r="O64" s="4"/>
      <c r="P64" s="80" t="str">
        <f>IF(P63=Q63,"Unentschieden",IF(P63&gt;Q63,P62,Q62))</f>
        <v>Frankreich</v>
      </c>
      <c r="Q64" s="95"/>
      <c r="R64" s="4"/>
      <c r="S64" s="4"/>
      <c r="T64" s="4"/>
      <c r="U64" s="4"/>
      <c r="V64" s="4"/>
      <c r="W64" s="80" t="str">
        <f>IF(W63=X63,"Unentschieden",IF(W63&gt;X63,W62,X62))</f>
        <v>Argentinien</v>
      </c>
      <c r="X64" s="95"/>
      <c r="Y64" s="4"/>
      <c r="Z64" s="4"/>
      <c r="AA64" s="4"/>
      <c r="AB64" s="4"/>
      <c r="AC64" s="4"/>
      <c r="AD64" s="80" t="str">
        <f>IF(AD63=AE63,"Unentschieden",IF(AD63&gt;AE63,AD62,AE62))</f>
        <v>Portugal</v>
      </c>
      <c r="AE64" s="95"/>
      <c r="AF64" s="4"/>
      <c r="AG64" s="4"/>
      <c r="AH64" s="4"/>
      <c r="AI64" s="4"/>
      <c r="AJ64" s="4"/>
      <c r="AK64" s="80" t="str">
        <f>IF(AK63=AL63,"Unentschieden",IF(AK63&gt;AL63,AK62,AL62))</f>
        <v>England</v>
      </c>
      <c r="AL64" s="95"/>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v>1</v>
      </c>
      <c r="C68" s="3">
        <v>1</v>
      </c>
      <c r="D68" s="4"/>
      <c r="E68" s="4"/>
      <c r="F68" s="4"/>
      <c r="G68" s="4"/>
      <c r="H68" s="4"/>
      <c r="I68" s="3">
        <v>4</v>
      </c>
      <c r="J68" s="3">
        <v>0</v>
      </c>
      <c r="K68" s="4"/>
      <c r="L68" s="4"/>
      <c r="M68" s="4"/>
      <c r="N68" s="4"/>
      <c r="O68" s="4"/>
      <c r="P68" s="3">
        <v>2</v>
      </c>
      <c r="Q68" s="3">
        <v>2</v>
      </c>
      <c r="R68" s="4"/>
      <c r="S68" s="4"/>
      <c r="T68" s="4"/>
      <c r="U68" s="4"/>
      <c r="V68" s="4"/>
      <c r="W68" s="3">
        <v>0</v>
      </c>
      <c r="X68" s="3">
        <v>2</v>
      </c>
      <c r="Y68" s="4"/>
      <c r="Z68" s="4"/>
      <c r="AA68" s="4"/>
      <c r="AB68" s="4"/>
      <c r="AC68" s="4"/>
      <c r="AD68" s="3">
        <v>1</v>
      </c>
      <c r="AE68" s="3">
        <v>3</v>
      </c>
      <c r="AF68" s="4"/>
      <c r="AG68" s="4"/>
      <c r="AH68" s="4"/>
      <c r="AI68" s="4"/>
      <c r="AJ68" s="4"/>
      <c r="AK68" s="3">
        <v>0</v>
      </c>
      <c r="AL68" s="3">
        <v>3</v>
      </c>
      <c r="AM68" s="4"/>
      <c r="AN68" s="4"/>
      <c r="AO68" s="4"/>
      <c r="AP68" s="4"/>
    </row>
    <row r="69" spans="1:42" x14ac:dyDescent="0.45">
      <c r="A69" s="4"/>
      <c r="B69" s="80" t="str">
        <f>IF(B68=C68,"Unentschieden",IF(B68&gt;C68,B67,C67))</f>
        <v>Unentschieden</v>
      </c>
      <c r="C69" s="95"/>
      <c r="D69" s="4"/>
      <c r="E69" s="4"/>
      <c r="F69" s="4"/>
      <c r="G69" s="4"/>
      <c r="H69" s="4"/>
      <c r="I69" s="80" t="str">
        <f>IF(I68=J68,"Unentschieden",IF(I68&gt;J68,I67,J67))</f>
        <v>Uruguay</v>
      </c>
      <c r="J69" s="95"/>
      <c r="K69" s="4"/>
      <c r="L69" s="4"/>
      <c r="M69" s="4"/>
      <c r="N69" s="4"/>
      <c r="O69" s="4"/>
      <c r="P69" s="80" t="str">
        <f>IF(P68=Q68,"Unentschieden",IF(P68&gt;Q68,P67,Q67))</f>
        <v>Unentschieden</v>
      </c>
      <c r="Q69" s="95"/>
      <c r="R69" s="4"/>
      <c r="S69" s="4"/>
      <c r="T69" s="4"/>
      <c r="U69" s="4"/>
      <c r="V69" s="4"/>
      <c r="W69" s="80" t="str">
        <f>IF(W68=X68,"Unentschieden",IF(W68&gt;X68,W67,X67))</f>
        <v>Algerien</v>
      </c>
      <c r="X69" s="95"/>
      <c r="Y69" s="4"/>
      <c r="Z69" s="4"/>
      <c r="AA69" s="4"/>
      <c r="AB69" s="4"/>
      <c r="AC69" s="4"/>
      <c r="AD69" s="80" t="str">
        <f>IF(AD68=AE68,"Unentschieden",IF(AD68&gt;AE68,AD67,AE67))</f>
        <v>DR Kongo</v>
      </c>
      <c r="AE69" s="95"/>
      <c r="AF69" s="4"/>
      <c r="AG69" s="4"/>
      <c r="AH69" s="4"/>
      <c r="AI69" s="4"/>
      <c r="AJ69" s="4"/>
      <c r="AK69" s="80" t="str">
        <f>IF(AK68=AL68,"Unentschieden",IF(AK68&gt;AL68,AK67,AL67))</f>
        <v>Kroatien</v>
      </c>
      <c r="AL69" s="95"/>
      <c r="AM69" s="4"/>
      <c r="AN69" s="4"/>
      <c r="AO69" s="4"/>
      <c r="AP69" s="4"/>
    </row>
    <row r="70" spans="1:42" x14ac:dyDescent="0.45">
      <c r="A70" s="4"/>
      <c r="B70" s="1">
        <f>IF(B68=C68,1,IF(B68&gt;C68,3,0))</f>
        <v>1</v>
      </c>
      <c r="C70" s="1">
        <f>IF(C68=B68,1,IF(C68&gt;B68,3,0))</f>
        <v>1</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0</v>
      </c>
      <c r="AE70" s="1">
        <f>IF(AE68=AD68,1,IF(AE68&gt;AD68,3,0))</f>
        <v>3</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81" t="s">
        <v>50</v>
      </c>
      <c r="C72" s="83"/>
      <c r="D72" s="4"/>
      <c r="E72" s="4"/>
      <c r="F72" s="4"/>
      <c r="G72" s="4"/>
      <c r="H72" s="4"/>
      <c r="I72" s="81" t="s">
        <v>50</v>
      </c>
      <c r="J72" s="83"/>
      <c r="K72" s="4"/>
      <c r="L72" s="4"/>
      <c r="M72" s="4"/>
      <c r="N72" s="4"/>
      <c r="O72" s="4"/>
      <c r="P72" s="81" t="s">
        <v>50</v>
      </c>
      <c r="Q72" s="83"/>
      <c r="R72" s="4"/>
      <c r="S72" s="4"/>
      <c r="T72" s="4"/>
      <c r="U72" s="4"/>
      <c r="V72" s="4"/>
      <c r="W72" s="81" t="s">
        <v>50</v>
      </c>
      <c r="X72" s="83"/>
      <c r="Y72" s="4"/>
      <c r="Z72" s="4"/>
      <c r="AA72" s="4"/>
      <c r="AB72" s="4"/>
      <c r="AC72" s="4"/>
      <c r="AD72" s="81" t="s">
        <v>50</v>
      </c>
      <c r="AE72" s="83"/>
      <c r="AF72" s="4"/>
      <c r="AG72" s="4"/>
      <c r="AH72" s="4"/>
      <c r="AI72" s="4"/>
      <c r="AJ72" s="4"/>
      <c r="AK72" s="81" t="s">
        <v>50</v>
      </c>
      <c r="AL72" s="83"/>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
        <v>0</v>
      </c>
      <c r="C74" s="3">
        <v>2</v>
      </c>
      <c r="D74" s="4"/>
      <c r="E74" s="4"/>
      <c r="F74" s="4"/>
      <c r="G74" s="4"/>
      <c r="H74" s="4"/>
      <c r="I74" s="3">
        <v>0</v>
      </c>
      <c r="J74" s="3">
        <v>3</v>
      </c>
      <c r="K74" s="4"/>
      <c r="L74" s="4"/>
      <c r="M74" s="4"/>
      <c r="N74" s="4"/>
      <c r="O74" s="4"/>
      <c r="P74" s="3">
        <v>1</v>
      </c>
      <c r="Q74" s="3">
        <v>2</v>
      </c>
      <c r="R74" s="4"/>
      <c r="S74" s="4"/>
      <c r="T74" s="4"/>
      <c r="U74" s="4"/>
      <c r="V74" s="4"/>
      <c r="W74" s="3">
        <v>1</v>
      </c>
      <c r="X74" s="3">
        <v>3</v>
      </c>
      <c r="Y74" s="4"/>
      <c r="Z74" s="4"/>
      <c r="AA74" s="4"/>
      <c r="AB74" s="4"/>
      <c r="AC74" s="4"/>
      <c r="AD74" s="3">
        <v>3</v>
      </c>
      <c r="AE74" s="3">
        <v>3</v>
      </c>
      <c r="AF74" s="4"/>
      <c r="AG74" s="4"/>
      <c r="AH74" s="4"/>
      <c r="AI74" s="4"/>
      <c r="AJ74" s="4"/>
      <c r="AK74" s="3">
        <v>1</v>
      </c>
      <c r="AL74" s="3">
        <v>3</v>
      </c>
      <c r="AM74" s="4"/>
      <c r="AN74" s="4"/>
      <c r="AO74" s="4"/>
      <c r="AP74" s="4"/>
    </row>
    <row r="75" spans="1:42" ht="17.55" customHeight="1" x14ac:dyDescent="0.45">
      <c r="A75" s="4"/>
      <c r="B75" s="80" t="str">
        <f>IF(B74=C74,"Unentschieden",IF(B74&gt;C74,B73,C73))</f>
        <v>Belgien</v>
      </c>
      <c r="C75" s="95"/>
      <c r="D75" s="4"/>
      <c r="E75" s="4"/>
      <c r="F75" s="4"/>
      <c r="G75" s="4"/>
      <c r="H75" s="4"/>
      <c r="I75" s="80" t="str">
        <f>IF(I74=J74,"Unentschieden",IF(I74&gt;J74,I73,J73))</f>
        <v>Spanien</v>
      </c>
      <c r="J75" s="95"/>
      <c r="K75" s="4"/>
      <c r="L75" s="4"/>
      <c r="M75" s="4"/>
      <c r="N75" s="4"/>
      <c r="O75" s="4"/>
      <c r="P75" s="80" t="str">
        <f>IF(P74=Q74,"Unentschieden",IF(P74&gt;Q74,P73,Q73))</f>
        <v>Frankreich</v>
      </c>
      <c r="Q75" s="95"/>
      <c r="R75" s="4"/>
      <c r="S75" s="4"/>
      <c r="T75" s="4"/>
      <c r="U75" s="4"/>
      <c r="V75" s="4"/>
      <c r="W75" s="80" t="str">
        <f>IF(W74=X74,"Unentschieden",IF(W74&gt;X74,W73,X73))</f>
        <v>Argentinien</v>
      </c>
      <c r="X75" s="95"/>
      <c r="Y75" s="4"/>
      <c r="Z75" s="4"/>
      <c r="AA75" s="4"/>
      <c r="AB75" s="4"/>
      <c r="AC75" s="4"/>
      <c r="AD75" s="80" t="str">
        <f>IF(AD74=AE74,"Unentschieden",IF(AD74&gt;AE74,AD73,AE73))</f>
        <v>Unentschieden</v>
      </c>
      <c r="AE75" s="95"/>
      <c r="AF75" s="4"/>
      <c r="AG75" s="4"/>
      <c r="AH75" s="4"/>
      <c r="AI75" s="4"/>
      <c r="AJ75" s="4"/>
      <c r="AK75" s="80" t="str">
        <f>IF(AK74=AL74,"Unentschieden",IF(AK74&gt;AL74,AK73,AL73))</f>
        <v>England</v>
      </c>
      <c r="AL75" s="95"/>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
        <v>1</v>
      </c>
      <c r="C79" s="3">
        <v>2</v>
      </c>
      <c r="D79" s="4"/>
      <c r="E79" s="4"/>
      <c r="F79" s="4"/>
      <c r="G79" s="4"/>
      <c r="H79" s="4"/>
      <c r="I79" s="3">
        <v>0</v>
      </c>
      <c r="J79" s="3">
        <v>3</v>
      </c>
      <c r="K79" s="4"/>
      <c r="L79" s="4"/>
      <c r="M79" s="4"/>
      <c r="N79" s="4"/>
      <c r="O79" s="4"/>
      <c r="P79" s="3">
        <v>3</v>
      </c>
      <c r="Q79" s="3">
        <v>0</v>
      </c>
      <c r="R79" s="4"/>
      <c r="S79" s="4"/>
      <c r="T79" s="4"/>
      <c r="U79" s="4"/>
      <c r="V79" s="4"/>
      <c r="W79" s="3">
        <v>1</v>
      </c>
      <c r="X79" s="3">
        <v>1</v>
      </c>
      <c r="Y79" s="4"/>
      <c r="Z79" s="4"/>
      <c r="AA79" s="4"/>
      <c r="AB79" s="4"/>
      <c r="AC79" s="4"/>
      <c r="AD79" s="3">
        <v>1</v>
      </c>
      <c r="AE79" s="3">
        <v>1</v>
      </c>
      <c r="AF79" s="4"/>
      <c r="AG79" s="4"/>
      <c r="AH79" s="4"/>
      <c r="AI79" s="4"/>
      <c r="AJ79" s="4"/>
      <c r="AK79" s="3">
        <v>2</v>
      </c>
      <c r="AL79" s="3">
        <v>1</v>
      </c>
      <c r="AM79" s="4"/>
      <c r="AN79" s="4"/>
      <c r="AO79" s="4"/>
      <c r="AP79" s="4"/>
    </row>
    <row r="80" spans="1:42" ht="17.55" customHeight="1" x14ac:dyDescent="0.45">
      <c r="A80" s="4"/>
      <c r="B80" s="80" t="str">
        <f>IF(B79=C79,"Unentschieden",IF(B79&gt;C79,B78,C78))</f>
        <v>Iran</v>
      </c>
      <c r="C80" s="95"/>
      <c r="D80" s="4"/>
      <c r="E80" s="4"/>
      <c r="F80" s="4"/>
      <c r="G80" s="4"/>
      <c r="H80" s="4"/>
      <c r="I80" s="80" t="str">
        <f>IF(I79=J79,"Unentschieden",IF(I79&gt;J79,I78,J78))</f>
        <v>Saudi-Arabien</v>
      </c>
      <c r="J80" s="95"/>
      <c r="K80" s="4"/>
      <c r="L80" s="4"/>
      <c r="M80" s="4"/>
      <c r="N80" s="4"/>
      <c r="O80" s="4"/>
      <c r="P80" s="80" t="str">
        <f>IF(P79=Q79,"Unentschieden",IF(P79&gt;Q79,P78,Q78))</f>
        <v>Senegal</v>
      </c>
      <c r="Q80" s="95"/>
      <c r="R80" s="4"/>
      <c r="S80" s="4"/>
      <c r="T80" s="4"/>
      <c r="U80" s="4"/>
      <c r="V80" s="4"/>
      <c r="W80" s="80" t="str">
        <f>IF(W79=X79,"Unentschieden",IF(W79&gt;X79,W78,X78))</f>
        <v>Unentschieden</v>
      </c>
      <c r="X80" s="95"/>
      <c r="Y80" s="4"/>
      <c r="Z80" s="4"/>
      <c r="AA80" s="4"/>
      <c r="AB80" s="4"/>
      <c r="AC80" s="4"/>
      <c r="AD80" s="80" t="str">
        <f>IF(AD79=AE79,"Unentschieden",IF(AD79&gt;AE79,AD78,AE78))</f>
        <v>Unentschieden</v>
      </c>
      <c r="AE80" s="95"/>
      <c r="AF80" s="4"/>
      <c r="AG80" s="4"/>
      <c r="AH80" s="4"/>
      <c r="AI80" s="4"/>
      <c r="AJ80" s="4"/>
      <c r="AK80" s="80" t="str">
        <f>IF(AK79=AL79,"Unentschieden",IF(AK79&gt;AL79,AK78,AL78))</f>
        <v>Kroatien</v>
      </c>
      <c r="AL80" s="95"/>
      <c r="AM80" s="4"/>
      <c r="AN80" s="4"/>
      <c r="AO80" s="4"/>
      <c r="AP80" s="4"/>
    </row>
    <row r="81" spans="1:42" ht="17.55"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7"/>
      <c r="B84" s="2" t="s">
        <v>63</v>
      </c>
      <c r="C84" s="1">
        <f>B54+B65+C76</f>
        <v>9</v>
      </c>
      <c r="D84" s="1">
        <f>B52+B63+C74</f>
        <v>6</v>
      </c>
      <c r="E84" s="1">
        <f>C52+C63+B74</f>
        <v>1</v>
      </c>
      <c r="F84" s="1">
        <f>D84-E84</f>
        <v>5</v>
      </c>
      <c r="G84" s="4"/>
      <c r="H84" s="7"/>
      <c r="I84" s="2" t="s">
        <v>65</v>
      </c>
      <c r="J84" s="1">
        <f>I54+I65+J76</f>
        <v>9</v>
      </c>
      <c r="K84" s="1">
        <f>I52+I63+J74</f>
        <v>13</v>
      </c>
      <c r="L84" s="1">
        <f>J52+J63+I74</f>
        <v>0</v>
      </c>
      <c r="M84" s="1">
        <f>K84-L84</f>
        <v>13</v>
      </c>
      <c r="N84" s="4"/>
      <c r="O84" s="13"/>
      <c r="P84" s="2" t="s">
        <v>67</v>
      </c>
      <c r="Q84" s="1">
        <f>P54+P65+Q76</f>
        <v>9</v>
      </c>
      <c r="R84" s="1">
        <f>P52+P63+Q74</f>
        <v>9</v>
      </c>
      <c r="S84" s="1">
        <f>Q52+Q63+P74</f>
        <v>3</v>
      </c>
      <c r="T84" s="1">
        <f>R84-S84</f>
        <v>6</v>
      </c>
      <c r="U84" s="4"/>
      <c r="V84" s="13"/>
      <c r="W84" s="2" t="s">
        <v>69</v>
      </c>
      <c r="X84" s="1">
        <f>W54+W65+X76</f>
        <v>9</v>
      </c>
      <c r="Y84" s="1">
        <f>W52+W63+X74</f>
        <v>8</v>
      </c>
      <c r="Z84" s="1">
        <f>X52+X63+W74</f>
        <v>2</v>
      </c>
      <c r="AA84" s="1">
        <f>Y84-Z84</f>
        <v>6</v>
      </c>
      <c r="AB84" s="4"/>
      <c r="AC84" s="13"/>
      <c r="AD84" s="2" t="s">
        <v>71</v>
      </c>
      <c r="AE84" s="1">
        <f>AD54+AD65+AE76</f>
        <v>7</v>
      </c>
      <c r="AF84" s="1">
        <f>AD52+AD63+AE74</f>
        <v>11</v>
      </c>
      <c r="AG84" s="1">
        <f>AE52+AE63+AD74</f>
        <v>4</v>
      </c>
      <c r="AH84" s="1">
        <f>AF84-AG84</f>
        <v>7</v>
      </c>
      <c r="AI84" s="4"/>
      <c r="AJ84" s="4"/>
      <c r="AK84" s="2" t="s">
        <v>73</v>
      </c>
      <c r="AL84" s="1">
        <f>AK54+AK65+AL76</f>
        <v>9</v>
      </c>
      <c r="AM84" s="1">
        <f>AK52+AK63+AL74</f>
        <v>6</v>
      </c>
      <c r="AN84" s="1">
        <f>AL52+AL63+AK74</f>
        <v>1</v>
      </c>
      <c r="AO84" s="1">
        <f>AM84-AN84</f>
        <v>5</v>
      </c>
      <c r="AP84" s="4"/>
    </row>
    <row r="85" spans="1:42" ht="17.55" customHeight="1" x14ac:dyDescent="0.45">
      <c r="A85" s="7"/>
      <c r="B85" s="2" t="s">
        <v>64</v>
      </c>
      <c r="C85" s="1">
        <f>C54+C70+B81</f>
        <v>1</v>
      </c>
      <c r="D85" s="1">
        <f>C52+C68+B79</f>
        <v>2</v>
      </c>
      <c r="E85" s="1">
        <f>B52+B68+C79</f>
        <v>5</v>
      </c>
      <c r="F85" s="1">
        <f>D85-E85</f>
        <v>-3</v>
      </c>
      <c r="G85" s="4"/>
      <c r="H85" s="7"/>
      <c r="I85" s="2" t="s">
        <v>66</v>
      </c>
      <c r="J85" s="1">
        <f>J54+J70+I81</f>
        <v>0</v>
      </c>
      <c r="K85" s="1">
        <f>J52+J68+I79</f>
        <v>0</v>
      </c>
      <c r="L85" s="1">
        <f>I52+I68+J79</f>
        <v>14</v>
      </c>
      <c r="M85" s="1">
        <f>K85-L85</f>
        <v>-14</v>
      </c>
      <c r="N85" s="4"/>
      <c r="O85" s="13"/>
      <c r="P85" s="2" t="s">
        <v>68</v>
      </c>
      <c r="Q85" s="1">
        <f>Q54+Q70+P81</f>
        <v>4</v>
      </c>
      <c r="R85" s="1">
        <f>Q52+Q68+P79</f>
        <v>6</v>
      </c>
      <c r="S85" s="1">
        <f>P52+P68+Q79</f>
        <v>5</v>
      </c>
      <c r="T85" s="1">
        <f>R85-S85</f>
        <v>1</v>
      </c>
      <c r="U85" s="4"/>
      <c r="V85" s="13"/>
      <c r="W85" s="2" t="s">
        <v>70</v>
      </c>
      <c r="X85" s="1">
        <f>X54+X70+W81</f>
        <v>4</v>
      </c>
      <c r="Y85" s="1">
        <f>X52+X68+W79</f>
        <v>4</v>
      </c>
      <c r="Z85" s="1">
        <f>W52+W68+X79</f>
        <v>4</v>
      </c>
      <c r="AA85" s="1">
        <f>Y85-Z85</f>
        <v>0</v>
      </c>
      <c r="AB85" s="4"/>
      <c r="AC85" s="13"/>
      <c r="AD85" s="2" t="s">
        <v>72</v>
      </c>
      <c r="AE85" s="1">
        <f>AE54+AE70+AD81</f>
        <v>4</v>
      </c>
      <c r="AF85" s="1">
        <f>AE52+AE68+AD79</f>
        <v>4</v>
      </c>
      <c r="AG85" s="1">
        <f>AD52+AD68+AE79</f>
        <v>5</v>
      </c>
      <c r="AH85" s="1">
        <f>AF85-AG85</f>
        <v>-1</v>
      </c>
      <c r="AI85" s="4"/>
      <c r="AJ85" s="4"/>
      <c r="AK85" s="2" t="s">
        <v>74</v>
      </c>
      <c r="AL85" s="1">
        <f>AL54+AL70+AK81</f>
        <v>6</v>
      </c>
      <c r="AM85" s="1">
        <f>AL52+AL68+AK79</f>
        <v>5</v>
      </c>
      <c r="AN85" s="1">
        <f>AK52+AK68+AL79</f>
        <v>3</v>
      </c>
      <c r="AO85" s="1">
        <f>AM85-AN85</f>
        <v>2</v>
      </c>
      <c r="AP85" s="4"/>
    </row>
    <row r="86" spans="1:42" ht="17.55" customHeight="1" x14ac:dyDescent="0.45">
      <c r="A86" s="8"/>
      <c r="B86" s="2" t="s">
        <v>75</v>
      </c>
      <c r="C86" s="1">
        <f>B59+C65+C81</f>
        <v>6</v>
      </c>
      <c r="D86" s="1">
        <f>B57+C63+C79</f>
        <v>4</v>
      </c>
      <c r="E86" s="1">
        <f>C57+B63+B79</f>
        <v>3</v>
      </c>
      <c r="F86" s="1">
        <f>D86-E86</f>
        <v>1</v>
      </c>
      <c r="G86" s="4"/>
      <c r="H86" s="8"/>
      <c r="I86" s="2" t="s">
        <v>77</v>
      </c>
      <c r="J86" s="1">
        <f>I59+J65+J81</f>
        <v>3</v>
      </c>
      <c r="K86" s="1">
        <f>I57+J63+J79</f>
        <v>4</v>
      </c>
      <c r="L86" s="1">
        <f>J57+I63+I79</f>
        <v>6</v>
      </c>
      <c r="M86" s="1">
        <f>K86-L86</f>
        <v>-2</v>
      </c>
      <c r="N86" s="4"/>
      <c r="O86" s="13"/>
      <c r="P86" s="2" t="s">
        <v>79</v>
      </c>
      <c r="Q86" s="1">
        <f>P59+Q65+Q81</f>
        <v>0</v>
      </c>
      <c r="R86" s="1">
        <f>P57+Q63+Q79</f>
        <v>1</v>
      </c>
      <c r="S86" s="1">
        <f>Q57+P63+P79</f>
        <v>10</v>
      </c>
      <c r="T86" s="1">
        <f>R86-S86</f>
        <v>-9</v>
      </c>
      <c r="U86" s="4"/>
      <c r="V86" s="13"/>
      <c r="W86" s="2" t="s">
        <v>81</v>
      </c>
      <c r="X86" s="1">
        <f>W59+X65+X81</f>
        <v>2</v>
      </c>
      <c r="Y86" s="1">
        <f>W57+X63+X79</f>
        <v>2</v>
      </c>
      <c r="Z86" s="1">
        <f>X57+W63+W79</f>
        <v>4</v>
      </c>
      <c r="AA86" s="1">
        <f>Y86-Z86</f>
        <v>-2</v>
      </c>
      <c r="AB86" s="4"/>
      <c r="AC86" s="13"/>
      <c r="AD86" s="2" t="s">
        <v>83</v>
      </c>
      <c r="AE86" s="1">
        <f>AD59+AE65+AE81</f>
        <v>1</v>
      </c>
      <c r="AF86" s="1">
        <f>AD57+AE63+AE79</f>
        <v>2</v>
      </c>
      <c r="AG86" s="1">
        <f>AE57+AD63+AD79</f>
        <v>10</v>
      </c>
      <c r="AH86" s="1">
        <f>AF86-AG86</f>
        <v>-8</v>
      </c>
      <c r="AI86" s="4"/>
      <c r="AJ86" s="4"/>
      <c r="AK86" s="2" t="s">
        <v>85</v>
      </c>
      <c r="AL86" s="1">
        <f>AK59+AL65+AL81</f>
        <v>1</v>
      </c>
      <c r="AM86" s="1">
        <f>AK57+AL63+AL79</f>
        <v>2</v>
      </c>
      <c r="AN86" s="1">
        <f>AL57+AK63+AK79</f>
        <v>4</v>
      </c>
      <c r="AO86" s="1">
        <f>AM86-AN86</f>
        <v>-2</v>
      </c>
      <c r="AP86" s="4"/>
    </row>
    <row r="87" spans="1:42" x14ac:dyDescent="0.45">
      <c r="A87" s="9"/>
      <c r="B87" s="2" t="s">
        <v>76</v>
      </c>
      <c r="C87" s="1">
        <f>C59+B70+B76</f>
        <v>1</v>
      </c>
      <c r="D87" s="1">
        <f>C57+B68+B74</f>
        <v>1</v>
      </c>
      <c r="E87" s="1">
        <f>B57+C68+C74</f>
        <v>4</v>
      </c>
      <c r="F87" s="1">
        <f>D87-E87</f>
        <v>-3</v>
      </c>
      <c r="G87" s="4"/>
      <c r="H87" s="9"/>
      <c r="I87" s="2" t="s">
        <v>78</v>
      </c>
      <c r="J87" s="1">
        <f>J59+I70+I76</f>
        <v>6</v>
      </c>
      <c r="K87" s="1">
        <f>J57+I68+I74</f>
        <v>7</v>
      </c>
      <c r="L87" s="1">
        <f>I57+J68+J74</f>
        <v>4</v>
      </c>
      <c r="M87" s="1">
        <f>K87-L87</f>
        <v>3</v>
      </c>
      <c r="N87" s="4"/>
      <c r="O87" s="13"/>
      <c r="P87" s="2" t="s">
        <v>80</v>
      </c>
      <c r="Q87" s="1">
        <f>Q59+P70+P76</f>
        <v>4</v>
      </c>
      <c r="R87" s="1">
        <f>Q57+P68+P74</f>
        <v>6</v>
      </c>
      <c r="S87" s="1">
        <f>P57+Q68+Q74</f>
        <v>4</v>
      </c>
      <c r="T87" s="1">
        <f>R87-S87</f>
        <v>2</v>
      </c>
      <c r="U87" s="4"/>
      <c r="V87" s="13"/>
      <c r="W87" s="2" t="s">
        <v>82</v>
      </c>
      <c r="X87" s="1">
        <f>X59+W70+W76</f>
        <v>1</v>
      </c>
      <c r="Y87" s="1">
        <f>X57+W68+W74</f>
        <v>2</v>
      </c>
      <c r="Z87" s="1">
        <f>W57+X68+X74</f>
        <v>6</v>
      </c>
      <c r="AA87" s="1">
        <f>Y87-Z87</f>
        <v>-4</v>
      </c>
      <c r="AB87" s="4"/>
      <c r="AC87" s="13"/>
      <c r="AD87" s="2" t="s">
        <v>84</v>
      </c>
      <c r="AE87" s="1">
        <f>AE59+AD70+AD76</f>
        <v>4</v>
      </c>
      <c r="AF87" s="1">
        <f>AE57+AD68+AD74</f>
        <v>8</v>
      </c>
      <c r="AG87" s="1">
        <f>AD57+AE68+AE74</f>
        <v>6</v>
      </c>
      <c r="AH87" s="1">
        <f>AF87-AG87</f>
        <v>2</v>
      </c>
      <c r="AI87" s="4"/>
      <c r="AJ87" s="4"/>
      <c r="AK87" s="2" t="s">
        <v>86</v>
      </c>
      <c r="AL87" s="1">
        <f>AL59+AK70+AK76</f>
        <v>1</v>
      </c>
      <c r="AM87" s="1">
        <f>AL57+AK68+AK74</f>
        <v>2</v>
      </c>
      <c r="AN87" s="1">
        <f>AK57+AL68+AL74</f>
        <v>7</v>
      </c>
      <c r="AO87" s="1">
        <f>AM87-AN87</f>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3"/>
      <c r="G89" s="4"/>
      <c r="H89" s="4"/>
      <c r="I89" s="81" t="s">
        <v>56</v>
      </c>
      <c r="J89" s="83"/>
      <c r="K89" s="1"/>
      <c r="L89" s="1"/>
      <c r="M89" s="1"/>
      <c r="N89" s="4"/>
      <c r="O89" s="4"/>
      <c r="P89" s="81" t="s">
        <v>56</v>
      </c>
      <c r="Q89" s="83"/>
      <c r="R89" s="1"/>
      <c r="S89" s="1"/>
      <c r="T89" s="1"/>
      <c r="U89" s="4"/>
      <c r="V89" s="4"/>
      <c r="W89" s="81" t="s">
        <v>56</v>
      </c>
      <c r="X89" s="83"/>
      <c r="Y89" s="1"/>
      <c r="Z89" s="1"/>
      <c r="AA89" s="1"/>
      <c r="AB89" s="4"/>
      <c r="AC89" s="4"/>
      <c r="AD89" s="81" t="s">
        <v>56</v>
      </c>
      <c r="AE89" s="83"/>
      <c r="AI89" s="4"/>
      <c r="AJ89" s="4"/>
      <c r="AK89" s="81" t="s">
        <v>56</v>
      </c>
      <c r="AL89" s="83"/>
      <c r="AP89" s="4"/>
    </row>
    <row r="90" spans="1:42" x14ac:dyDescent="0.45">
      <c r="A90" s="10">
        <v>1</v>
      </c>
      <c r="B90" s="2" t="str">
        <f t="array" ref="B90:B93">_xlfn.SORTBY(B84:B87,C84:C87,-1,F84:F87,-1,D84:D87,-1)</f>
        <v>Belgien</v>
      </c>
      <c r="C90" s="1">
        <f t="array" ref="C90:C93">_xlfn.SORTBY(C84:C87,C84:C87,-1,F84:F87,-1,D84:D87,-1)</f>
        <v>9</v>
      </c>
      <c r="D90" s="1">
        <f t="array" ref="D90:D93">_xlfn.SORTBY(D84:D87,C84:C87,-1,F84:F87,-1,D84:D87,-1)</f>
        <v>6</v>
      </c>
      <c r="E90" s="1">
        <f t="array" ref="E90:E93">_xlfn.SORTBY(E84:E87,C84:C87,-1,F84:F87,-1,D84:D87,-1)</f>
        <v>1</v>
      </c>
      <c r="F90" s="1">
        <f t="array" ref="F90:F93">_xlfn.SORTBY(F84:F87,C84:C87,-1,F84:F87,-1,D84:D87,-1)</f>
        <v>5</v>
      </c>
      <c r="G90" s="4"/>
      <c r="H90" s="10">
        <v>1</v>
      </c>
      <c r="I90" s="2" t="str">
        <f t="array" ref="I90:I93">_xlfn.SORTBY(I84:I87,J84:J87,-1,M84:M87,-1,K84:K87,-1)</f>
        <v>Spanien</v>
      </c>
      <c r="J90" s="1">
        <f t="array" ref="J90:J93">_xlfn.SORTBY(J84:J87,J84:J87,-1,M84:M87,-1,K84:K87,-1)</f>
        <v>9</v>
      </c>
      <c r="K90" s="1">
        <f t="array" ref="K90:K93">_xlfn.SORTBY(K84:K87,J84:J87,-1,M84:M87,-1,K84:K87,-1)</f>
        <v>13</v>
      </c>
      <c r="L90" s="1">
        <f t="array" ref="L90:L93">_xlfn.SORTBY(L84:L87,J84:J87,-1,M84:M87,-1,K84:K87,-1)</f>
        <v>0</v>
      </c>
      <c r="M90" s="1">
        <f t="array" ref="M90:M93">_xlfn.SORTBY(M84:M87,J84:J87,-1,M84:M87,-1,K84:K87,-1)</f>
        <v>13</v>
      </c>
      <c r="N90" s="4"/>
      <c r="O90" s="10">
        <v>1</v>
      </c>
      <c r="P90" s="2" t="str">
        <f t="array" ref="P90:P93">_xlfn.SORTBY(P84:P87,Q84:Q87,-1,T84:T87,-1,R84:R87,-1)</f>
        <v>Frankreich</v>
      </c>
      <c r="Q90" s="1">
        <f t="array" ref="Q90:Q93">_xlfn.SORTBY(Q84:Q87,Q84:Q87,-1,T84:T87,-1,R84:R87,-1)</f>
        <v>9</v>
      </c>
      <c r="R90" s="1">
        <f t="array" ref="R90:R93">_xlfn.SORTBY(R84:R87,Q84:Q87,-1,T84:T87,-1,R84:R87,-1)</f>
        <v>9</v>
      </c>
      <c r="S90" s="1">
        <f t="array" ref="S90:S93">_xlfn.SORTBY(S84:S87,Q84:Q87,-1,T84:T87,-1,R84:R87,-1)</f>
        <v>3</v>
      </c>
      <c r="T90" s="1">
        <f t="array" ref="T90:T93">_xlfn.SORTBY(T84:T87,Q84:Q87,-1,T84:T87,-1,R84:R87,-1)</f>
        <v>6</v>
      </c>
      <c r="U90" s="4"/>
      <c r="V90" s="10">
        <v>1</v>
      </c>
      <c r="W90" s="2" t="str">
        <f t="array" ref="W90:W93">_xlfn.SORTBY(W84:W87,X84:X87,-1,AA84:AA87,-1,Y84:Y87,-1)</f>
        <v>Argentinien</v>
      </c>
      <c r="X90" s="1">
        <f t="array" ref="X90:X93">_xlfn.SORTBY(X84:X87,X84:X87,-1,AA84:AA87,-1,Y84:Y87,-1)</f>
        <v>9</v>
      </c>
      <c r="Y90" s="1">
        <f t="array" ref="Y90:Y93">_xlfn.SORTBY(Y84:Y87,X84:X87,-1,AA84:AA87,-1,Y84:Y87,-1)</f>
        <v>8</v>
      </c>
      <c r="Z90" s="1">
        <f t="array" ref="Z90:Z93">_xlfn.SORTBY(Z84:Z87,X84:X87,-1,AA84:AA87,-1,Y84:Y87,-1)</f>
        <v>2</v>
      </c>
      <c r="AA90" s="1">
        <f t="array" ref="AA90:AA93">_xlfn.SORTBY(AA84:AA87,X84:X87,-1,AA84:AA87,-1,Y84:Y87,-1)</f>
        <v>6</v>
      </c>
      <c r="AB90" s="4"/>
      <c r="AC90" s="10">
        <v>1</v>
      </c>
      <c r="AD90" s="2" t="str">
        <f t="array" ref="AD90:AD93">_xlfn.SORTBY(AD84:AD87,AE84:AE87,-1,AH84:AH87,-1,AF84:AF87,-1)</f>
        <v>Portugal</v>
      </c>
      <c r="AE90" s="1">
        <f t="array" ref="AE90:AE93">_xlfn.SORTBY(AE84:AE87,AE84:AE87,-1,AH84:AH87,-1,AF84:AF87,-1)</f>
        <v>7</v>
      </c>
      <c r="AF90" s="1">
        <f t="array" ref="AF90:AF93">_xlfn.SORTBY(AF84:AF87,AE84:AE87,-1,AH84:AH87,-1,AF84:AF87,-1)</f>
        <v>11</v>
      </c>
      <c r="AG90" s="1">
        <f t="array" ref="AG90:AG93">_xlfn.SORTBY(AG84:AG87,AE84:AE87,-1,AH84:AH87,-1,AF84:AF87,-1)</f>
        <v>4</v>
      </c>
      <c r="AH90" s="1">
        <f t="array" ref="AH90:AH93">_xlfn.SORTBY(AH84:AH87,AE84:AE87,-1,AH84:AH87,-1,AF84:AF87,-1)</f>
        <v>7</v>
      </c>
      <c r="AI90" s="4"/>
      <c r="AJ90" s="10">
        <v>1</v>
      </c>
      <c r="AK90" s="2" t="str">
        <f t="array" ref="AK90:AK93">_xlfn.SORTBY(AK84:AK87,AL84:AL87,-1,AO84:AO87,-1,AM84:AM87,-1)</f>
        <v>England</v>
      </c>
      <c r="AL90" s="1">
        <f t="array" ref="AL90:AL93">_xlfn.SORTBY(AL84:AL87,AL84:AL87,-1,AO84:AO87,-1,AM84:AM87,-1)</f>
        <v>9</v>
      </c>
      <c r="AM90" s="1">
        <f t="array" ref="AM90:AM93">_xlfn.SORTBY(AM84:AM87,AL84:AL87,-1,AO84:AO87,-1,AM84:AM87,-1)</f>
        <v>6</v>
      </c>
      <c r="AN90" s="1">
        <f t="array" ref="AN90:AN93">_xlfn.SORTBY(AN84:AN87,AL84:AL87,-1,AO84:AO87,-1,AM84:AM87,-1)</f>
        <v>1</v>
      </c>
      <c r="AO90" s="1">
        <f t="array" ref="AO90:AO93">_xlfn.SORTBY(AO84:AO87,AL84:AL87,-1,AO84:AO87,-1,AM84:AM87,-1)</f>
        <v>5</v>
      </c>
      <c r="AP90" s="4"/>
    </row>
    <row r="91" spans="1:42" x14ac:dyDescent="0.45">
      <c r="A91" s="10">
        <v>2</v>
      </c>
      <c r="B91" s="2" t="str">
        <v>Iran</v>
      </c>
      <c r="C91" s="1">
        <v>6</v>
      </c>
      <c r="D91" s="1">
        <v>4</v>
      </c>
      <c r="E91" s="1">
        <v>3</v>
      </c>
      <c r="F91" s="1">
        <v>1</v>
      </c>
      <c r="G91" s="4"/>
      <c r="H91" s="10">
        <v>2</v>
      </c>
      <c r="I91" s="2" t="str">
        <v>Uruguay</v>
      </c>
      <c r="J91" s="1">
        <v>6</v>
      </c>
      <c r="K91" s="1">
        <v>7</v>
      </c>
      <c r="L91" s="1">
        <v>4</v>
      </c>
      <c r="M91" s="1">
        <v>3</v>
      </c>
      <c r="N91" s="4"/>
      <c r="O91" s="10">
        <v>2</v>
      </c>
      <c r="P91" s="2" t="str">
        <v>Norwegen</v>
      </c>
      <c r="Q91" s="1">
        <v>4</v>
      </c>
      <c r="R91" s="1">
        <v>6</v>
      </c>
      <c r="S91" s="1">
        <v>4</v>
      </c>
      <c r="T91" s="1">
        <v>2</v>
      </c>
      <c r="U91" s="4"/>
      <c r="V91" s="10">
        <v>2</v>
      </c>
      <c r="W91" s="2" t="str">
        <v>Algerien</v>
      </c>
      <c r="X91" s="1">
        <v>4</v>
      </c>
      <c r="Y91" s="1">
        <v>4</v>
      </c>
      <c r="Z91" s="1">
        <v>4</v>
      </c>
      <c r="AA91" s="1">
        <v>0</v>
      </c>
      <c r="AB91" s="4"/>
      <c r="AC91" s="10">
        <v>2</v>
      </c>
      <c r="AD91" s="2" t="str">
        <v>Kolumbien</v>
      </c>
      <c r="AE91" s="1">
        <v>4</v>
      </c>
      <c r="AF91" s="1">
        <v>8</v>
      </c>
      <c r="AG91" s="1">
        <v>6</v>
      </c>
      <c r="AH91" s="1">
        <v>2</v>
      </c>
      <c r="AI91" s="4"/>
      <c r="AJ91" s="10">
        <v>2</v>
      </c>
      <c r="AK91" s="2" t="str">
        <v>Kroatien</v>
      </c>
      <c r="AL91" s="1">
        <v>6</v>
      </c>
      <c r="AM91" s="1">
        <v>5</v>
      </c>
      <c r="AN91" s="1">
        <v>3</v>
      </c>
      <c r="AO91" s="1">
        <v>2</v>
      </c>
      <c r="AP91" s="4"/>
    </row>
    <row r="92" spans="1:42" x14ac:dyDescent="0.45">
      <c r="A92" s="11">
        <v>3</v>
      </c>
      <c r="B92" s="2" t="str">
        <v>Ägypten</v>
      </c>
      <c r="C92" s="1">
        <v>1</v>
      </c>
      <c r="D92" s="1">
        <v>2</v>
      </c>
      <c r="E92" s="1">
        <v>5</v>
      </c>
      <c r="F92" s="1">
        <v>-3</v>
      </c>
      <c r="G92" s="4"/>
      <c r="H92" s="11">
        <v>3</v>
      </c>
      <c r="I92" s="2" t="str">
        <v>Saudi-Arabien</v>
      </c>
      <c r="J92" s="1">
        <v>3</v>
      </c>
      <c r="K92" s="1">
        <v>4</v>
      </c>
      <c r="L92" s="1">
        <v>6</v>
      </c>
      <c r="M92" s="1">
        <v>-2</v>
      </c>
      <c r="N92" s="4"/>
      <c r="O92" s="11">
        <v>3</v>
      </c>
      <c r="P92" s="2" t="str">
        <v>Senegal</v>
      </c>
      <c r="Q92" s="1">
        <v>4</v>
      </c>
      <c r="R92" s="1">
        <v>6</v>
      </c>
      <c r="S92" s="1">
        <v>5</v>
      </c>
      <c r="T92" s="1">
        <v>1</v>
      </c>
      <c r="U92" s="4"/>
      <c r="V92" s="11">
        <v>3</v>
      </c>
      <c r="W92" s="2" t="str">
        <v>Österreich</v>
      </c>
      <c r="X92" s="1">
        <v>2</v>
      </c>
      <c r="Y92" s="1">
        <v>2</v>
      </c>
      <c r="Z92" s="1">
        <v>4</v>
      </c>
      <c r="AA92" s="1">
        <v>-2</v>
      </c>
      <c r="AB92" s="4"/>
      <c r="AC92" s="11">
        <v>3</v>
      </c>
      <c r="AD92" s="2" t="str">
        <v>DR Kongo</v>
      </c>
      <c r="AE92" s="1">
        <v>4</v>
      </c>
      <c r="AF92" s="1">
        <v>4</v>
      </c>
      <c r="AG92" s="1">
        <v>5</v>
      </c>
      <c r="AH92" s="1">
        <v>-1</v>
      </c>
      <c r="AI92" s="4"/>
      <c r="AJ92" s="11">
        <v>3</v>
      </c>
      <c r="AK92" s="2" t="str">
        <v>Ghana</v>
      </c>
      <c r="AL92" s="1">
        <v>1</v>
      </c>
      <c r="AM92" s="1">
        <v>2</v>
      </c>
      <c r="AN92" s="1">
        <v>4</v>
      </c>
      <c r="AO92" s="1">
        <v>-2</v>
      </c>
      <c r="AP92" s="4"/>
    </row>
    <row r="93" spans="1:42" x14ac:dyDescent="0.45">
      <c r="A93" s="12">
        <v>4</v>
      </c>
      <c r="B93" s="2" t="str">
        <v>Neuseeland</v>
      </c>
      <c r="C93" s="1">
        <v>1</v>
      </c>
      <c r="D93" s="1">
        <v>1</v>
      </c>
      <c r="E93" s="1">
        <v>4</v>
      </c>
      <c r="F93" s="1">
        <v>-3</v>
      </c>
      <c r="G93" s="4"/>
      <c r="H93" s="12">
        <v>4</v>
      </c>
      <c r="I93" s="2" t="str">
        <v>Kap Verde</v>
      </c>
      <c r="J93" s="1">
        <v>0</v>
      </c>
      <c r="K93" s="1">
        <v>0</v>
      </c>
      <c r="L93" s="1">
        <v>14</v>
      </c>
      <c r="M93" s="1">
        <v>-14</v>
      </c>
      <c r="N93" s="4"/>
      <c r="O93" s="12">
        <v>4</v>
      </c>
      <c r="P93" s="2" t="str">
        <v>Irak</v>
      </c>
      <c r="Q93" s="1">
        <v>0</v>
      </c>
      <c r="R93" s="1">
        <v>1</v>
      </c>
      <c r="S93" s="1">
        <v>10</v>
      </c>
      <c r="T93" s="1">
        <v>-9</v>
      </c>
      <c r="U93" s="4"/>
      <c r="V93" s="12">
        <v>4</v>
      </c>
      <c r="W93" s="2" t="str">
        <v>Jordanien</v>
      </c>
      <c r="X93" s="1">
        <v>1</v>
      </c>
      <c r="Y93" s="1">
        <v>2</v>
      </c>
      <c r="Z93" s="1">
        <v>6</v>
      </c>
      <c r="AA93" s="1">
        <v>-4</v>
      </c>
      <c r="AB93" s="4"/>
      <c r="AC93" s="12">
        <v>4</v>
      </c>
      <c r="AD93" s="2" t="str">
        <v>Usbekistan</v>
      </c>
      <c r="AE93" s="1">
        <v>1</v>
      </c>
      <c r="AF93" s="1">
        <v>2</v>
      </c>
      <c r="AG93" s="1">
        <v>10</v>
      </c>
      <c r="AH93" s="1">
        <v>-8</v>
      </c>
      <c r="AI93" s="4"/>
      <c r="AJ93" s="12">
        <v>4</v>
      </c>
      <c r="AK93" s="2" t="str">
        <v>Panama</v>
      </c>
      <c r="AL93" s="1">
        <v>1</v>
      </c>
      <c r="AM93" s="1">
        <v>2</v>
      </c>
      <c r="AN93" s="1">
        <v>7</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customHeight="1" x14ac:dyDescent="0.7">
      <c r="R95" s="14"/>
      <c r="S95" s="14"/>
      <c r="T95" s="14"/>
      <c r="U95" s="14" t="s">
        <v>87</v>
      </c>
      <c r="V95" s="14"/>
      <c r="W95" s="14"/>
    </row>
    <row r="96" spans="1:42" ht="30" customHeight="1" x14ac:dyDescent="0.7">
      <c r="Q96" s="14"/>
      <c r="R96" s="14"/>
      <c r="S96" s="14"/>
      <c r="T96" s="14"/>
      <c r="U96" s="14"/>
      <c r="V96" s="14"/>
      <c r="W96" s="14"/>
    </row>
    <row r="97" spans="17:24" x14ac:dyDescent="0.45">
      <c r="R97" s="82" t="s">
        <v>51</v>
      </c>
      <c r="S97" s="83"/>
      <c r="T97" s="83"/>
      <c r="U97" s="2" t="s">
        <v>52</v>
      </c>
      <c r="V97" s="2" t="s">
        <v>88</v>
      </c>
      <c r="W97" s="2" t="s">
        <v>89</v>
      </c>
      <c r="X97" s="2" t="s">
        <v>90</v>
      </c>
    </row>
    <row r="98" spans="17:24" x14ac:dyDescent="0.45">
      <c r="R98" s="82" t="str">
        <f>B92</f>
        <v>Ägypten</v>
      </c>
      <c r="S98" s="83"/>
      <c r="T98" s="83"/>
      <c r="U98" s="2">
        <f>C92</f>
        <v>1</v>
      </c>
      <c r="V98" s="2">
        <f>D92</f>
        <v>2</v>
      </c>
      <c r="W98" s="2">
        <f>E92</f>
        <v>5</v>
      </c>
      <c r="X98" s="2">
        <f>F92</f>
        <v>-3</v>
      </c>
    </row>
    <row r="99" spans="17:24" x14ac:dyDescent="0.45">
      <c r="R99" s="82" t="str">
        <f>I92</f>
        <v>Saudi-Arabien</v>
      </c>
      <c r="S99" s="83"/>
      <c r="T99" s="83"/>
      <c r="U99" s="2">
        <f>J92</f>
        <v>3</v>
      </c>
      <c r="V99" s="2">
        <f>K92</f>
        <v>4</v>
      </c>
      <c r="W99" s="2">
        <f>L92</f>
        <v>6</v>
      </c>
      <c r="X99" s="2">
        <f>M92</f>
        <v>-2</v>
      </c>
    </row>
    <row r="100" spans="17:24" x14ac:dyDescent="0.45">
      <c r="R100" s="82" t="str">
        <f>P92</f>
        <v>Senegal</v>
      </c>
      <c r="S100" s="83"/>
      <c r="T100" s="83"/>
      <c r="U100" s="2">
        <f>Q92</f>
        <v>4</v>
      </c>
      <c r="V100" s="2">
        <f>R92</f>
        <v>6</v>
      </c>
      <c r="W100" s="2">
        <f>S92</f>
        <v>5</v>
      </c>
      <c r="X100" s="2">
        <f>T92</f>
        <v>1</v>
      </c>
    </row>
    <row r="101" spans="17:24" x14ac:dyDescent="0.45">
      <c r="R101" s="82" t="str">
        <f>W92</f>
        <v>Österreich</v>
      </c>
      <c r="S101" s="83"/>
      <c r="T101" s="83"/>
      <c r="U101" s="2">
        <f>X92</f>
        <v>2</v>
      </c>
      <c r="V101" s="2">
        <f>Y92</f>
        <v>2</v>
      </c>
      <c r="W101" s="2">
        <f>Z92</f>
        <v>4</v>
      </c>
      <c r="X101" s="2">
        <f>AA92</f>
        <v>-2</v>
      </c>
    </row>
    <row r="102" spans="17:24" x14ac:dyDescent="0.45">
      <c r="R102" s="82" t="str">
        <f>AD92</f>
        <v>DR Kongo</v>
      </c>
      <c r="S102" s="83"/>
      <c r="T102" s="83"/>
      <c r="U102" s="2">
        <f>AE92</f>
        <v>4</v>
      </c>
      <c r="V102" s="2">
        <f>AF92</f>
        <v>4</v>
      </c>
      <c r="W102" s="2">
        <f>AG92</f>
        <v>5</v>
      </c>
      <c r="X102" s="2">
        <f>AH92</f>
        <v>-1</v>
      </c>
    </row>
    <row r="103" spans="17:24" x14ac:dyDescent="0.45">
      <c r="R103" s="82" t="str">
        <f>AK92</f>
        <v>Ghana</v>
      </c>
      <c r="S103" s="83"/>
      <c r="T103" s="83"/>
      <c r="U103" s="2">
        <f>AL92</f>
        <v>1</v>
      </c>
      <c r="V103" s="2">
        <f>AM92</f>
        <v>2</v>
      </c>
      <c r="W103" s="2">
        <f>AN92</f>
        <v>4</v>
      </c>
      <c r="X103" s="2">
        <f>AO92</f>
        <v>-2</v>
      </c>
    </row>
    <row r="104" spans="17:24" x14ac:dyDescent="0.45">
      <c r="R104" s="82" t="str">
        <f>B45</f>
        <v>Südkorea</v>
      </c>
      <c r="S104" s="83"/>
      <c r="T104" s="83"/>
      <c r="U104" s="2">
        <f>C45</f>
        <v>2</v>
      </c>
      <c r="V104" s="2">
        <f>D45</f>
        <v>3</v>
      </c>
      <c r="W104" s="2">
        <f>E45</f>
        <v>4</v>
      </c>
      <c r="X104" s="2">
        <f>F45</f>
        <v>-1</v>
      </c>
    </row>
    <row r="105" spans="17:24" x14ac:dyDescent="0.45">
      <c r="R105" s="82" t="str">
        <f>I45</f>
        <v>Katar</v>
      </c>
      <c r="S105" s="83"/>
      <c r="T105" s="83"/>
      <c r="U105" s="2">
        <f>J45</f>
        <v>3</v>
      </c>
      <c r="V105" s="2">
        <f>K45</f>
        <v>4</v>
      </c>
      <c r="W105" s="2">
        <f>L45</f>
        <v>6</v>
      </c>
      <c r="X105" s="2">
        <f>M45</f>
        <v>-2</v>
      </c>
    </row>
    <row r="106" spans="17:24" x14ac:dyDescent="0.45">
      <c r="R106" s="82" t="str">
        <f>P45</f>
        <v>Schottland</v>
      </c>
      <c r="S106" s="83"/>
      <c r="T106" s="83"/>
      <c r="U106" s="2">
        <f>Q45</f>
        <v>3</v>
      </c>
      <c r="V106" s="2">
        <f>R45</f>
        <v>4</v>
      </c>
      <c r="W106" s="2">
        <f>S45</f>
        <v>6</v>
      </c>
      <c r="X106" s="2">
        <f>T45</f>
        <v>-2</v>
      </c>
    </row>
    <row r="107" spans="17:24" x14ac:dyDescent="0.45">
      <c r="R107" s="82" t="str">
        <f>W45</f>
        <v>Australien</v>
      </c>
      <c r="S107" s="83"/>
      <c r="T107" s="83"/>
      <c r="U107" s="2">
        <f>X45</f>
        <v>3</v>
      </c>
      <c r="V107" s="2">
        <f>Y45</f>
        <v>4</v>
      </c>
      <c r="W107" s="2">
        <f>Z45</f>
        <v>4</v>
      </c>
      <c r="X107" s="2">
        <f>AA45</f>
        <v>0</v>
      </c>
    </row>
    <row r="108" spans="17:24" x14ac:dyDescent="0.45">
      <c r="R108" s="82" t="str">
        <f>AD45</f>
        <v>Ecuador</v>
      </c>
      <c r="S108" s="83"/>
      <c r="T108" s="83"/>
      <c r="U108" s="2">
        <f>AE45</f>
        <v>3</v>
      </c>
      <c r="V108" s="2">
        <f>AF45</f>
        <v>4</v>
      </c>
      <c r="W108" s="2">
        <f>AG45</f>
        <v>4</v>
      </c>
      <c r="X108" s="2">
        <f>AH45</f>
        <v>0</v>
      </c>
    </row>
    <row r="109" spans="17:24" x14ac:dyDescent="0.45">
      <c r="R109" s="82" t="str">
        <f>AK45</f>
        <v>Japan</v>
      </c>
      <c r="S109" s="83"/>
      <c r="T109" s="83"/>
      <c r="U109" s="2">
        <f>AL45</f>
        <v>1</v>
      </c>
      <c r="V109" s="2">
        <f>AM45</f>
        <v>3</v>
      </c>
      <c r="W109" s="2">
        <f>AN45</f>
        <v>5</v>
      </c>
      <c r="X109" s="2">
        <f>AO45</f>
        <v>-2</v>
      </c>
    </row>
    <row r="112" spans="17:24" x14ac:dyDescent="0.45">
      <c r="Q112" s="10">
        <v>1</v>
      </c>
      <c r="R112" s="2" t="str">
        <f t="array" ref="R112:R123">_xlfn.SORTBY(R98:R109,U98:U109,-1,X98:X109,-1,V98:V109,-1)</f>
        <v>Senegal</v>
      </c>
      <c r="U112" s="2">
        <f t="array" ref="U112:U123">_xlfn.SORTBY(U98:U109,U98:U109,-1,X98:X109,-1,V98:V109,-1)</f>
        <v>4</v>
      </c>
      <c r="V112" s="2">
        <f t="array" ref="V112:V123">_xlfn.SORTBY(V98:V109,U98:U109,-1,X98:X109,-1,V98:V109,-1)</f>
        <v>6</v>
      </c>
      <c r="W112" s="2">
        <f t="array" ref="W112:W123">_xlfn.SORTBY(W98:W109,U98:U109,-1,X98:X109,-1,V98:V109,-1)</f>
        <v>5</v>
      </c>
      <c r="X112" s="2">
        <f t="array" ref="X112:X123">_xlfn.SORTBY(X98:X109,U98:U109,-1,X98:X109,-1,V98:V109,-1)</f>
        <v>1</v>
      </c>
    </row>
    <row r="113" spans="17:24" x14ac:dyDescent="0.45">
      <c r="Q113" s="10">
        <v>2</v>
      </c>
      <c r="R113" s="2" t="str">
        <v>DR Kongo</v>
      </c>
      <c r="U113" s="2">
        <v>4</v>
      </c>
      <c r="V113" s="2">
        <v>4</v>
      </c>
      <c r="W113" s="2">
        <v>5</v>
      </c>
      <c r="X113" s="2">
        <v>-1</v>
      </c>
    </row>
    <row r="114" spans="17:24" x14ac:dyDescent="0.45">
      <c r="Q114" s="10">
        <v>3</v>
      </c>
      <c r="R114" s="2" t="str">
        <v>Australien</v>
      </c>
      <c r="U114" s="2">
        <v>3</v>
      </c>
      <c r="V114" s="2">
        <v>4</v>
      </c>
      <c r="W114" s="2">
        <v>4</v>
      </c>
      <c r="X114" s="2">
        <v>0</v>
      </c>
    </row>
    <row r="115" spans="17:24" x14ac:dyDescent="0.45">
      <c r="Q115" s="10">
        <v>4</v>
      </c>
      <c r="R115" s="2" t="str">
        <v>Ecuador</v>
      </c>
      <c r="U115" s="2">
        <v>3</v>
      </c>
      <c r="V115" s="2">
        <v>4</v>
      </c>
      <c r="W115" s="2">
        <v>4</v>
      </c>
      <c r="X115" s="2">
        <v>0</v>
      </c>
    </row>
    <row r="116" spans="17:24" x14ac:dyDescent="0.45">
      <c r="Q116" s="10">
        <v>5</v>
      </c>
      <c r="R116" s="2" t="str">
        <v>Saudi-Arabien</v>
      </c>
      <c r="U116" s="2">
        <v>3</v>
      </c>
      <c r="V116" s="2">
        <v>4</v>
      </c>
      <c r="W116" s="2">
        <v>6</v>
      </c>
      <c r="X116" s="2">
        <v>-2</v>
      </c>
    </row>
    <row r="117" spans="17:24" x14ac:dyDescent="0.45">
      <c r="Q117" s="10">
        <v>6</v>
      </c>
      <c r="R117" s="2" t="str">
        <v>Katar</v>
      </c>
      <c r="U117" s="2">
        <v>3</v>
      </c>
      <c r="V117" s="2">
        <v>4</v>
      </c>
      <c r="W117" s="2">
        <v>6</v>
      </c>
      <c r="X117" s="2">
        <v>-2</v>
      </c>
    </row>
    <row r="118" spans="17:24" x14ac:dyDescent="0.45">
      <c r="Q118" s="10">
        <v>7</v>
      </c>
      <c r="R118" s="2" t="str">
        <v>Schottland</v>
      </c>
      <c r="U118" s="2">
        <v>3</v>
      </c>
      <c r="V118" s="2">
        <v>4</v>
      </c>
      <c r="W118" s="2">
        <v>6</v>
      </c>
      <c r="X118" s="2">
        <v>-2</v>
      </c>
    </row>
    <row r="119" spans="17:24" x14ac:dyDescent="0.45">
      <c r="Q119" s="10">
        <v>8</v>
      </c>
      <c r="R119" s="2" t="str">
        <v>Südkorea</v>
      </c>
      <c r="U119" s="2">
        <v>2</v>
      </c>
      <c r="V119" s="2">
        <v>3</v>
      </c>
      <c r="W119" s="2">
        <v>4</v>
      </c>
      <c r="X119" s="2">
        <v>-1</v>
      </c>
    </row>
    <row r="120" spans="17:24" x14ac:dyDescent="0.45">
      <c r="Q120" s="12">
        <v>9</v>
      </c>
      <c r="R120" s="2" t="str">
        <v>Österreich</v>
      </c>
      <c r="U120" s="2">
        <v>2</v>
      </c>
      <c r="V120" s="2">
        <v>2</v>
      </c>
      <c r="W120" s="2">
        <v>4</v>
      </c>
      <c r="X120" s="2">
        <v>-2</v>
      </c>
    </row>
    <row r="121" spans="17:24" x14ac:dyDescent="0.45">
      <c r="Q121" s="12">
        <v>10</v>
      </c>
      <c r="R121" s="2" t="str">
        <v>Japan</v>
      </c>
      <c r="U121" s="2">
        <v>1</v>
      </c>
      <c r="V121" s="2">
        <v>3</v>
      </c>
      <c r="W121" s="2">
        <v>5</v>
      </c>
      <c r="X121" s="2">
        <v>-2</v>
      </c>
    </row>
    <row r="122" spans="17:24" x14ac:dyDescent="0.45">
      <c r="Q122" s="12">
        <v>11</v>
      </c>
      <c r="R122" s="2" t="str">
        <v>Ghana</v>
      </c>
      <c r="U122" s="2">
        <v>1</v>
      </c>
      <c r="V122" s="2">
        <v>2</v>
      </c>
      <c r="W122" s="2">
        <v>4</v>
      </c>
      <c r="X122" s="2">
        <v>-2</v>
      </c>
    </row>
    <row r="123" spans="17:24" x14ac:dyDescent="0.45">
      <c r="Q123" s="12">
        <v>12</v>
      </c>
      <c r="R123" s="2" t="str">
        <v>Ägypten</v>
      </c>
      <c r="U123" s="2">
        <v>1</v>
      </c>
      <c r="V123" s="2">
        <v>2</v>
      </c>
      <c r="W123" s="2">
        <v>5</v>
      </c>
      <c r="X123" s="2">
        <v>-3</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185</v>
      </c>
    </row>
    <row r="155" spans="1:23" x14ac:dyDescent="0.45">
      <c r="A155" s="23" t="s">
        <v>103</v>
      </c>
      <c r="B155" s="24">
        <f>SUM(H160:H231)</f>
        <v>203</v>
      </c>
    </row>
    <row r="156" spans="1:23" x14ac:dyDescent="0.45">
      <c r="A156" s="23" t="s">
        <v>104</v>
      </c>
      <c r="B156" s="24">
        <f>SUM(E234:E265)</f>
        <v>120</v>
      </c>
    </row>
    <row r="157" spans="1:23" x14ac:dyDescent="0.45">
      <c r="A157" s="25" t="s">
        <v>105</v>
      </c>
      <c r="B157" s="26">
        <f>B154+B155+B156</f>
        <v>508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4</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3</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0</v>
      </c>
      <c r="H170" s="28">
        <f>IF(OR(I27="",Realität!I27=""),0,MAX(0,5-ABS(I27-Realität!I27)-ABS(J27-Realität!J27)))</f>
        <v>2</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2</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3</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3</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0</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3</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4</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3</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2</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3</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3</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0</v>
      </c>
      <c r="H188" s="28">
        <f>IF(OR(AD27="",Realität!AD27=""),0,MAX(0,5-ABS(AD27-Realität!AD27)-ABS(AE27-Realität!AE27)))</f>
        <v>3</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2</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0</v>
      </c>
      <c r="H192" s="28">
        <f>IF(OR(AK16="",Realität!AK16=""),0,MAX(0,5-ABS(AK16-Realität!AK16)-ABS(AL16-Realität!AL16)))</f>
        <v>1</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2</v>
      </c>
    </row>
    <row r="199" spans="1:8" x14ac:dyDescent="0.45">
      <c r="A199" s="28">
        <v>40</v>
      </c>
      <c r="B199" s="29" t="s">
        <v>230</v>
      </c>
      <c r="C199" s="30" t="s">
        <v>231</v>
      </c>
      <c r="D199" s="30" t="s">
        <v>232</v>
      </c>
      <c r="E199" s="28">
        <f>Realität!B68</f>
        <v>1</v>
      </c>
      <c r="F199" s="28">
        <f>Realität!C68</f>
        <v>3</v>
      </c>
      <c r="G199" s="28">
        <f>IF(OR(B68="",Realität!B68=""),0,IF(SIGN(B68-C68)=SIGN(Realität!B68-Realität!C68),5,0))</f>
        <v>0</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1</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2</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5</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3</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3</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4</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3</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3</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0</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5</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5</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2</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4</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0</v>
      </c>
      <c r="H223" s="28">
        <f>IF(OR(AD68="",Realität!AD68=""),0,MAX(0,5-ABS(AD68-Realität!AD68)-ABS(AE68-Realität!AE68)))</f>
        <v>2</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0</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1</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4</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4</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3</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5</v>
      </c>
    </row>
    <row r="232" spans="1:8" x14ac:dyDescent="0.45">
      <c r="A232" s="31" t="s">
        <v>329</v>
      </c>
      <c r="F232" s="23" t="s">
        <v>330</v>
      </c>
      <c r="G232" s="24">
        <f>SUM(G160:G231)</f>
        <v>185</v>
      </c>
      <c r="H232" s="24">
        <f>SUM(H160:H231)</f>
        <v>203</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Tschechien</v>
      </c>
      <c r="E235" s="28">
        <f t="shared" si="0"/>
        <v>0</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Kanada</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Australien</v>
      </c>
      <c r="D241" s="29" t="str">
        <f>W44</f>
        <v>Türkei</v>
      </c>
      <c r="E241" s="28">
        <f t="shared" si="0"/>
        <v>0</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Elfenbeinküste</v>
      </c>
      <c r="E243" s="28">
        <f t="shared" si="0"/>
        <v>5</v>
      </c>
    </row>
    <row r="244" spans="1:5" x14ac:dyDescent="0.45">
      <c r="A244" s="28">
        <v>11</v>
      </c>
      <c r="B244" s="29" t="s">
        <v>344</v>
      </c>
      <c r="C244" s="29" t="str">
        <f>Realität!AK43</f>
        <v>Niederlande</v>
      </c>
      <c r="D244" s="29" t="str">
        <f>AK43</f>
        <v>Schweden</v>
      </c>
      <c r="E244" s="28">
        <f t="shared" si="0"/>
        <v>5</v>
      </c>
    </row>
    <row r="245" spans="1:5" x14ac:dyDescent="0.45">
      <c r="A245" s="28">
        <v>12</v>
      </c>
      <c r="B245" s="29" t="s">
        <v>345</v>
      </c>
      <c r="C245" s="29" t="str">
        <f>Realität!AK44</f>
        <v>Japan</v>
      </c>
      <c r="D245" s="29" t="str">
        <f>AK44</f>
        <v>Niederlande</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Iran</v>
      </c>
      <c r="E247" s="28">
        <f t="shared" si="0"/>
        <v>0</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Norwegen</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Algerien</v>
      </c>
      <c r="E253" s="28">
        <f t="shared" si="0"/>
        <v>5</v>
      </c>
    </row>
    <row r="254" spans="1:5" x14ac:dyDescent="0.45">
      <c r="A254" s="28">
        <v>21</v>
      </c>
      <c r="B254" s="29" t="s">
        <v>354</v>
      </c>
      <c r="C254" s="29" t="str">
        <f>Realität!AD90</f>
        <v>Kolumbien</v>
      </c>
      <c r="D254" s="29" t="str">
        <f>AD90</f>
        <v>Portugal</v>
      </c>
      <c r="E254" s="28">
        <f t="shared" si="0"/>
        <v>5</v>
      </c>
    </row>
    <row r="255" spans="1:5" x14ac:dyDescent="0.45">
      <c r="A255" s="28">
        <v>22</v>
      </c>
      <c r="B255" s="29" t="s">
        <v>355</v>
      </c>
      <c r="C255" s="29" t="str">
        <f>Realität!AD91</f>
        <v>Portugal</v>
      </c>
      <c r="D255" s="29" t="str">
        <f>AD91</f>
        <v>Kolumbien</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Senegal</v>
      </c>
      <c r="E258" s="28">
        <f t="shared" si="0"/>
        <v>5</v>
      </c>
    </row>
    <row r="259" spans="1:5" x14ac:dyDescent="0.45">
      <c r="A259" s="28">
        <v>26</v>
      </c>
      <c r="B259" s="29" t="s">
        <v>359</v>
      </c>
      <c r="C259" s="29" t="str">
        <f>Realität!R113</f>
        <v>Schweden</v>
      </c>
      <c r="D259" s="29" t="str">
        <f t="shared" si="1"/>
        <v>DR Kongo</v>
      </c>
      <c r="E259" s="28">
        <f t="shared" si="0"/>
        <v>5</v>
      </c>
    </row>
    <row r="260" spans="1:5" x14ac:dyDescent="0.45">
      <c r="A260" s="28">
        <v>27</v>
      </c>
      <c r="B260" s="29" t="s">
        <v>360</v>
      </c>
      <c r="C260" s="29" t="str">
        <f>Realität!R114</f>
        <v>Ghana</v>
      </c>
      <c r="D260" s="29" t="str">
        <f t="shared" si="1"/>
        <v>Australien</v>
      </c>
      <c r="E260" s="28">
        <f t="shared" si="0"/>
        <v>5</v>
      </c>
    </row>
    <row r="261" spans="1:5" x14ac:dyDescent="0.45">
      <c r="A261" s="28">
        <v>28</v>
      </c>
      <c r="B261" s="29" t="s">
        <v>361</v>
      </c>
      <c r="C261" s="29" t="str">
        <f>Realität!R115</f>
        <v>Ecuador</v>
      </c>
      <c r="D261" s="29" t="str">
        <f t="shared" si="1"/>
        <v>Ecuador</v>
      </c>
      <c r="E261" s="28">
        <f t="shared" si="0"/>
        <v>5</v>
      </c>
    </row>
    <row r="262" spans="1:5" x14ac:dyDescent="0.45">
      <c r="A262" s="28">
        <v>29</v>
      </c>
      <c r="B262" s="29" t="s">
        <v>362</v>
      </c>
      <c r="C262" s="29" t="str">
        <f>Realität!R116</f>
        <v>Bosnien-Herz.</v>
      </c>
      <c r="D262" s="29" t="str">
        <f t="shared" si="1"/>
        <v>Saudi-Arabien</v>
      </c>
      <c r="E262" s="28">
        <f t="shared" si="0"/>
        <v>0</v>
      </c>
    </row>
    <row r="263" spans="1:5" x14ac:dyDescent="0.45">
      <c r="A263" s="28">
        <v>30</v>
      </c>
      <c r="B263" s="29" t="s">
        <v>363</v>
      </c>
      <c r="C263" s="29" t="str">
        <f>Realität!R117</f>
        <v>Algerien</v>
      </c>
      <c r="D263" s="29" t="str">
        <f t="shared" si="1"/>
        <v>Katar</v>
      </c>
      <c r="E263" s="28">
        <f t="shared" si="0"/>
        <v>0</v>
      </c>
    </row>
    <row r="264" spans="1:5" x14ac:dyDescent="0.45">
      <c r="A264" s="28">
        <v>31</v>
      </c>
      <c r="B264" s="29" t="s">
        <v>364</v>
      </c>
      <c r="C264" s="29" t="str">
        <f>Realität!R118</f>
        <v>Paraguay</v>
      </c>
      <c r="D264" s="29" t="str">
        <f t="shared" si="1"/>
        <v>Schottland</v>
      </c>
      <c r="E264" s="28">
        <f t="shared" si="0"/>
        <v>0</v>
      </c>
    </row>
    <row r="265" spans="1:5" x14ac:dyDescent="0.45">
      <c r="A265" s="28">
        <v>32</v>
      </c>
      <c r="B265" s="29" t="s">
        <v>365</v>
      </c>
      <c r="C265" s="29" t="str">
        <f>Realität!R119</f>
        <v>Senegal</v>
      </c>
      <c r="D265" s="29" t="str">
        <f t="shared" si="1"/>
        <v>Südkorea</v>
      </c>
      <c r="E265" s="28">
        <f t="shared" si="0"/>
        <v>0</v>
      </c>
    </row>
    <row r="266" spans="1:5" x14ac:dyDescent="0.45">
      <c r="D266" s="23" t="s">
        <v>330</v>
      </c>
      <c r="E266" s="24">
        <f>SUM(E234:E265)</f>
        <v>120</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158F-F8D1-48D0-8F55-920028E820A6}">
  <dimension ref="A1:AP266"/>
  <sheetViews>
    <sheetView topLeftCell="A37" workbookViewId="0">
      <selection activeCell="C71" sqref="C71"/>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3</v>
      </c>
      <c r="C5" s="38">
        <v>1</v>
      </c>
      <c r="D5" s="4"/>
      <c r="E5" s="4"/>
      <c r="F5" s="4"/>
      <c r="G5" s="4"/>
      <c r="H5" s="4"/>
      <c r="I5" s="38">
        <v>2</v>
      </c>
      <c r="J5" s="38">
        <v>0</v>
      </c>
      <c r="K5" s="4"/>
      <c r="L5" s="4"/>
      <c r="M5" s="4"/>
      <c r="N5" s="4"/>
      <c r="O5" s="4"/>
      <c r="P5" s="38">
        <v>1</v>
      </c>
      <c r="Q5" s="38">
        <v>2</v>
      </c>
      <c r="R5" s="4"/>
      <c r="S5" s="4"/>
      <c r="T5" s="4"/>
      <c r="U5" s="4"/>
      <c r="V5" s="4"/>
      <c r="W5" s="38">
        <v>2</v>
      </c>
      <c r="X5" s="38">
        <v>0</v>
      </c>
      <c r="Y5" s="4"/>
      <c r="Z5" s="4"/>
      <c r="AA5" s="4"/>
      <c r="AB5" s="4"/>
      <c r="AC5" s="4"/>
      <c r="AD5" s="38">
        <v>3</v>
      </c>
      <c r="AE5" s="38">
        <v>0</v>
      </c>
      <c r="AF5" s="4"/>
      <c r="AG5" s="4"/>
      <c r="AH5" s="4"/>
      <c r="AI5" s="4"/>
      <c r="AJ5" s="4"/>
      <c r="AK5" s="38">
        <v>2</v>
      </c>
      <c r="AL5" s="38">
        <v>0</v>
      </c>
      <c r="AM5" s="4"/>
      <c r="AN5" s="4"/>
      <c r="AO5" s="4"/>
      <c r="AP5" s="4"/>
    </row>
    <row r="6" spans="1:42" x14ac:dyDescent="0.45">
      <c r="A6" s="4"/>
      <c r="B6" s="80" t="str">
        <f>IF(B5=C5,"Unentschieden",IF(B5&gt;C5,B4,C4))</f>
        <v>Mexiko</v>
      </c>
      <c r="C6" s="80"/>
      <c r="D6" s="4"/>
      <c r="E6" s="4"/>
      <c r="F6" s="4"/>
      <c r="G6" s="4"/>
      <c r="H6" s="4"/>
      <c r="I6" s="80" t="str">
        <f>IF(I5=J5,"Unentschieden",IF(I5&gt;J5,I4,J4))</f>
        <v>Kanada</v>
      </c>
      <c r="J6" s="80"/>
      <c r="K6" s="4"/>
      <c r="L6" s="4"/>
      <c r="M6" s="4"/>
      <c r="N6" s="4"/>
      <c r="O6" s="4"/>
      <c r="P6" s="80" t="str">
        <f>IF(P5=Q5,"Unentschieden",IF(P5&gt;Q5,P4,Q4))</f>
        <v>Marokko</v>
      </c>
      <c r="Q6" s="80"/>
      <c r="R6" s="4"/>
      <c r="S6" s="4"/>
      <c r="T6" s="4"/>
      <c r="U6" s="4"/>
      <c r="V6" s="4"/>
      <c r="W6" s="80" t="str">
        <f>IF(W5=X5,"Unentschieden",IF(W5&gt;X5,W4,X4))</f>
        <v>USA</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f>IF(Q5=P5,1,IF(Q5&gt;P5,3,0))</f>
        <v>3</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3</v>
      </c>
      <c r="K10" s="4"/>
      <c r="L10" s="4"/>
      <c r="M10" s="4"/>
      <c r="N10" s="4"/>
      <c r="O10" s="4"/>
      <c r="P10" s="38">
        <v>0</v>
      </c>
      <c r="Q10" s="38">
        <v>4</v>
      </c>
      <c r="R10" s="4"/>
      <c r="S10" s="4"/>
      <c r="T10" s="4"/>
      <c r="U10" s="4"/>
      <c r="V10" s="4"/>
      <c r="W10" s="38">
        <v>0</v>
      </c>
      <c r="X10" s="38">
        <v>1</v>
      </c>
      <c r="Y10" s="4"/>
      <c r="Z10" s="4"/>
      <c r="AA10" s="4"/>
      <c r="AB10" s="4"/>
      <c r="AC10" s="4"/>
      <c r="AD10" s="38">
        <v>1</v>
      </c>
      <c r="AE10" s="38">
        <v>0</v>
      </c>
      <c r="AF10" s="4"/>
      <c r="AG10" s="4"/>
      <c r="AH10" s="4"/>
      <c r="AI10" s="4"/>
      <c r="AJ10" s="4"/>
      <c r="AK10" s="38">
        <v>0</v>
      </c>
      <c r="AL10" s="38">
        <v>0</v>
      </c>
      <c r="AM10" s="4"/>
      <c r="AN10" s="4"/>
      <c r="AO10" s="4"/>
      <c r="AP10" s="4"/>
    </row>
    <row r="11" spans="1:42" x14ac:dyDescent="0.45">
      <c r="A11" s="4"/>
      <c r="B11" s="80" t="str">
        <f>IF(B10=C10,"Unentschieden",IF(B10&gt;C10,B9,C9))</f>
        <v>Südkorea</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Elfenbeinküste</v>
      </c>
      <c r="AE11" s="80"/>
      <c r="AF11" s="4"/>
      <c r="AG11" s="4"/>
      <c r="AH11" s="4"/>
      <c r="AI11" s="4"/>
      <c r="AJ11" s="4"/>
      <c r="AK11" s="80" t="str">
        <f>IF(AK10=AL10,"Unentschieden",IF(AK10&gt;AL10,AK9,AL9))</f>
        <v>Unentschieden</v>
      </c>
      <c r="AL11" s="80"/>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0</v>
      </c>
      <c r="Q16" s="38">
        <v>0</v>
      </c>
      <c r="R16" s="4"/>
      <c r="S16" s="4"/>
      <c r="T16" s="4"/>
      <c r="U16" s="4"/>
      <c r="V16" s="4"/>
      <c r="W16" s="38">
        <v>2</v>
      </c>
      <c r="X16" s="38">
        <v>1</v>
      </c>
      <c r="Y16" s="4"/>
      <c r="Z16" s="4"/>
      <c r="AA16" s="4"/>
      <c r="AB16" s="4"/>
      <c r="AC16" s="4"/>
      <c r="AD16" s="38">
        <v>3</v>
      </c>
      <c r="AE16" s="38">
        <v>0</v>
      </c>
      <c r="AF16" s="4"/>
      <c r="AG16" s="4"/>
      <c r="AH16" s="4"/>
      <c r="AI16" s="4"/>
      <c r="AJ16" s="4"/>
      <c r="AK16" s="38">
        <v>0</v>
      </c>
      <c r="AL16" s="38">
        <v>2</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Unentschieden</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1</v>
      </c>
      <c r="D21" s="4"/>
      <c r="E21" s="4"/>
      <c r="F21" s="4"/>
      <c r="G21" s="4"/>
      <c r="H21" s="4"/>
      <c r="I21" s="38">
        <v>3</v>
      </c>
      <c r="J21" s="38">
        <v>1</v>
      </c>
      <c r="K21" s="4"/>
      <c r="L21" s="4"/>
      <c r="M21" s="4"/>
      <c r="N21" s="4"/>
      <c r="O21" s="4"/>
      <c r="P21" s="38">
        <v>5</v>
      </c>
      <c r="Q21" s="38">
        <v>0</v>
      </c>
      <c r="R21" s="4"/>
      <c r="S21" s="4"/>
      <c r="T21" s="4"/>
      <c r="U21" s="4"/>
      <c r="V21" s="4"/>
      <c r="W21" s="38">
        <v>0</v>
      </c>
      <c r="X21" s="38">
        <v>2</v>
      </c>
      <c r="Y21" s="4"/>
      <c r="Z21" s="4"/>
      <c r="AA21" s="4"/>
      <c r="AB21" s="4"/>
      <c r="AC21" s="4"/>
      <c r="AD21" s="38">
        <v>1</v>
      </c>
      <c r="AE21" s="38">
        <v>2</v>
      </c>
      <c r="AF21" s="4"/>
      <c r="AG21" s="4"/>
      <c r="AH21" s="4"/>
      <c r="AI21" s="4"/>
      <c r="AJ21" s="4"/>
      <c r="AK21" s="38">
        <v>3</v>
      </c>
      <c r="AL21" s="38">
        <v>2</v>
      </c>
      <c r="AM21" s="4"/>
      <c r="AN21" s="4"/>
      <c r="AO21" s="4"/>
      <c r="AP21" s="4"/>
    </row>
    <row r="22" spans="1:42" x14ac:dyDescent="0.45">
      <c r="A22" s="4"/>
      <c r="B22" s="80" t="str">
        <f>IF(B21=C21,"Unentschieden",IF(B21&gt;C21,B20,C20))</f>
        <v>Unentschieden</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Australien</v>
      </c>
      <c r="X22" s="80"/>
      <c r="Y22" s="4"/>
      <c r="Z22" s="4"/>
      <c r="AA22" s="4"/>
      <c r="AB22" s="4"/>
      <c r="AC22" s="4"/>
      <c r="AD22" s="80" t="str">
        <f>IF(AD21=AE21,"Unentschieden",IF(AD21&gt;AE21,AD20,AE20))</f>
        <v>Elfenbeinküste</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0</v>
      </c>
      <c r="X23" s="1">
        <f>IF(X21=W21,1,IF(X21&gt;W21,3,0))</f>
        <v>3</v>
      </c>
      <c r="Y23" s="4"/>
      <c r="Z23" s="4"/>
      <c r="AA23" s="4"/>
      <c r="AB23" s="4"/>
      <c r="AC23" s="4"/>
      <c r="AD23" s="1">
        <f>IF(AD21=AE21,1,IF(AD21&gt;AE21,3,0))</f>
        <v>0</v>
      </c>
      <c r="AE23" s="1">
        <f>IF(AE21=AD21,1,IF(AE21&gt;AD21,3,0))</f>
        <v>3</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1</v>
      </c>
      <c r="C27" s="38">
        <v>3</v>
      </c>
      <c r="D27" s="4"/>
      <c r="E27" s="4"/>
      <c r="F27" s="4"/>
      <c r="G27" s="4"/>
      <c r="H27" s="4"/>
      <c r="I27" s="38">
        <v>1</v>
      </c>
      <c r="J27" s="38">
        <v>0</v>
      </c>
      <c r="K27" s="4"/>
      <c r="L27" s="4"/>
      <c r="M27" s="4"/>
      <c r="N27" s="4"/>
      <c r="O27" s="4"/>
      <c r="P27" s="38">
        <v>4</v>
      </c>
      <c r="Q27" s="38">
        <v>0</v>
      </c>
      <c r="R27" s="4"/>
      <c r="S27" s="4"/>
      <c r="T27" s="4"/>
      <c r="U27" s="4"/>
      <c r="V27" s="4"/>
      <c r="W27" s="38">
        <v>0</v>
      </c>
      <c r="X27" s="38">
        <v>2</v>
      </c>
      <c r="Y27" s="4"/>
      <c r="Z27" s="4"/>
      <c r="AA27" s="4"/>
      <c r="AB27" s="4"/>
      <c r="AC27" s="4"/>
      <c r="AD27" s="38">
        <v>0</v>
      </c>
      <c r="AE27" s="38">
        <v>4</v>
      </c>
      <c r="AF27" s="4"/>
      <c r="AG27" s="4"/>
      <c r="AH27" s="4"/>
      <c r="AI27" s="4"/>
      <c r="AJ27" s="4"/>
      <c r="AK27" s="38">
        <v>1</v>
      </c>
      <c r="AL27" s="38">
        <v>1</v>
      </c>
      <c r="AM27" s="4"/>
      <c r="AN27" s="4"/>
      <c r="AO27" s="4"/>
      <c r="AP27" s="4"/>
    </row>
    <row r="28" spans="1:42" x14ac:dyDescent="0.45">
      <c r="A28" s="4"/>
      <c r="B28" s="80" t="str">
        <f>IF(B27=C27,"Unentschieden",IF(B27&gt;C27,B26,C26))</f>
        <v>Südkorea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Australien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Unentschieden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2</v>
      </c>
      <c r="J32" s="38">
        <v>1</v>
      </c>
      <c r="K32" s="4"/>
      <c r="L32" s="4"/>
      <c r="M32" s="4"/>
      <c r="N32" s="4"/>
      <c r="O32" s="4"/>
      <c r="P32" s="38">
        <v>0</v>
      </c>
      <c r="Q32" s="38">
        <v>2</v>
      </c>
      <c r="R32" s="4"/>
      <c r="S32" s="4"/>
      <c r="T32" s="4"/>
      <c r="U32" s="4"/>
      <c r="V32" s="4"/>
      <c r="W32" s="38">
        <v>2</v>
      </c>
      <c r="X32" s="38">
        <v>1</v>
      </c>
      <c r="Y32" s="4"/>
      <c r="Z32" s="4"/>
      <c r="AA32" s="4"/>
      <c r="AB32" s="4"/>
      <c r="AC32" s="4"/>
      <c r="AD32" s="38">
        <v>1</v>
      </c>
      <c r="AE32" s="38">
        <v>1</v>
      </c>
      <c r="AF32" s="4"/>
      <c r="AG32" s="4"/>
      <c r="AH32" s="4"/>
      <c r="AI32" s="4"/>
      <c r="AJ32" s="4"/>
      <c r="AK32" s="38">
        <v>0</v>
      </c>
      <c r="AL32" s="38">
        <v>2</v>
      </c>
      <c r="AM32" s="4"/>
      <c r="AN32" s="4"/>
      <c r="AO32" s="4"/>
      <c r="AP32" s="4"/>
    </row>
    <row r="33" spans="1:42" x14ac:dyDescent="0.45">
      <c r="A33" s="4"/>
      <c r="B33" s="80" t="str">
        <f>IF(B32=C32,"Unentschieden",IF(B32&gt;C32,B31,C31))</f>
        <v>Mexiko</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Unentschieden</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6</v>
      </c>
      <c r="K37" s="1">
        <f>I5+I21+J32</f>
        <v>6</v>
      </c>
      <c r="L37" s="1">
        <f>J5+J21+I32</f>
        <v>3</v>
      </c>
      <c r="M37" s="1">
        <f>K37-L37</f>
        <v>3</v>
      </c>
      <c r="N37" s="4"/>
      <c r="O37" s="13"/>
      <c r="P37" s="2" t="s">
        <v>29</v>
      </c>
      <c r="Q37" s="1">
        <f>P7+P23+Q34</f>
        <v>6</v>
      </c>
      <c r="R37" s="1">
        <f>P5+P21+Q32</f>
        <v>8</v>
      </c>
      <c r="S37" s="1">
        <f>Q5+Q21+P32</f>
        <v>2</v>
      </c>
      <c r="T37" s="1">
        <f>R37-S37</f>
        <v>6</v>
      </c>
      <c r="U37" s="4"/>
      <c r="V37" s="13"/>
      <c r="W37" s="2" t="s">
        <v>31</v>
      </c>
      <c r="X37" s="1">
        <f>W7+W23+X34</f>
        <v>3</v>
      </c>
      <c r="Y37" s="1">
        <f>W5+W21+X32</f>
        <v>3</v>
      </c>
      <c r="Z37" s="1">
        <f>X5+X21+W32</f>
        <v>4</v>
      </c>
      <c r="AA37" s="1">
        <f>Y37-Z37</f>
        <v>-1</v>
      </c>
      <c r="AB37" s="4"/>
      <c r="AC37" s="13"/>
      <c r="AD37" s="2" t="s">
        <v>33</v>
      </c>
      <c r="AE37" s="1">
        <f>AD7+AD23+AE34</f>
        <v>4</v>
      </c>
      <c r="AF37" s="1">
        <f>AD5+AD21+AE32</f>
        <v>5</v>
      </c>
      <c r="AG37" s="1">
        <f>AE5+AE21+AD32</f>
        <v>3</v>
      </c>
      <c r="AH37" s="1">
        <f>AF37-AG37</f>
        <v>2</v>
      </c>
      <c r="AI37" s="4"/>
      <c r="AJ37" s="4"/>
      <c r="AK37" s="2" t="s">
        <v>35</v>
      </c>
      <c r="AL37" s="1">
        <f>AK7+AK23+AL34</f>
        <v>9</v>
      </c>
      <c r="AM37" s="1">
        <f>AK5+AK21+AL32</f>
        <v>7</v>
      </c>
      <c r="AN37" s="1">
        <f>AL5+AL21+AK32</f>
        <v>2</v>
      </c>
      <c r="AO37" s="1">
        <f>AM37-AN37</f>
        <v>5</v>
      </c>
      <c r="AP37" s="4"/>
    </row>
    <row r="38" spans="1:42" x14ac:dyDescent="0.45">
      <c r="A38" s="37"/>
      <c r="B38" s="2" t="s">
        <v>26</v>
      </c>
      <c r="C38" s="1">
        <f>C7+C18+B29</f>
        <v>0</v>
      </c>
      <c r="D38" s="1">
        <f>C5+C16+B27</f>
        <v>3</v>
      </c>
      <c r="E38" s="1">
        <f>B5+B16+C27</f>
        <v>8</v>
      </c>
      <c r="F38" s="1">
        <f t="shared" ref="F38:F40" si="0">D38-E38</f>
        <v>-5</v>
      </c>
      <c r="G38" s="4"/>
      <c r="H38" s="37"/>
      <c r="I38" s="2" t="s">
        <v>28</v>
      </c>
      <c r="J38" s="1">
        <f>J7+J18+I29</f>
        <v>3</v>
      </c>
      <c r="K38" s="1">
        <f>J5+J16+I27</f>
        <v>2</v>
      </c>
      <c r="L38" s="1">
        <f>I5+I16+J27</f>
        <v>4</v>
      </c>
      <c r="M38" s="1">
        <f t="shared" ref="M38:M40" si="1">K38-L38</f>
        <v>-2</v>
      </c>
      <c r="N38" s="4"/>
      <c r="O38" s="13"/>
      <c r="P38" s="2" t="s">
        <v>30</v>
      </c>
      <c r="Q38" s="1">
        <f>Q7+Q18+P29</f>
        <v>7</v>
      </c>
      <c r="R38" s="1">
        <f>Q5+Q16+P27</f>
        <v>6</v>
      </c>
      <c r="S38" s="1">
        <f>P5+P16+Q27</f>
        <v>1</v>
      </c>
      <c r="T38" s="1">
        <f t="shared" ref="T38:T40" si="2">R38-S38</f>
        <v>5</v>
      </c>
      <c r="U38" s="4"/>
      <c r="V38" s="13"/>
      <c r="W38" s="2" t="s">
        <v>32</v>
      </c>
      <c r="X38" s="1">
        <f>X7+X18+W29</f>
        <v>0</v>
      </c>
      <c r="Y38" s="1">
        <f>X5+X16+W27</f>
        <v>1</v>
      </c>
      <c r="Z38" s="1">
        <f>W5+W16+X27</f>
        <v>6</v>
      </c>
      <c r="AA38" s="1">
        <f t="shared" ref="AA38:AA40" si="3">Y38-Z38</f>
        <v>-5</v>
      </c>
      <c r="AB38" s="4"/>
      <c r="AC38" s="13"/>
      <c r="AD38" s="2" t="s">
        <v>34</v>
      </c>
      <c r="AE38" s="1">
        <f>AE7+AE18+AD29</f>
        <v>0</v>
      </c>
      <c r="AF38" s="1">
        <f>AE5+AE16+AD27</f>
        <v>0</v>
      </c>
      <c r="AG38" s="1">
        <f>AD5+AD16+AE27</f>
        <v>10</v>
      </c>
      <c r="AH38" s="1">
        <f t="shared" ref="AH38:AH40" si="4">AF38-AG38</f>
        <v>-10</v>
      </c>
      <c r="AI38" s="4"/>
      <c r="AJ38" s="4"/>
      <c r="AK38" s="2" t="s">
        <v>36</v>
      </c>
      <c r="AL38" s="1">
        <f>AL7+AL18+AK29</f>
        <v>4</v>
      </c>
      <c r="AM38" s="1">
        <f>AL5+AL16+AK27</f>
        <v>3</v>
      </c>
      <c r="AN38" s="1">
        <f>AK5+AK16+AL27</f>
        <v>3</v>
      </c>
      <c r="AO38" s="1">
        <f t="shared" ref="AO38:AO40" si="5">AM38-AN38</f>
        <v>0</v>
      </c>
      <c r="AP38" s="4"/>
    </row>
    <row r="39" spans="1:42" x14ac:dyDescent="0.45">
      <c r="A39" s="36"/>
      <c r="B39" s="2" t="s">
        <v>37</v>
      </c>
      <c r="C39" s="1">
        <f>B12+C23+C29</f>
        <v>7</v>
      </c>
      <c r="D39" s="1">
        <f>B10+C21+C27</f>
        <v>6</v>
      </c>
      <c r="E39" s="1">
        <f>C10+B21+B27</f>
        <v>3</v>
      </c>
      <c r="F39" s="1">
        <f t="shared" si="0"/>
        <v>3</v>
      </c>
      <c r="G39" s="4"/>
      <c r="H39" s="36"/>
      <c r="I39" s="2" t="s">
        <v>39</v>
      </c>
      <c r="J39" s="1">
        <f>I12+J23+J29</f>
        <v>0</v>
      </c>
      <c r="K39" s="1">
        <f>I10+J21+J27</f>
        <v>1</v>
      </c>
      <c r="L39" s="1">
        <f>J10+I21+I27</f>
        <v>7</v>
      </c>
      <c r="M39" s="1">
        <f t="shared" si="1"/>
        <v>-6</v>
      </c>
      <c r="N39" s="4"/>
      <c r="O39" s="13"/>
      <c r="P39" s="2" t="s">
        <v>41</v>
      </c>
      <c r="Q39" s="1">
        <f>P12+Q23+Q29</f>
        <v>0</v>
      </c>
      <c r="R39" s="1">
        <f>P10+Q21+Q27</f>
        <v>0</v>
      </c>
      <c r="S39" s="1">
        <f>Q10+P21+P27</f>
        <v>13</v>
      </c>
      <c r="T39" s="1">
        <f t="shared" si="2"/>
        <v>-13</v>
      </c>
      <c r="U39" s="4"/>
      <c r="V39" s="13"/>
      <c r="W39" s="2" t="s">
        <v>43</v>
      </c>
      <c r="X39" s="1">
        <f>W12+X23+X29</f>
        <v>6</v>
      </c>
      <c r="Y39" s="1">
        <f>W10+X21+X27</f>
        <v>4</v>
      </c>
      <c r="Z39" s="1">
        <f>X10+W21+W27</f>
        <v>1</v>
      </c>
      <c r="AA39" s="1">
        <f t="shared" si="3"/>
        <v>3</v>
      </c>
      <c r="AB39" s="4"/>
      <c r="AC39" s="13"/>
      <c r="AD39" s="2" t="s">
        <v>45</v>
      </c>
      <c r="AE39" s="1">
        <f>AD12+AE23+AE29</f>
        <v>9</v>
      </c>
      <c r="AF39" s="1">
        <f>AD10+AE21+AE27</f>
        <v>7</v>
      </c>
      <c r="AG39" s="1">
        <f>AE10+AD21+AD27</f>
        <v>1</v>
      </c>
      <c r="AH39" s="1">
        <f t="shared" si="4"/>
        <v>6</v>
      </c>
      <c r="AI39" s="4"/>
      <c r="AJ39" s="4"/>
      <c r="AK39" s="2" t="s">
        <v>47</v>
      </c>
      <c r="AL39" s="1">
        <f>AK12+AL23+AL29</f>
        <v>2</v>
      </c>
      <c r="AM39" s="1">
        <f>AK10+AL21+AL27</f>
        <v>3</v>
      </c>
      <c r="AN39" s="1">
        <f>AL10+AK21+AK27</f>
        <v>4</v>
      </c>
      <c r="AO39" s="1">
        <f t="shared" si="5"/>
        <v>-1</v>
      </c>
      <c r="AP39" s="4"/>
    </row>
    <row r="40" spans="1:42" x14ac:dyDescent="0.45">
      <c r="A40" s="35"/>
      <c r="B40" s="2" t="s">
        <v>38</v>
      </c>
      <c r="C40" s="1">
        <f>C12+B18+B34</f>
        <v>3</v>
      </c>
      <c r="D40" s="1">
        <f>C10+B16+B32</f>
        <v>4</v>
      </c>
      <c r="E40" s="1">
        <f>B10+C16+C32</f>
        <v>5</v>
      </c>
      <c r="F40" s="1">
        <f t="shared" si="0"/>
        <v>-1</v>
      </c>
      <c r="G40" s="4"/>
      <c r="H40" s="35"/>
      <c r="I40" s="2" t="s">
        <v>40</v>
      </c>
      <c r="J40" s="1">
        <f>J12+I18+I34</f>
        <v>9</v>
      </c>
      <c r="K40" s="1">
        <f>J10+I16+I32</f>
        <v>7</v>
      </c>
      <c r="L40" s="1">
        <f>I10+J16+J32</f>
        <v>2</v>
      </c>
      <c r="M40" s="1">
        <f t="shared" si="1"/>
        <v>5</v>
      </c>
      <c r="N40" s="4"/>
      <c r="O40" s="13"/>
      <c r="P40" s="2" t="s">
        <v>42</v>
      </c>
      <c r="Q40" s="1">
        <f>Q12+P18+P34</f>
        <v>4</v>
      </c>
      <c r="R40" s="1">
        <f>Q10+P16+P32</f>
        <v>4</v>
      </c>
      <c r="S40" s="1">
        <f>P10+Q16+Q32</f>
        <v>2</v>
      </c>
      <c r="T40" s="1">
        <f t="shared" si="2"/>
        <v>2</v>
      </c>
      <c r="U40" s="4"/>
      <c r="V40" s="13"/>
      <c r="W40" s="2" t="s">
        <v>44</v>
      </c>
      <c r="X40" s="1">
        <f>X12+W18+W34</f>
        <v>9</v>
      </c>
      <c r="Y40" s="1">
        <f>X10+W16+W32</f>
        <v>5</v>
      </c>
      <c r="Z40" s="1">
        <f>W10+X16+X32</f>
        <v>2</v>
      </c>
      <c r="AA40" s="1">
        <f t="shared" si="3"/>
        <v>3</v>
      </c>
      <c r="AB40" s="4"/>
      <c r="AC40" s="13"/>
      <c r="AD40" s="2" t="s">
        <v>46</v>
      </c>
      <c r="AE40" s="1">
        <f>AE12+AD18+AD34</f>
        <v>4</v>
      </c>
      <c r="AF40" s="1">
        <f>AE10+AD16+AD32</f>
        <v>4</v>
      </c>
      <c r="AG40" s="1">
        <f>AD10+AE16+AE32</f>
        <v>2</v>
      </c>
      <c r="AH40" s="1">
        <f t="shared" si="4"/>
        <v>2</v>
      </c>
      <c r="AI40" s="4"/>
      <c r="AJ40" s="4"/>
      <c r="AK40" s="2" t="s">
        <v>48</v>
      </c>
      <c r="AL40" s="1">
        <f>AL12+AK18+AK34</f>
        <v>1</v>
      </c>
      <c r="AM40" s="1">
        <f>AL10+AK16+AK32</f>
        <v>0</v>
      </c>
      <c r="AN40" s="1">
        <f>AK10+AL16+AL32</f>
        <v>4</v>
      </c>
      <c r="AO40" s="1">
        <f t="shared" si="5"/>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6</v>
      </c>
      <c r="E43" s="1" cm="1">
        <f t="array" ref="E43:E46">_xlfn.SORTBY(E37:E40,C37:C40,-1,F37:F40,-1,D37:D40,-1)</f>
        <v>3</v>
      </c>
      <c r="F43" s="1" cm="1">
        <f t="array" ref="F43:F46">_xlfn.SORTBY(F37:F40,C37:C40,-1,F37:F40,-1,D37:D40,-1)</f>
        <v>3</v>
      </c>
      <c r="G43" s="4"/>
      <c r="H43" s="33">
        <v>1</v>
      </c>
      <c r="I43" s="2" t="str" cm="1">
        <f t="array" ref="I43:I46">_xlfn.SORTBY(I37:I40,J37:J40,-1,M37:M40,-1,K37:K40,-1)</f>
        <v>Schweiz</v>
      </c>
      <c r="J43" s="1" cm="1">
        <f t="array" ref="J43:J46">_xlfn.SORTBY(J37:J40,J37:J40,-1,M37:M40,-1,K37:K40,-1)</f>
        <v>9</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Marokko</v>
      </c>
      <c r="Q43" s="1" cm="1">
        <f t="array" ref="Q43:Q46">_xlfn.SORTBY(Q37:Q40,Q37:Q40,-1,T37:T40,-1,R37:R40,-1)</f>
        <v>7</v>
      </c>
      <c r="R43" s="1" cm="1">
        <f t="array" ref="R43:R46">_xlfn.SORTBY(R37:R40,Q37:Q40,-1,T37:T40,-1,R37:R40,-1)</f>
        <v>6</v>
      </c>
      <c r="S43" s="1" cm="1">
        <f t="array" ref="S43:S46">_xlfn.SORTBY(S37:S40,Q37:Q40,-1,T37:T40,-1,R37:R40,-1)</f>
        <v>1</v>
      </c>
      <c r="T43" s="1" cm="1">
        <f t="array" ref="T43:T46">_xlfn.SORTBY(T37:T40,Q37:Q40,-1,T37:T40,-1,R37:R40,-1)</f>
        <v>5</v>
      </c>
      <c r="U43" s="4"/>
      <c r="V43" s="33">
        <v>1</v>
      </c>
      <c r="W43" s="2" t="str" cm="1">
        <f t="array" ref="W43:W46">_xlfn.SORTBY(W37:W40,X37:X40,-1,AA37:AA40,-1,Y37:Y40,-1)</f>
        <v>Türkei</v>
      </c>
      <c r="X43" s="1" cm="1">
        <f t="array" ref="X43:X46">_xlfn.SORTBY(X37:X40,X37:X40,-1,AA37:AA40,-1,Y37:Y40,-1)</f>
        <v>9</v>
      </c>
      <c r="Y43" s="1" cm="1">
        <f t="array" ref="Y43:Y46">_xlfn.SORTBY(Y37:Y40,X37:X40,-1,AA37:AA40,-1,Y37:Y40,-1)</f>
        <v>5</v>
      </c>
      <c r="Z43" s="1" cm="1">
        <f t="array" ref="Z43:Z46">_xlfn.SORTBY(Z37:Z40,X37:X40,-1,AA37:AA40,-1,Y37:Y40,-1)</f>
        <v>2</v>
      </c>
      <c r="AA43" s="1" cm="1">
        <f t="array" ref="AA43:AA46">_xlfn.SORTBY(AA37:AA40,X37:X40,-1,AA37:AA40,-1,Y37:Y40,-1)</f>
        <v>3</v>
      </c>
      <c r="AB43" s="4"/>
      <c r="AC43" s="33">
        <v>1</v>
      </c>
      <c r="AD43" s="2" t="str" cm="1">
        <f t="array" ref="AD43:AD46">_xlfn.SORTBY(AD37:AD40,AE37:AE40,-1,AH37:AH40,-1,AF37:AF40,-1)</f>
        <v>Elfenbeinküste</v>
      </c>
      <c r="AE43" s="1" cm="1">
        <f t="array" ref="AE43:AE46">_xlfn.SORTBY(AE37:AE40,AE37:AE40,-1,AH37:AH40,-1,AF37:AF40,-1)</f>
        <v>9</v>
      </c>
      <c r="AF43" s="1" cm="1">
        <f t="array" ref="AF43:AF46">_xlfn.SORTBY(AF37:AF40,AE37:AE40,-1,AH37:AH40,-1,AF37:AF40,-1)</f>
        <v>7</v>
      </c>
      <c r="AG43" s="1" cm="1">
        <f t="array" ref="AG43:AG46">_xlfn.SORTBY(AG37:AG40,AE37:AE40,-1,AH37:AH40,-1,AF37:AF40,-1)</f>
        <v>1</v>
      </c>
      <c r="AH43" s="1" cm="1">
        <f t="array" ref="AH43:AH46">_xlfn.SORTBY(AH37:AH40,AE37:AE40,-1,AH37:AH40,-1,AF37:AF40,-1)</f>
        <v>6</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7</v>
      </c>
      <c r="AN43" s="1" cm="1">
        <f t="array" ref="AN43:AN46">_xlfn.SORTBY(AN37:AN40,AL37:AL40,-1,AO37:AO40,-1,AM37:AM40,-1)</f>
        <v>2</v>
      </c>
      <c r="AO43" s="1" cm="1">
        <f t="array" ref="AO43:AO46">_xlfn.SORTBY(AO37:AO40,AL37:AL40,-1,AO37:AO40,-1,AM37:AM40,-1)</f>
        <v>5</v>
      </c>
      <c r="AP43" s="4"/>
    </row>
    <row r="44" spans="1:42" x14ac:dyDescent="0.45">
      <c r="A44" s="33">
        <v>2</v>
      </c>
      <c r="B44" s="2" t="str">
        <v>Südkorea</v>
      </c>
      <c r="C44" s="1">
        <v>7</v>
      </c>
      <c r="D44" s="1">
        <v>6</v>
      </c>
      <c r="E44" s="1">
        <v>3</v>
      </c>
      <c r="F44" s="1">
        <v>3</v>
      </c>
      <c r="G44" s="4"/>
      <c r="H44" s="33">
        <v>2</v>
      </c>
      <c r="I44" s="2" t="str">
        <v>Kanada</v>
      </c>
      <c r="J44" s="1">
        <v>6</v>
      </c>
      <c r="K44" s="1">
        <v>6</v>
      </c>
      <c r="L44" s="1">
        <v>3</v>
      </c>
      <c r="M44" s="1">
        <v>3</v>
      </c>
      <c r="N44" s="4"/>
      <c r="O44" s="33">
        <v>2</v>
      </c>
      <c r="P44" s="2" t="str">
        <v>Brasilien</v>
      </c>
      <c r="Q44" s="1">
        <v>6</v>
      </c>
      <c r="R44" s="1">
        <v>8</v>
      </c>
      <c r="S44" s="1">
        <v>2</v>
      </c>
      <c r="T44" s="1">
        <v>6</v>
      </c>
      <c r="U44" s="4"/>
      <c r="V44" s="33">
        <v>2</v>
      </c>
      <c r="W44" s="2" t="str">
        <v>Australien</v>
      </c>
      <c r="X44" s="1">
        <v>6</v>
      </c>
      <c r="Y44" s="1">
        <v>4</v>
      </c>
      <c r="Z44" s="1">
        <v>1</v>
      </c>
      <c r="AA44" s="1">
        <v>3</v>
      </c>
      <c r="AB44" s="4"/>
      <c r="AC44" s="33">
        <v>2</v>
      </c>
      <c r="AD44" s="2" t="str">
        <v>Deutschland</v>
      </c>
      <c r="AE44" s="1">
        <v>4</v>
      </c>
      <c r="AF44" s="1">
        <v>5</v>
      </c>
      <c r="AG44" s="1">
        <v>3</v>
      </c>
      <c r="AH44" s="1">
        <v>2</v>
      </c>
      <c r="AI44" s="4"/>
      <c r="AJ44" s="33">
        <v>2</v>
      </c>
      <c r="AK44" s="2" t="str">
        <v>Japan</v>
      </c>
      <c r="AL44" s="1">
        <v>4</v>
      </c>
      <c r="AM44" s="1">
        <v>3</v>
      </c>
      <c r="AN44" s="1">
        <v>3</v>
      </c>
      <c r="AO44" s="1">
        <v>0</v>
      </c>
      <c r="AP44" s="4"/>
    </row>
    <row r="45" spans="1:42" x14ac:dyDescent="0.45">
      <c r="A45" s="34">
        <v>3</v>
      </c>
      <c r="B45" s="2" t="str">
        <v>Tschechien</v>
      </c>
      <c r="C45" s="1">
        <v>3</v>
      </c>
      <c r="D45" s="1">
        <v>4</v>
      </c>
      <c r="E45" s="1">
        <v>5</v>
      </c>
      <c r="F45" s="1">
        <v>-1</v>
      </c>
      <c r="G45" s="4"/>
      <c r="H45" s="34">
        <v>3</v>
      </c>
      <c r="I45" s="2" t="str">
        <v>Bosnien-Herz.</v>
      </c>
      <c r="J45" s="1">
        <v>3</v>
      </c>
      <c r="K45" s="1">
        <v>2</v>
      </c>
      <c r="L45" s="1">
        <v>4</v>
      </c>
      <c r="M45" s="1">
        <v>-2</v>
      </c>
      <c r="N45" s="4"/>
      <c r="O45" s="34">
        <v>3</v>
      </c>
      <c r="P45" s="2" t="str">
        <v>Schottland</v>
      </c>
      <c r="Q45" s="1">
        <v>4</v>
      </c>
      <c r="R45" s="1">
        <v>4</v>
      </c>
      <c r="S45" s="1">
        <v>2</v>
      </c>
      <c r="T45" s="1">
        <v>2</v>
      </c>
      <c r="U45" s="4"/>
      <c r="V45" s="34">
        <v>3</v>
      </c>
      <c r="W45" s="2" t="str">
        <v>USA</v>
      </c>
      <c r="X45" s="1">
        <v>3</v>
      </c>
      <c r="Y45" s="1">
        <v>3</v>
      </c>
      <c r="Z45" s="1">
        <v>4</v>
      </c>
      <c r="AA45" s="1">
        <v>-1</v>
      </c>
      <c r="AB45" s="4"/>
      <c r="AC45" s="34">
        <v>3</v>
      </c>
      <c r="AD45" s="2" t="str">
        <v>Ecuador</v>
      </c>
      <c r="AE45" s="1">
        <v>4</v>
      </c>
      <c r="AF45" s="1">
        <v>4</v>
      </c>
      <c r="AG45" s="1">
        <v>2</v>
      </c>
      <c r="AH45" s="1">
        <v>2</v>
      </c>
      <c r="AI45" s="4"/>
      <c r="AJ45" s="34">
        <v>3</v>
      </c>
      <c r="AK45" s="2" t="str">
        <v>Schweden</v>
      </c>
      <c r="AL45" s="1">
        <v>2</v>
      </c>
      <c r="AM45" s="1">
        <v>3</v>
      </c>
      <c r="AN45" s="1">
        <v>4</v>
      </c>
      <c r="AO45" s="1">
        <v>-1</v>
      </c>
      <c r="AP45" s="4"/>
    </row>
    <row r="46" spans="1:42" x14ac:dyDescent="0.45">
      <c r="A46" s="32">
        <v>4</v>
      </c>
      <c r="B46" s="2" t="str">
        <v>Südafrika</v>
      </c>
      <c r="C46" s="1">
        <v>0</v>
      </c>
      <c r="D46" s="1">
        <v>3</v>
      </c>
      <c r="E46" s="1">
        <v>8</v>
      </c>
      <c r="F46" s="1">
        <v>-5</v>
      </c>
      <c r="G46" s="4"/>
      <c r="H46" s="32">
        <v>4</v>
      </c>
      <c r="I46" s="2" t="str">
        <v>Katar</v>
      </c>
      <c r="J46" s="1">
        <v>0</v>
      </c>
      <c r="K46" s="1">
        <v>1</v>
      </c>
      <c r="L46" s="1">
        <v>7</v>
      </c>
      <c r="M46" s="1">
        <v>-6</v>
      </c>
      <c r="N46" s="4"/>
      <c r="O46" s="32">
        <v>4</v>
      </c>
      <c r="P46" s="2" t="str">
        <v>Haiti</v>
      </c>
      <c r="Q46" s="1">
        <v>0</v>
      </c>
      <c r="R46" s="1">
        <v>0</v>
      </c>
      <c r="S46" s="1">
        <v>13</v>
      </c>
      <c r="T46" s="1">
        <v>-13</v>
      </c>
      <c r="U46" s="4"/>
      <c r="V46" s="32">
        <v>4</v>
      </c>
      <c r="W46" s="2" t="str">
        <v>Paraguay</v>
      </c>
      <c r="X46" s="1">
        <v>0</v>
      </c>
      <c r="Y46" s="1">
        <v>1</v>
      </c>
      <c r="Z46" s="1">
        <v>6</v>
      </c>
      <c r="AA46" s="1">
        <v>-5</v>
      </c>
      <c r="AB46" s="4"/>
      <c r="AC46" s="32">
        <v>4</v>
      </c>
      <c r="AD46" s="2" t="str">
        <v>Curacao</v>
      </c>
      <c r="AE46" s="1">
        <v>0</v>
      </c>
      <c r="AF46" s="1">
        <v>0</v>
      </c>
      <c r="AG46" s="1">
        <v>10</v>
      </c>
      <c r="AH46" s="1">
        <v>-10</v>
      </c>
      <c r="AI46" s="4"/>
      <c r="AJ46" s="32">
        <v>4</v>
      </c>
      <c r="AK46" s="2" t="str">
        <v>Tunesien</v>
      </c>
      <c r="AL46" s="1">
        <v>1</v>
      </c>
      <c r="AM46" s="1">
        <v>0</v>
      </c>
      <c r="AN46" s="1">
        <v>4</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6</v>
      </c>
      <c r="J52" s="38">
        <v>0</v>
      </c>
      <c r="K52" s="4"/>
      <c r="L52" s="4"/>
      <c r="M52" s="4"/>
      <c r="N52" s="4"/>
      <c r="O52" s="4"/>
      <c r="P52" s="38">
        <v>4</v>
      </c>
      <c r="Q52" s="38">
        <v>2</v>
      </c>
      <c r="R52" s="4"/>
      <c r="S52" s="4"/>
      <c r="T52" s="4"/>
      <c r="U52" s="4"/>
      <c r="V52" s="4"/>
      <c r="W52" s="38">
        <v>1</v>
      </c>
      <c r="X52" s="38">
        <v>0</v>
      </c>
      <c r="Y52" s="4"/>
      <c r="Z52" s="4"/>
      <c r="AA52" s="4"/>
      <c r="AB52" s="4"/>
      <c r="AC52" s="4"/>
      <c r="AD52" s="38">
        <v>1</v>
      </c>
      <c r="AE52" s="38">
        <v>0</v>
      </c>
      <c r="AF52" s="4"/>
      <c r="AG52" s="4"/>
      <c r="AH52" s="4"/>
      <c r="AI52" s="4"/>
      <c r="AJ52" s="4"/>
      <c r="AK52" s="38">
        <v>1</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Unentschieden</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0</v>
      </c>
      <c r="J57" s="38">
        <v>2</v>
      </c>
      <c r="K57" s="4"/>
      <c r="L57" s="4"/>
      <c r="M57" s="4"/>
      <c r="N57" s="4"/>
      <c r="O57" s="4"/>
      <c r="P57" s="38">
        <v>1</v>
      </c>
      <c r="Q57" s="38">
        <v>3</v>
      </c>
      <c r="R57" s="4"/>
      <c r="S57" s="4"/>
      <c r="T57" s="4"/>
      <c r="U57" s="4"/>
      <c r="V57" s="4"/>
      <c r="W57" s="38">
        <v>2</v>
      </c>
      <c r="X57" s="38">
        <v>0</v>
      </c>
      <c r="Y57" s="4"/>
      <c r="Z57" s="4"/>
      <c r="AA57" s="4"/>
      <c r="AB57" s="4"/>
      <c r="AC57" s="4"/>
      <c r="AD57" s="38">
        <v>0</v>
      </c>
      <c r="AE57" s="38">
        <v>3</v>
      </c>
      <c r="AF57" s="4"/>
      <c r="AG57" s="4"/>
      <c r="AH57" s="4"/>
      <c r="AI57" s="4"/>
      <c r="AJ57" s="4"/>
      <c r="AK57" s="38">
        <v>1</v>
      </c>
      <c r="AL57" s="38">
        <v>2</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Panama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4</v>
      </c>
      <c r="J63" s="38">
        <v>1</v>
      </c>
      <c r="K63" s="4"/>
      <c r="L63" s="4"/>
      <c r="M63" s="4"/>
      <c r="N63" s="4"/>
      <c r="O63" s="4"/>
      <c r="P63" s="38">
        <v>3</v>
      </c>
      <c r="Q63" s="38">
        <v>0</v>
      </c>
      <c r="R63" s="4"/>
      <c r="S63" s="4"/>
      <c r="T63" s="4"/>
      <c r="U63" s="4"/>
      <c r="V63" s="4"/>
      <c r="W63" s="38">
        <v>0</v>
      </c>
      <c r="X63" s="38">
        <v>0</v>
      </c>
      <c r="Y63" s="4"/>
      <c r="Z63" s="4"/>
      <c r="AA63" s="4"/>
      <c r="AB63" s="4"/>
      <c r="AC63" s="4"/>
      <c r="AD63" s="38">
        <v>2</v>
      </c>
      <c r="AE63" s="38">
        <v>0</v>
      </c>
      <c r="AF63" s="4"/>
      <c r="AG63" s="4"/>
      <c r="AH63" s="4"/>
      <c r="AI63" s="4"/>
      <c r="AJ63" s="4"/>
      <c r="AK63" s="38">
        <v>2</v>
      </c>
      <c r="AL63" s="38">
        <v>0</v>
      </c>
      <c r="AM63" s="4"/>
      <c r="AN63" s="4"/>
      <c r="AO63" s="4"/>
      <c r="AP63" s="4"/>
    </row>
    <row r="64" spans="1:42" x14ac:dyDescent="0.45">
      <c r="A64" s="4"/>
      <c r="B64" s="80" t="str">
        <f>IF(B63=C63,"Unentschieden",IF(B63&gt;C63,B62,C62))</f>
        <v>Belgien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Unentschieden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3</v>
      </c>
      <c r="D68" s="4"/>
      <c r="E68" s="4"/>
      <c r="F68" s="4"/>
      <c r="G68" s="4"/>
      <c r="H68" s="4"/>
      <c r="I68" s="38">
        <v>2</v>
      </c>
      <c r="J68" s="38">
        <v>0</v>
      </c>
      <c r="K68" s="4"/>
      <c r="L68" s="4"/>
      <c r="M68" s="4"/>
      <c r="N68" s="4"/>
      <c r="O68" s="4"/>
      <c r="P68" s="38">
        <v>3</v>
      </c>
      <c r="Q68" s="38">
        <v>2</v>
      </c>
      <c r="R68" s="4"/>
      <c r="S68" s="4"/>
      <c r="T68" s="4"/>
      <c r="U68" s="4"/>
      <c r="V68" s="4"/>
      <c r="W68" s="38">
        <v>0</v>
      </c>
      <c r="X68" s="38">
        <v>2</v>
      </c>
      <c r="Y68" s="4"/>
      <c r="Z68" s="4"/>
      <c r="AA68" s="4"/>
      <c r="AB68" s="4"/>
      <c r="AC68" s="4"/>
      <c r="AD68" s="38">
        <v>2</v>
      </c>
      <c r="AE68" s="38">
        <v>1</v>
      </c>
      <c r="AF68" s="4"/>
      <c r="AG68" s="4"/>
      <c r="AH68" s="4"/>
      <c r="AI68" s="4"/>
      <c r="AJ68" s="4"/>
      <c r="AK68" s="38">
        <v>0</v>
      </c>
      <c r="AL68" s="38">
        <v>3</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Norwegen</v>
      </c>
      <c r="Q69" s="80"/>
      <c r="R69" s="4"/>
      <c r="S69" s="4"/>
      <c r="T69" s="4"/>
      <c r="U69" s="4"/>
      <c r="V69" s="4"/>
      <c r="W69" s="80" t="str">
        <f>IF(W68=X68,"Unentschieden",IF(W68&gt;X68,W67,X67))</f>
        <v>Algerien</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2</v>
      </c>
      <c r="Q74" s="38">
        <v>2</v>
      </c>
      <c r="R74" s="4"/>
      <c r="S74" s="4"/>
      <c r="T74" s="4"/>
      <c r="U74" s="4"/>
      <c r="V74" s="4"/>
      <c r="W74" s="38">
        <v>0</v>
      </c>
      <c r="X74" s="38">
        <v>3</v>
      </c>
      <c r="Y74" s="4"/>
      <c r="Z74" s="4"/>
      <c r="AA74" s="4"/>
      <c r="AB74" s="4"/>
      <c r="AC74" s="4"/>
      <c r="AD74" s="38">
        <v>0</v>
      </c>
      <c r="AE74" s="38">
        <v>0</v>
      </c>
      <c r="AF74" s="4"/>
      <c r="AG74" s="4"/>
      <c r="AH74" s="4"/>
      <c r="AI74" s="4"/>
      <c r="AJ74" s="4"/>
      <c r="AK74" s="38">
        <v>0</v>
      </c>
      <c r="AL74" s="38">
        <v>2</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Unentschieden</v>
      </c>
      <c r="Q75" s="80"/>
      <c r="R75" s="4"/>
      <c r="S75" s="4"/>
      <c r="T75" s="4"/>
      <c r="U75" s="4"/>
      <c r="V75" s="4"/>
      <c r="W75" s="80" t="str">
        <f>IF(W74=X74,"Unentschieden",IF(W74&gt;X74,W73,X73))</f>
        <v>Argentinien</v>
      </c>
      <c r="X75" s="80"/>
      <c r="Y75" s="4"/>
      <c r="Z75" s="4"/>
      <c r="AA75" s="4"/>
      <c r="AB75" s="4"/>
      <c r="AC75" s="4"/>
      <c r="AD75" s="80" t="str">
        <f>IF(AD74=AE74,"Unentschieden",IF(AD74&gt;AE74,AD73,AE73))</f>
        <v>Unentschieden</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2</v>
      </c>
      <c r="D79" s="4"/>
      <c r="E79" s="4"/>
      <c r="F79" s="4"/>
      <c r="G79" s="4"/>
      <c r="H79" s="4"/>
      <c r="I79" s="38">
        <v>0</v>
      </c>
      <c r="J79" s="38">
        <v>3</v>
      </c>
      <c r="K79" s="4"/>
      <c r="L79" s="4"/>
      <c r="M79" s="4"/>
      <c r="N79" s="4"/>
      <c r="O79" s="4"/>
      <c r="P79" s="38">
        <v>2</v>
      </c>
      <c r="Q79" s="38">
        <v>0</v>
      </c>
      <c r="R79" s="4"/>
      <c r="S79" s="4"/>
      <c r="T79" s="4"/>
      <c r="U79" s="4"/>
      <c r="V79" s="4"/>
      <c r="W79" s="38">
        <v>1</v>
      </c>
      <c r="X79" s="38">
        <v>1</v>
      </c>
      <c r="Y79" s="4"/>
      <c r="Z79" s="4"/>
      <c r="AA79" s="4"/>
      <c r="AB79" s="4"/>
      <c r="AC79" s="4"/>
      <c r="AD79" s="38">
        <v>3</v>
      </c>
      <c r="AE79" s="38">
        <v>0</v>
      </c>
      <c r="AF79" s="4"/>
      <c r="AG79" s="4"/>
      <c r="AH79" s="4"/>
      <c r="AI79" s="4"/>
      <c r="AJ79" s="4"/>
      <c r="AK79" s="38">
        <v>2</v>
      </c>
      <c r="AL79" s="38">
        <v>1</v>
      </c>
      <c r="AM79" s="4"/>
      <c r="AN79" s="4"/>
      <c r="AO79" s="4"/>
      <c r="AP79" s="4"/>
    </row>
    <row r="80" spans="1:42" ht="17.399999999999999" customHeight="1" x14ac:dyDescent="0.45">
      <c r="A80" s="4"/>
      <c r="B80" s="80" t="str">
        <f>IF(B79=C79,"Unentschieden",IF(B79&gt;C79,B78,C78))</f>
        <v>Iran</v>
      </c>
      <c r="C80" s="80"/>
      <c r="D80" s="4"/>
      <c r="E80" s="4"/>
      <c r="F80" s="4"/>
      <c r="G80" s="4"/>
      <c r="H80" s="4"/>
      <c r="I80" s="80" t="str">
        <f>IF(I79=J79,"Unentschieden",IF(I79&gt;J79,I78,J78))</f>
        <v>Saudi-Arabien</v>
      </c>
      <c r="J80" s="80"/>
      <c r="K80" s="4"/>
      <c r="L80" s="4"/>
      <c r="M80" s="4"/>
      <c r="N80" s="4"/>
      <c r="O80" s="4"/>
      <c r="P80" s="80" t="str">
        <f>IF(P79=Q79,"Unentschieden",IF(P79&gt;Q79,P78,Q78))</f>
        <v>Senegal</v>
      </c>
      <c r="Q80" s="80"/>
      <c r="R80" s="4"/>
      <c r="S80" s="4"/>
      <c r="T80" s="4"/>
      <c r="U80" s="4"/>
      <c r="V80" s="4"/>
      <c r="W80" s="80" t="str">
        <f>IF(W79=X79,"Unentschieden",IF(W79&gt;X79,W78,X78))</f>
        <v>Unentschieden</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7</v>
      </c>
      <c r="E84" s="1">
        <f>C52+C63+B74</f>
        <v>1</v>
      </c>
      <c r="F84" s="1">
        <f>D84-E84</f>
        <v>6</v>
      </c>
      <c r="G84" s="4"/>
      <c r="H84" s="37"/>
      <c r="I84" s="2" t="s">
        <v>65</v>
      </c>
      <c r="J84" s="1">
        <f>I54+I65+J76</f>
        <v>9</v>
      </c>
      <c r="K84" s="1">
        <f>I52+I63+J74</f>
        <v>12</v>
      </c>
      <c r="L84" s="1">
        <f>J52+J63+I74</f>
        <v>2</v>
      </c>
      <c r="M84" s="1">
        <f>K84-L84</f>
        <v>10</v>
      </c>
      <c r="N84" s="4"/>
      <c r="O84" s="13"/>
      <c r="P84" s="2" t="s">
        <v>67</v>
      </c>
      <c r="Q84" s="1">
        <f>P54+P65+Q76</f>
        <v>7</v>
      </c>
      <c r="R84" s="1">
        <f>P52+P63+Q74</f>
        <v>9</v>
      </c>
      <c r="S84" s="1">
        <f>Q52+Q63+P74</f>
        <v>4</v>
      </c>
      <c r="T84" s="1">
        <f>R84-S84</f>
        <v>5</v>
      </c>
      <c r="U84" s="4"/>
      <c r="V84" s="13"/>
      <c r="W84" s="2" t="s">
        <v>69</v>
      </c>
      <c r="X84" s="1">
        <f>W54+W65+X76</f>
        <v>7</v>
      </c>
      <c r="Y84" s="1">
        <f>W52+W63+X74</f>
        <v>4</v>
      </c>
      <c r="Z84" s="1">
        <f>X52+X63+W74</f>
        <v>0</v>
      </c>
      <c r="AA84" s="1">
        <f>Y84-Z84</f>
        <v>4</v>
      </c>
      <c r="AB84" s="4"/>
      <c r="AC84" s="13"/>
      <c r="AD84" s="2" t="s">
        <v>71</v>
      </c>
      <c r="AE84" s="1">
        <f>AD54+AD65+AE76</f>
        <v>7</v>
      </c>
      <c r="AF84" s="1">
        <f>AD52+AD63+AE74</f>
        <v>3</v>
      </c>
      <c r="AG84" s="1">
        <f>AE52+AE63+AD74</f>
        <v>0</v>
      </c>
      <c r="AH84" s="1">
        <f>AF84-AG84</f>
        <v>3</v>
      </c>
      <c r="AI84" s="4"/>
      <c r="AJ84" s="4"/>
      <c r="AK84" s="2" t="s">
        <v>73</v>
      </c>
      <c r="AL84" s="1">
        <f>AK54+AK65+AL76</f>
        <v>7</v>
      </c>
      <c r="AM84" s="1">
        <f>AK52+AK63+AL74</f>
        <v>5</v>
      </c>
      <c r="AN84" s="1">
        <f>AL52+AL63+AK74</f>
        <v>1</v>
      </c>
      <c r="AO84" s="1">
        <f>AM84-AN84</f>
        <v>4</v>
      </c>
      <c r="AP84" s="4"/>
    </row>
    <row r="85" spans="1:42" ht="17.399999999999999" customHeight="1" x14ac:dyDescent="0.45">
      <c r="A85" s="37"/>
      <c r="B85" s="2" t="s">
        <v>64</v>
      </c>
      <c r="C85" s="1">
        <f>C54+C70+B81</f>
        <v>3</v>
      </c>
      <c r="D85" s="1">
        <f>C52+C68+B79</f>
        <v>4</v>
      </c>
      <c r="E85" s="1">
        <f>B52+B68+C79</f>
        <v>4</v>
      </c>
      <c r="F85" s="1">
        <f t="shared" ref="F85:F87" si="6">D85-E85</f>
        <v>0</v>
      </c>
      <c r="G85" s="4"/>
      <c r="H85" s="37"/>
      <c r="I85" s="2" t="s">
        <v>66</v>
      </c>
      <c r="J85" s="1">
        <f>J54+J70+I81</f>
        <v>0</v>
      </c>
      <c r="K85" s="1">
        <f>J52+J68+I79</f>
        <v>0</v>
      </c>
      <c r="L85" s="1">
        <f>I52+I68+J79</f>
        <v>11</v>
      </c>
      <c r="M85" s="1">
        <f t="shared" ref="M85:M87" si="7">K85-L85</f>
        <v>-11</v>
      </c>
      <c r="N85" s="4"/>
      <c r="O85" s="13"/>
      <c r="P85" s="2" t="s">
        <v>68</v>
      </c>
      <c r="Q85" s="1">
        <f>Q54+Q70+P81</f>
        <v>3</v>
      </c>
      <c r="R85" s="1">
        <f>Q52+Q68+P79</f>
        <v>6</v>
      </c>
      <c r="S85" s="1">
        <f>P52+P68+Q79</f>
        <v>7</v>
      </c>
      <c r="T85" s="1">
        <f t="shared" ref="T85:T87" si="8">R85-S85</f>
        <v>-1</v>
      </c>
      <c r="U85" s="4"/>
      <c r="V85" s="13"/>
      <c r="W85" s="2" t="s">
        <v>70</v>
      </c>
      <c r="X85" s="1">
        <f>X54+X70+W81</f>
        <v>4</v>
      </c>
      <c r="Y85" s="1">
        <f>X52+X68+W79</f>
        <v>3</v>
      </c>
      <c r="Z85" s="1">
        <f>W52+W68+X79</f>
        <v>2</v>
      </c>
      <c r="AA85" s="1">
        <f t="shared" ref="AA85:AA87" si="9">Y85-Z85</f>
        <v>1</v>
      </c>
      <c r="AB85" s="4"/>
      <c r="AC85" s="13"/>
      <c r="AD85" s="2" t="s">
        <v>72</v>
      </c>
      <c r="AE85" s="1">
        <f>AE54+AE70+AD81</f>
        <v>3</v>
      </c>
      <c r="AF85" s="1">
        <f>AE52+AE68+AD79</f>
        <v>4</v>
      </c>
      <c r="AG85" s="1">
        <f>AD52+AD68+AE79</f>
        <v>3</v>
      </c>
      <c r="AH85" s="1">
        <f t="shared" ref="AH85:AH87" si="10">AF85-AG85</f>
        <v>1</v>
      </c>
      <c r="AI85" s="4"/>
      <c r="AJ85" s="4"/>
      <c r="AK85" s="2" t="s">
        <v>74</v>
      </c>
      <c r="AL85" s="1">
        <f>AL54+AL70+AK81</f>
        <v>7</v>
      </c>
      <c r="AM85" s="1">
        <f>AL52+AL68+AK79</f>
        <v>6</v>
      </c>
      <c r="AN85" s="1">
        <f>AK52+AK68+AL79</f>
        <v>2</v>
      </c>
      <c r="AO85" s="1">
        <f t="shared" ref="AO85:AO87" si="11">AM85-AN85</f>
        <v>4</v>
      </c>
      <c r="AP85" s="4"/>
    </row>
    <row r="86" spans="1:42" ht="17.399999999999999" customHeight="1" x14ac:dyDescent="0.45">
      <c r="A86" s="36"/>
      <c r="B86" s="2" t="s">
        <v>75</v>
      </c>
      <c r="C86" s="1">
        <f>B59+C65+C81</f>
        <v>6</v>
      </c>
      <c r="D86" s="1">
        <f>B57+C63+C79</f>
        <v>4</v>
      </c>
      <c r="E86" s="1">
        <f>C57+B63+B79</f>
        <v>4</v>
      </c>
      <c r="F86" s="1">
        <f t="shared" si="6"/>
        <v>0</v>
      </c>
      <c r="G86" s="4"/>
      <c r="H86" s="36"/>
      <c r="I86" s="2" t="s">
        <v>77</v>
      </c>
      <c r="J86" s="1">
        <f>I59+J65+J81</f>
        <v>3</v>
      </c>
      <c r="K86" s="1">
        <f>I57+J63+J79</f>
        <v>4</v>
      </c>
      <c r="L86" s="1">
        <f>J57+I63+I79</f>
        <v>6</v>
      </c>
      <c r="M86" s="1">
        <f t="shared" si="7"/>
        <v>-2</v>
      </c>
      <c r="N86" s="4"/>
      <c r="O86" s="13"/>
      <c r="P86" s="2" t="s">
        <v>79</v>
      </c>
      <c r="Q86" s="1">
        <f>P59+Q65+Q81</f>
        <v>0</v>
      </c>
      <c r="R86" s="1">
        <f>P57+Q63+Q79</f>
        <v>1</v>
      </c>
      <c r="S86" s="1">
        <f>Q57+P63+P79</f>
        <v>8</v>
      </c>
      <c r="T86" s="1">
        <f t="shared" si="8"/>
        <v>-7</v>
      </c>
      <c r="U86" s="4"/>
      <c r="V86" s="13"/>
      <c r="W86" s="2" t="s">
        <v>81</v>
      </c>
      <c r="X86" s="1">
        <f>W59+X65+X81</f>
        <v>5</v>
      </c>
      <c r="Y86" s="1">
        <f>W57+X63+X79</f>
        <v>3</v>
      </c>
      <c r="Z86" s="1">
        <f>X57+W63+W79</f>
        <v>1</v>
      </c>
      <c r="AA86" s="1">
        <f t="shared" si="9"/>
        <v>2</v>
      </c>
      <c r="AB86" s="4"/>
      <c r="AC86" s="13"/>
      <c r="AD86" s="2" t="s">
        <v>83</v>
      </c>
      <c r="AE86" s="1">
        <f>AD59+AE65+AE81</f>
        <v>0</v>
      </c>
      <c r="AF86" s="1">
        <f>AD57+AE63+AE79</f>
        <v>0</v>
      </c>
      <c r="AG86" s="1">
        <f>AE57+AD63+AD79</f>
        <v>8</v>
      </c>
      <c r="AH86" s="1">
        <f t="shared" si="10"/>
        <v>-8</v>
      </c>
      <c r="AI86" s="4"/>
      <c r="AJ86" s="4"/>
      <c r="AK86" s="2" t="s">
        <v>85</v>
      </c>
      <c r="AL86" s="1">
        <f>AK59+AL65+AL81</f>
        <v>0</v>
      </c>
      <c r="AM86" s="1">
        <f>AK57+AL63+AL79</f>
        <v>2</v>
      </c>
      <c r="AN86" s="1">
        <f>AL57+AK63+AK79</f>
        <v>6</v>
      </c>
      <c r="AO86" s="1">
        <f t="shared" si="11"/>
        <v>-4</v>
      </c>
      <c r="AP86" s="4"/>
    </row>
    <row r="87" spans="1:42" x14ac:dyDescent="0.45">
      <c r="A87" s="35"/>
      <c r="B87" s="2" t="s">
        <v>76</v>
      </c>
      <c r="C87" s="1">
        <f>C59+B70+B76</f>
        <v>0</v>
      </c>
      <c r="D87" s="1">
        <f>C57+B68+B74</f>
        <v>0</v>
      </c>
      <c r="E87" s="1">
        <f>B57+C68+C74</f>
        <v>6</v>
      </c>
      <c r="F87" s="1">
        <f t="shared" si="6"/>
        <v>-6</v>
      </c>
      <c r="G87" s="4"/>
      <c r="H87" s="35"/>
      <c r="I87" s="2" t="s">
        <v>78</v>
      </c>
      <c r="J87" s="1">
        <f>J59+I70+I76</f>
        <v>6</v>
      </c>
      <c r="K87" s="1">
        <f>J57+I68+I74</f>
        <v>5</v>
      </c>
      <c r="L87" s="1">
        <f>I57+J68+J74</f>
        <v>2</v>
      </c>
      <c r="M87" s="1">
        <f t="shared" si="7"/>
        <v>3</v>
      </c>
      <c r="N87" s="4"/>
      <c r="O87" s="13"/>
      <c r="P87" s="2" t="s">
        <v>80</v>
      </c>
      <c r="Q87" s="1">
        <f>Q59+P70+P76</f>
        <v>7</v>
      </c>
      <c r="R87" s="1">
        <f>Q57+P68+P74</f>
        <v>8</v>
      </c>
      <c r="S87" s="1">
        <f>P57+Q68+Q74</f>
        <v>5</v>
      </c>
      <c r="T87" s="1">
        <f t="shared" si="8"/>
        <v>3</v>
      </c>
      <c r="U87" s="4"/>
      <c r="V87" s="13"/>
      <c r="W87" s="2" t="s">
        <v>82</v>
      </c>
      <c r="X87" s="1">
        <f>X59+W70+W76</f>
        <v>0</v>
      </c>
      <c r="Y87" s="1">
        <f>X57+W68+W74</f>
        <v>0</v>
      </c>
      <c r="Z87" s="1">
        <f>W57+X68+X74</f>
        <v>7</v>
      </c>
      <c r="AA87" s="1">
        <f t="shared" si="9"/>
        <v>-7</v>
      </c>
      <c r="AB87" s="4"/>
      <c r="AC87" s="13"/>
      <c r="AD87" s="2" t="s">
        <v>84</v>
      </c>
      <c r="AE87" s="1">
        <f>AE59+AD70+AD76</f>
        <v>7</v>
      </c>
      <c r="AF87" s="1">
        <f>AE57+AD68+AD74</f>
        <v>5</v>
      </c>
      <c r="AG87" s="1">
        <f>AD57+AE68+AE74</f>
        <v>1</v>
      </c>
      <c r="AH87" s="1">
        <f t="shared" si="10"/>
        <v>4</v>
      </c>
      <c r="AI87" s="4"/>
      <c r="AJ87" s="4"/>
      <c r="AK87" s="2" t="s">
        <v>86</v>
      </c>
      <c r="AL87" s="1">
        <f>AL59+AK70+AK76</f>
        <v>3</v>
      </c>
      <c r="AM87" s="1">
        <f>AL57+AK68+AK74</f>
        <v>2</v>
      </c>
      <c r="AN87" s="1">
        <f>AK57+AL68+AL74</f>
        <v>6</v>
      </c>
      <c r="AO87" s="1">
        <f t="shared" si="11"/>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7</v>
      </c>
      <c r="E90" s="1" cm="1">
        <f t="array" ref="E90:E93">_xlfn.SORTBY(E84:E87,C84:C87,-1,F84:F87,-1,D84:D87,-1)</f>
        <v>1</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12</v>
      </c>
      <c r="L90" s="1" cm="1">
        <f t="array" ref="L90:L93">_xlfn.SORTBY(L84:L87,J84:J87,-1,M84:M87,-1,K84:K87,-1)</f>
        <v>2</v>
      </c>
      <c r="M90" s="1" cm="1">
        <f t="array" ref="M90:M93">_xlfn.SORTBY(M84:M87,J84:J87,-1,M84:M87,-1,K84:K87,-1)</f>
        <v>10</v>
      </c>
      <c r="N90" s="4"/>
      <c r="O90" s="33">
        <v>1</v>
      </c>
      <c r="P90" s="2" t="str" cm="1">
        <f t="array" ref="P90:P93">_xlfn.SORTBY(P84:P87,Q84:Q87,-1,T84:T87,-1,R84:R87,-1)</f>
        <v>Frankreich</v>
      </c>
      <c r="Q90" s="1" cm="1">
        <f t="array" ref="Q90:Q93">_xlfn.SORTBY(Q84:Q87,Q84:Q87,-1,T84:T87,-1,R84:R87,-1)</f>
        <v>7</v>
      </c>
      <c r="R90" s="1" cm="1">
        <f t="array" ref="R90:R93">_xlfn.SORTBY(R84:R87,Q84:Q87,-1,T84:T87,-1,R84:R87,-1)</f>
        <v>9</v>
      </c>
      <c r="S90" s="1" cm="1">
        <f t="array" ref="S90:S93">_xlfn.SORTBY(S84:S87,Q84:Q87,-1,T84:T87,-1,R84:R87,-1)</f>
        <v>4</v>
      </c>
      <c r="T90" s="1" cm="1">
        <f t="array" ref="T90:T93">_xlfn.SORTBY(T84:T87,Q84:Q87,-1,T84:T87,-1,R84:R87,-1)</f>
        <v>5</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4</v>
      </c>
      <c r="Z90" s="1" cm="1">
        <f t="array" ref="Z90:Z93">_xlfn.SORTBY(Z84:Z87,X84:X87,-1,AA84:AA87,-1,Y84:Y87,-1)</f>
        <v>0</v>
      </c>
      <c r="AA90" s="1" cm="1">
        <f t="array" ref="AA90:AA93">_xlfn.SORTBY(AA84:AA87,X84:X87,-1,AA84:AA87,-1,Y84:Y87,-1)</f>
        <v>4</v>
      </c>
      <c r="AB90" s="4"/>
      <c r="AC90" s="33">
        <v>1</v>
      </c>
      <c r="AD90" s="2" t="str" cm="1">
        <f t="array" ref="AD90:AD93">_xlfn.SORTBY(AD84:AD87,AE84:AE87,-1,AH84:AH87,-1,AF84:AF87,-1)</f>
        <v>Kolumbien</v>
      </c>
      <c r="AE90" s="1" cm="1">
        <f t="array" ref="AE90:AE93">_xlfn.SORTBY(AE84:AE87,AE84:AE87,-1,AH84:AH87,-1,AF84:AF87,-1)</f>
        <v>7</v>
      </c>
      <c r="AF90" s="1" cm="1">
        <f t="array" ref="AF90:AF93">_xlfn.SORTBY(AF84:AF87,AE84:AE87,-1,AH84:AH87,-1,AF84:AF87,-1)</f>
        <v>5</v>
      </c>
      <c r="AG90" s="1" cm="1">
        <f t="array" ref="AG90:AG93">_xlfn.SORTBY(AG84:AG87,AE84:AE87,-1,AH84:AH87,-1,AF84:AF87,-1)</f>
        <v>1</v>
      </c>
      <c r="AH90" s="1" cm="1">
        <f t="array" ref="AH90:AH93">_xlfn.SORTBY(AH84:AH87,AE84:AE87,-1,AH84:AH87,-1,AF84:AF87,-1)</f>
        <v>4</v>
      </c>
      <c r="AI90" s="4"/>
      <c r="AJ90" s="33">
        <v>1</v>
      </c>
      <c r="AK90" s="2" t="str" cm="1">
        <f t="array" ref="AK90:AK93">_xlfn.SORTBY(AK84:AK87,AL84:AL87,-1,AO84:AO87,-1,AM84:AM87,-1)</f>
        <v>Kroatien</v>
      </c>
      <c r="AL90" s="1" cm="1">
        <f t="array" ref="AL90:AL93">_xlfn.SORTBY(AL84:AL87,AL84:AL87,-1,AO84:AO87,-1,AM84:AM87,-1)</f>
        <v>7</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Iran</v>
      </c>
      <c r="C91" s="1">
        <v>6</v>
      </c>
      <c r="D91" s="1">
        <v>4</v>
      </c>
      <c r="E91" s="1">
        <v>4</v>
      </c>
      <c r="F91" s="1">
        <v>0</v>
      </c>
      <c r="G91" s="4"/>
      <c r="H91" s="33">
        <v>2</v>
      </c>
      <c r="I91" s="2" t="str">
        <v>Uruguay</v>
      </c>
      <c r="J91" s="1">
        <v>6</v>
      </c>
      <c r="K91" s="1">
        <v>5</v>
      </c>
      <c r="L91" s="1">
        <v>2</v>
      </c>
      <c r="M91" s="1">
        <v>3</v>
      </c>
      <c r="N91" s="4"/>
      <c r="O91" s="33">
        <v>2</v>
      </c>
      <c r="P91" s="2" t="str">
        <v>Norwegen</v>
      </c>
      <c r="Q91" s="1">
        <v>7</v>
      </c>
      <c r="R91" s="1">
        <v>8</v>
      </c>
      <c r="S91" s="1">
        <v>5</v>
      </c>
      <c r="T91" s="1">
        <v>3</v>
      </c>
      <c r="U91" s="4"/>
      <c r="V91" s="33">
        <v>2</v>
      </c>
      <c r="W91" s="2" t="str">
        <v>Österreich</v>
      </c>
      <c r="X91" s="1">
        <v>5</v>
      </c>
      <c r="Y91" s="1">
        <v>3</v>
      </c>
      <c r="Z91" s="1">
        <v>1</v>
      </c>
      <c r="AA91" s="1">
        <v>2</v>
      </c>
      <c r="AB91" s="4"/>
      <c r="AC91" s="33">
        <v>2</v>
      </c>
      <c r="AD91" s="2" t="str">
        <v>Portugal</v>
      </c>
      <c r="AE91" s="1">
        <v>7</v>
      </c>
      <c r="AF91" s="1">
        <v>3</v>
      </c>
      <c r="AG91" s="1">
        <v>0</v>
      </c>
      <c r="AH91" s="1">
        <v>3</v>
      </c>
      <c r="AI91" s="4"/>
      <c r="AJ91" s="33">
        <v>2</v>
      </c>
      <c r="AK91" s="2" t="str">
        <v>England</v>
      </c>
      <c r="AL91" s="1">
        <v>7</v>
      </c>
      <c r="AM91" s="1">
        <v>5</v>
      </c>
      <c r="AN91" s="1">
        <v>1</v>
      </c>
      <c r="AO91" s="1">
        <v>4</v>
      </c>
      <c r="AP91" s="4"/>
    </row>
    <row r="92" spans="1:42" x14ac:dyDescent="0.45">
      <c r="A92" s="34">
        <v>3</v>
      </c>
      <c r="B92" s="2" t="str">
        <v>Ägypten</v>
      </c>
      <c r="C92" s="1">
        <v>3</v>
      </c>
      <c r="D92" s="1">
        <v>4</v>
      </c>
      <c r="E92" s="1">
        <v>4</v>
      </c>
      <c r="F92" s="1">
        <v>0</v>
      </c>
      <c r="G92" s="4"/>
      <c r="H92" s="34">
        <v>3</v>
      </c>
      <c r="I92" s="2" t="str">
        <v>Saudi-Arabien</v>
      </c>
      <c r="J92" s="1">
        <v>3</v>
      </c>
      <c r="K92" s="1">
        <v>4</v>
      </c>
      <c r="L92" s="1">
        <v>6</v>
      </c>
      <c r="M92" s="1">
        <v>-2</v>
      </c>
      <c r="N92" s="4"/>
      <c r="O92" s="34">
        <v>3</v>
      </c>
      <c r="P92" s="2" t="str">
        <v>Senegal</v>
      </c>
      <c r="Q92" s="1">
        <v>3</v>
      </c>
      <c r="R92" s="1">
        <v>6</v>
      </c>
      <c r="S92" s="1">
        <v>7</v>
      </c>
      <c r="T92" s="1">
        <v>-1</v>
      </c>
      <c r="U92" s="4"/>
      <c r="V92" s="34">
        <v>3</v>
      </c>
      <c r="W92" s="2" t="str">
        <v>Algerien</v>
      </c>
      <c r="X92" s="1">
        <v>4</v>
      </c>
      <c r="Y92" s="1">
        <v>3</v>
      </c>
      <c r="Z92" s="1">
        <v>2</v>
      </c>
      <c r="AA92" s="1">
        <v>1</v>
      </c>
      <c r="AB92" s="4"/>
      <c r="AC92" s="34">
        <v>3</v>
      </c>
      <c r="AD92" s="2" t="str">
        <v>DR Kongo</v>
      </c>
      <c r="AE92" s="1">
        <v>3</v>
      </c>
      <c r="AF92" s="1">
        <v>4</v>
      </c>
      <c r="AG92" s="1">
        <v>3</v>
      </c>
      <c r="AH92" s="1">
        <v>1</v>
      </c>
      <c r="AI92" s="4"/>
      <c r="AJ92" s="34">
        <v>3</v>
      </c>
      <c r="AK92" s="2" t="str">
        <v>Panama</v>
      </c>
      <c r="AL92" s="1">
        <v>3</v>
      </c>
      <c r="AM92" s="1">
        <v>2</v>
      </c>
      <c r="AN92" s="1">
        <v>6</v>
      </c>
      <c r="AO92" s="1">
        <v>-4</v>
      </c>
      <c r="AP92" s="4"/>
    </row>
    <row r="93" spans="1:42" x14ac:dyDescent="0.45">
      <c r="A93" s="32">
        <v>4</v>
      </c>
      <c r="B93" s="2" t="str">
        <v>Neuseeland</v>
      </c>
      <c r="C93" s="1">
        <v>0</v>
      </c>
      <c r="D93" s="1">
        <v>0</v>
      </c>
      <c r="E93" s="1">
        <v>6</v>
      </c>
      <c r="F93" s="1">
        <v>-6</v>
      </c>
      <c r="G93" s="4"/>
      <c r="H93" s="32">
        <v>4</v>
      </c>
      <c r="I93" s="2" t="str">
        <v>Kap Verde</v>
      </c>
      <c r="J93" s="1">
        <v>0</v>
      </c>
      <c r="K93" s="1">
        <v>0</v>
      </c>
      <c r="L93" s="1">
        <v>11</v>
      </c>
      <c r="M93" s="1">
        <v>-11</v>
      </c>
      <c r="N93" s="4"/>
      <c r="O93" s="32">
        <v>4</v>
      </c>
      <c r="P93" s="2" t="str">
        <v>Irak</v>
      </c>
      <c r="Q93" s="1">
        <v>0</v>
      </c>
      <c r="R93" s="1">
        <v>1</v>
      </c>
      <c r="S93" s="1">
        <v>8</v>
      </c>
      <c r="T93" s="1">
        <v>-7</v>
      </c>
      <c r="U93" s="4"/>
      <c r="V93" s="32">
        <v>4</v>
      </c>
      <c r="W93" s="2" t="str">
        <v>Jordanien</v>
      </c>
      <c r="X93" s="1">
        <v>0</v>
      </c>
      <c r="Y93" s="1">
        <v>0</v>
      </c>
      <c r="Z93" s="1">
        <v>7</v>
      </c>
      <c r="AA93" s="1">
        <v>-7</v>
      </c>
      <c r="AB93" s="4"/>
      <c r="AC93" s="32">
        <v>4</v>
      </c>
      <c r="AD93" s="2" t="str">
        <v>Usbekistan</v>
      </c>
      <c r="AE93" s="1">
        <v>0</v>
      </c>
      <c r="AF93" s="1">
        <v>0</v>
      </c>
      <c r="AG93" s="1">
        <v>8</v>
      </c>
      <c r="AH93" s="1">
        <v>-8</v>
      </c>
      <c r="AI93" s="4"/>
      <c r="AJ93" s="32">
        <v>4</v>
      </c>
      <c r="AK93" s="2" t="str">
        <v>Ghana</v>
      </c>
      <c r="AL93" s="1">
        <v>0</v>
      </c>
      <c r="AM93" s="1">
        <v>2</v>
      </c>
      <c r="AN93" s="1">
        <v>6</v>
      </c>
      <c r="AO93" s="1">
        <v>-4</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Ägypten</v>
      </c>
      <c r="S98" s="82"/>
      <c r="T98" s="82"/>
      <c r="U98" s="2">
        <f>C92</f>
        <v>3</v>
      </c>
      <c r="V98" s="2">
        <f>D92</f>
        <v>4</v>
      </c>
      <c r="W98" s="2">
        <f>E92</f>
        <v>4</v>
      </c>
      <c r="X98" s="2">
        <f>F92</f>
        <v>0</v>
      </c>
    </row>
    <row r="99" spans="17:24" x14ac:dyDescent="0.45">
      <c r="Q99"/>
      <c r="R99" s="82" t="str">
        <f>I92</f>
        <v>Saudi-Arabien</v>
      </c>
      <c r="S99" s="82"/>
      <c r="T99" s="82"/>
      <c r="U99" s="2">
        <f>J92</f>
        <v>3</v>
      </c>
      <c r="V99" s="2">
        <f>K92</f>
        <v>4</v>
      </c>
      <c r="W99" s="2">
        <f>L92</f>
        <v>6</v>
      </c>
      <c r="X99" s="2">
        <f>M92</f>
        <v>-2</v>
      </c>
    </row>
    <row r="100" spans="17:24" x14ac:dyDescent="0.45">
      <c r="Q100"/>
      <c r="R100" s="82" t="str">
        <f>P92</f>
        <v>Senegal</v>
      </c>
      <c r="S100" s="82"/>
      <c r="T100" s="82"/>
      <c r="U100" s="2">
        <f>Q92</f>
        <v>3</v>
      </c>
      <c r="V100" s="2">
        <f>R92</f>
        <v>6</v>
      </c>
      <c r="W100" s="2">
        <f>S92</f>
        <v>7</v>
      </c>
      <c r="X100" s="2">
        <f>T92</f>
        <v>-1</v>
      </c>
    </row>
    <row r="101" spans="17:24" x14ac:dyDescent="0.45">
      <c r="Q101"/>
      <c r="R101" s="82" t="str">
        <f>W92</f>
        <v>Algerien</v>
      </c>
      <c r="S101" s="82"/>
      <c r="T101" s="82"/>
      <c r="U101" s="2">
        <f>X92</f>
        <v>4</v>
      </c>
      <c r="V101" s="2">
        <f>Y92</f>
        <v>3</v>
      </c>
      <c r="W101" s="2">
        <f>Z92</f>
        <v>2</v>
      </c>
      <c r="X101" s="2">
        <f>AA92</f>
        <v>1</v>
      </c>
    </row>
    <row r="102" spans="17:24" x14ac:dyDescent="0.45">
      <c r="Q102"/>
      <c r="R102" s="82" t="str">
        <f>AD92</f>
        <v>DR Kongo</v>
      </c>
      <c r="S102" s="82"/>
      <c r="T102" s="82"/>
      <c r="U102" s="2">
        <f>AE92</f>
        <v>3</v>
      </c>
      <c r="V102" s="2">
        <f>AF92</f>
        <v>4</v>
      </c>
      <c r="W102" s="2">
        <f>AG92</f>
        <v>3</v>
      </c>
      <c r="X102" s="2">
        <f t="shared" ref="X102" si="12">AH92</f>
        <v>1</v>
      </c>
    </row>
    <row r="103" spans="17:24" x14ac:dyDescent="0.45">
      <c r="Q103"/>
      <c r="R103" s="82" t="str">
        <f>AK92</f>
        <v>Panama</v>
      </c>
      <c r="S103" s="82"/>
      <c r="T103" s="82"/>
      <c r="U103" s="2">
        <f>AL92</f>
        <v>3</v>
      </c>
      <c r="V103" s="2">
        <f t="shared" ref="V103:X103" si="13">AM92</f>
        <v>2</v>
      </c>
      <c r="W103" s="2">
        <f t="shared" si="13"/>
        <v>6</v>
      </c>
      <c r="X103" s="2">
        <f t="shared" si="13"/>
        <v>-4</v>
      </c>
    </row>
    <row r="104" spans="17:24" x14ac:dyDescent="0.45">
      <c r="R104" s="82" t="str">
        <f>B45</f>
        <v>Tschechien</v>
      </c>
      <c r="S104" s="82"/>
      <c r="T104" s="82"/>
      <c r="U104" s="2">
        <f>C45</f>
        <v>3</v>
      </c>
      <c r="V104" s="2">
        <f t="shared" ref="V104:X104" si="14">D45</f>
        <v>4</v>
      </c>
      <c r="W104" s="2">
        <f t="shared" si="14"/>
        <v>5</v>
      </c>
      <c r="X104" s="2">
        <f t="shared" si="14"/>
        <v>-1</v>
      </c>
    </row>
    <row r="105" spans="17:24" x14ac:dyDescent="0.45">
      <c r="R105" s="82" t="str">
        <f>I45</f>
        <v>Bosnien-Herz.</v>
      </c>
      <c r="S105" s="82"/>
      <c r="T105" s="82"/>
      <c r="U105" s="2">
        <f>J45</f>
        <v>3</v>
      </c>
      <c r="V105" s="2">
        <f t="shared" ref="V105:X105" si="15">K45</f>
        <v>2</v>
      </c>
      <c r="W105" s="2">
        <f t="shared" si="15"/>
        <v>4</v>
      </c>
      <c r="X105" s="2">
        <f t="shared" si="15"/>
        <v>-2</v>
      </c>
    </row>
    <row r="106" spans="17:24" x14ac:dyDescent="0.45">
      <c r="R106" s="82" t="str">
        <f>P45</f>
        <v>Schottland</v>
      </c>
      <c r="S106" s="82"/>
      <c r="T106" s="82"/>
      <c r="U106" s="2">
        <f>Q45</f>
        <v>4</v>
      </c>
      <c r="V106" s="2">
        <f t="shared" ref="V106:X106" si="16">R45</f>
        <v>4</v>
      </c>
      <c r="W106" s="2">
        <f t="shared" si="16"/>
        <v>2</v>
      </c>
      <c r="X106" s="2">
        <f t="shared" si="16"/>
        <v>2</v>
      </c>
    </row>
    <row r="107" spans="17:24" x14ac:dyDescent="0.45">
      <c r="R107" s="82" t="str">
        <f>W45</f>
        <v>USA</v>
      </c>
      <c r="S107" s="82"/>
      <c r="T107" s="82"/>
      <c r="U107" s="2">
        <f>X45</f>
        <v>3</v>
      </c>
      <c r="V107" s="2">
        <f t="shared" ref="V107:W107" si="17">Y45</f>
        <v>3</v>
      </c>
      <c r="W107" s="2">
        <f t="shared" si="17"/>
        <v>4</v>
      </c>
      <c r="X107" s="2">
        <f>AA45</f>
        <v>-1</v>
      </c>
    </row>
    <row r="108" spans="17:24" x14ac:dyDescent="0.45">
      <c r="R108" s="82" t="str">
        <f>AD45</f>
        <v>Ecuador</v>
      </c>
      <c r="S108" s="82"/>
      <c r="T108" s="82"/>
      <c r="U108" s="2">
        <f>AE45</f>
        <v>4</v>
      </c>
      <c r="V108" s="2">
        <f t="shared" ref="V108:X108" si="18">AF45</f>
        <v>4</v>
      </c>
      <c r="W108" s="2">
        <f t="shared" si="18"/>
        <v>2</v>
      </c>
      <c r="X108" s="2">
        <f t="shared" si="18"/>
        <v>2</v>
      </c>
    </row>
    <row r="109" spans="17:24" x14ac:dyDescent="0.45">
      <c r="R109" s="82" t="str">
        <f>AK45</f>
        <v>Schweden</v>
      </c>
      <c r="S109" s="82"/>
      <c r="T109" s="82"/>
      <c r="U109" s="2">
        <f>AL45</f>
        <v>2</v>
      </c>
      <c r="V109" s="2">
        <f t="shared" ref="V109:W109" si="19">AM45</f>
        <v>3</v>
      </c>
      <c r="W109" s="2">
        <f t="shared" si="19"/>
        <v>4</v>
      </c>
      <c r="X109" s="2">
        <f>AO45</f>
        <v>-1</v>
      </c>
    </row>
    <row r="112" spans="17:24" x14ac:dyDescent="0.45">
      <c r="Q112" s="33">
        <v>1</v>
      </c>
      <c r="R112" s="2" t="str" cm="1">
        <f t="array" ref="R112:R123">_xlfn.SORTBY(R98:R109,U98:U109,-1,X98:X109,-1,V98:V109,-1)</f>
        <v>Schottland</v>
      </c>
      <c r="U112" s="2" cm="1">
        <f t="array" ref="U112:U123">_xlfn.SORTBY(U98:U109,U98:U109,-1,X98:X109,-1,V98:V109,-1)</f>
        <v>4</v>
      </c>
      <c r="V112" s="2" cm="1">
        <f t="array" ref="V112:V123">_xlfn.SORTBY(V98:V109,U98:U109,-1,X98:X109,-1,V98:V109,-1)</f>
        <v>4</v>
      </c>
      <c r="W112" s="2" cm="1">
        <f t="array" ref="W112:W123">_xlfn.SORTBY(W98:W109,U98:U109,-1,X98:X109,-1,V98:V109,-1)</f>
        <v>2</v>
      </c>
      <c r="X112" s="2" cm="1">
        <f t="array" ref="X112:X123">_xlfn.SORTBY(X98:X109,U98:U109,-1,X98:X109,-1,V98:V109,-1)</f>
        <v>2</v>
      </c>
    </row>
    <row r="113" spans="17:24" x14ac:dyDescent="0.45">
      <c r="Q113" s="33">
        <v>2</v>
      </c>
      <c r="R113" s="2" t="str">
        <v>Ecuador</v>
      </c>
      <c r="U113" s="2">
        <v>4</v>
      </c>
      <c r="V113" s="2">
        <v>4</v>
      </c>
      <c r="W113" s="2">
        <v>2</v>
      </c>
      <c r="X113" s="2">
        <v>2</v>
      </c>
    </row>
    <row r="114" spans="17:24" x14ac:dyDescent="0.45">
      <c r="Q114" s="33">
        <v>3</v>
      </c>
      <c r="R114" s="2" t="str">
        <v>Algerien</v>
      </c>
      <c r="U114" s="2">
        <v>4</v>
      </c>
      <c r="V114" s="2">
        <v>3</v>
      </c>
      <c r="W114" s="2">
        <v>2</v>
      </c>
      <c r="X114" s="2">
        <v>1</v>
      </c>
    </row>
    <row r="115" spans="17:24" x14ac:dyDescent="0.45">
      <c r="Q115" s="33">
        <v>4</v>
      </c>
      <c r="R115" s="2" t="str">
        <v>DR Kongo</v>
      </c>
      <c r="U115" s="2">
        <v>3</v>
      </c>
      <c r="V115" s="2">
        <v>4</v>
      </c>
      <c r="W115" s="2">
        <v>3</v>
      </c>
      <c r="X115" s="2">
        <v>1</v>
      </c>
    </row>
    <row r="116" spans="17:24" x14ac:dyDescent="0.45">
      <c r="Q116" s="33">
        <v>5</v>
      </c>
      <c r="R116" s="2" t="str">
        <v>Ägypten</v>
      </c>
      <c r="U116" s="2">
        <v>3</v>
      </c>
      <c r="V116" s="2">
        <v>4</v>
      </c>
      <c r="W116" s="2">
        <v>4</v>
      </c>
      <c r="X116" s="2">
        <v>0</v>
      </c>
    </row>
    <row r="117" spans="17:24" x14ac:dyDescent="0.45">
      <c r="Q117" s="33">
        <v>6</v>
      </c>
      <c r="R117" s="2" t="str">
        <v>Senegal</v>
      </c>
      <c r="U117" s="2">
        <v>3</v>
      </c>
      <c r="V117" s="2">
        <v>6</v>
      </c>
      <c r="W117" s="2">
        <v>7</v>
      </c>
      <c r="X117" s="2">
        <v>-1</v>
      </c>
    </row>
    <row r="118" spans="17:24" x14ac:dyDescent="0.45">
      <c r="Q118" s="33">
        <v>7</v>
      </c>
      <c r="R118" s="2" t="str">
        <v>Tschechien</v>
      </c>
      <c r="U118" s="2">
        <v>3</v>
      </c>
      <c r="V118" s="2">
        <v>4</v>
      </c>
      <c r="W118" s="2">
        <v>5</v>
      </c>
      <c r="X118" s="2">
        <v>-1</v>
      </c>
    </row>
    <row r="119" spans="17:24" x14ac:dyDescent="0.45">
      <c r="Q119" s="33">
        <v>8</v>
      </c>
      <c r="R119" s="2" t="str">
        <v>USA</v>
      </c>
      <c r="U119" s="2">
        <v>3</v>
      </c>
      <c r="V119" s="2">
        <v>3</v>
      </c>
      <c r="W119" s="2">
        <v>4</v>
      </c>
      <c r="X119" s="2">
        <v>-1</v>
      </c>
    </row>
    <row r="120" spans="17:24" x14ac:dyDescent="0.45">
      <c r="Q120" s="32">
        <v>9</v>
      </c>
      <c r="R120" s="2" t="str">
        <v>Saudi-Arabien</v>
      </c>
      <c r="U120" s="2">
        <v>3</v>
      </c>
      <c r="V120" s="2">
        <v>4</v>
      </c>
      <c r="W120" s="2">
        <v>6</v>
      </c>
      <c r="X120" s="2">
        <v>-2</v>
      </c>
    </row>
    <row r="121" spans="17:24" x14ac:dyDescent="0.45">
      <c r="Q121" s="32">
        <v>10</v>
      </c>
      <c r="R121" s="2" t="str">
        <v>Bosnien-Herz.</v>
      </c>
      <c r="U121" s="2">
        <v>3</v>
      </c>
      <c r="V121" s="2">
        <v>2</v>
      </c>
      <c r="W121" s="2">
        <v>4</v>
      </c>
      <c r="X121" s="2">
        <v>-2</v>
      </c>
    </row>
    <row r="122" spans="17:24" x14ac:dyDescent="0.45">
      <c r="Q122" s="32">
        <v>11</v>
      </c>
      <c r="R122" s="2" t="str">
        <v>Panama</v>
      </c>
      <c r="U122" s="2">
        <v>3</v>
      </c>
      <c r="V122" s="2">
        <v>2</v>
      </c>
      <c r="W122" s="2">
        <v>6</v>
      </c>
      <c r="X122" s="2">
        <v>-4</v>
      </c>
    </row>
    <row r="123" spans="17:24" x14ac:dyDescent="0.45">
      <c r="Q123" s="32">
        <v>12</v>
      </c>
      <c r="R123" s="2" t="str">
        <v>Schweden</v>
      </c>
      <c r="U123" s="2">
        <v>2</v>
      </c>
      <c r="V123" s="2">
        <v>3</v>
      </c>
      <c r="W123" s="2">
        <v>4</v>
      </c>
      <c r="X123" s="2">
        <v>-1</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210</v>
      </c>
    </row>
    <row r="155" spans="1:23" x14ac:dyDescent="0.45">
      <c r="A155" s="23" t="s">
        <v>103</v>
      </c>
      <c r="B155" s="24">
        <f>SUM(H160:H231)</f>
        <v>215</v>
      </c>
    </row>
    <row r="156" spans="1:23" x14ac:dyDescent="0.45">
      <c r="A156" s="23" t="s">
        <v>104</v>
      </c>
      <c r="B156" s="24">
        <f>SUM(E234:E265)</f>
        <v>130</v>
      </c>
    </row>
    <row r="157" spans="1:23" x14ac:dyDescent="0.45">
      <c r="A157" s="25" t="s">
        <v>105</v>
      </c>
      <c r="B157" s="26">
        <f>B154+B155+B156</f>
        <v>555</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2</v>
      </c>
      <c r="F161" s="28">
        <f>Realität!C10</f>
        <v>1</v>
      </c>
      <c r="G161" s="28">
        <f>IF(OR(B10="",Realität!B10=""),0,IF(SIGN(B10-C10)=SIGN(Realität!B10-Realität!C10),5,0))</f>
        <v>5</v>
      </c>
      <c r="H161" s="28">
        <f>IF(OR(B10="",Realität!B10=""),0,MAX(0,5-ABS(B10-Realität!B10)-ABS(C10-Realität!C10)))</f>
        <v>5</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0</v>
      </c>
      <c r="H163" s="28">
        <f>IF(OR(B21="",Realität!B21=""),0,MAX(0,5-ABS(B21-Realität!B21)-ABS(C21-Realität!C21)))</f>
        <v>4</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3</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2</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1</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2</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2</v>
      </c>
    </row>
    <row r="174" spans="1:8" x14ac:dyDescent="0.45">
      <c r="A174" s="28">
        <v>15</v>
      </c>
      <c r="B174" s="29" t="s">
        <v>155</v>
      </c>
      <c r="C174" s="30" t="s">
        <v>156</v>
      </c>
      <c r="D174" s="30" t="s">
        <v>157</v>
      </c>
      <c r="E174" s="28">
        <f>Realität!P16</f>
        <v>0</v>
      </c>
      <c r="F174" s="28">
        <f>Realität!Q16</f>
        <v>1</v>
      </c>
      <c r="G174" s="28">
        <f>IF(OR(P16="",Realität!P16=""),0,IF(SIGN(P16-Q16)=SIGN(Realität!P16-Realität!Q16),5,0))</f>
        <v>0</v>
      </c>
      <c r="H174" s="28">
        <f>IF(OR(P16="",Realität!P16=""),0,MAX(0,5-ABS(P16-Realität!P16)-ABS(Q16-Realität!Q16)))</f>
        <v>4</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3</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3</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1</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3</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5</v>
      </c>
      <c r="H185" s="28">
        <f>IF(OR(AD10="",Realität!AD10=""),0,MAX(0,5-ABS(AD10-Realität!AD10)-ABS(AE10-Realität!AE10)))</f>
        <v>5</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0</v>
      </c>
      <c r="H187" s="28">
        <f>IF(OR(AD21="",Realität!AD21=""),0,MAX(0,5-ABS(AD21-Realität!AD21)-ABS(AE21-Realität!AE21)))</f>
        <v>3</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3</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4</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2</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3</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2</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1</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4</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3</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2</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3</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4</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5</v>
      </c>
    </row>
    <row r="212" spans="1:8" x14ac:dyDescent="0.45">
      <c r="A212" s="28">
        <v>53</v>
      </c>
      <c r="B212" s="29" t="s">
        <v>269</v>
      </c>
      <c r="C212" s="30" t="s">
        <v>270</v>
      </c>
      <c r="D212" s="30" t="s">
        <v>271</v>
      </c>
      <c r="E212" s="28">
        <f>Realität!P74</f>
        <v>1</v>
      </c>
      <c r="F212" s="28">
        <f>Realität!Q74</f>
        <v>4</v>
      </c>
      <c r="G212" s="28">
        <f>IF(OR(P74="",Realität!P74=""),0,IF(SIGN(P74-Q74)=SIGN(Realität!P74-Realität!Q74),5,0))</f>
        <v>0</v>
      </c>
      <c r="H212" s="28">
        <f>IF(OR(P74="",Realität!P74=""),0,MAX(0,5-ABS(P74-Realität!P74)-ABS(Q74-Realität!Q74)))</f>
        <v>2</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0</v>
      </c>
      <c r="H216" s="28">
        <f>IF(OR(W63="",Realität!W63=""),0,MAX(0,5-ABS(W63-Realität!W63)-ABS(X63-Realität!X63)))</f>
        <v>3</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5</v>
      </c>
      <c r="H219" s="28">
        <f>IF(OR(W79="",Realität!W79=""),0,MAX(0,5-ABS(W79-Realität!W79)-ABS(X79-Realität!X79)))</f>
        <v>1</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4</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4</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3</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5</v>
      </c>
      <c r="H224" s="28">
        <f>IF(OR(AD74="",Realität!AD74=""),0,MAX(0,5-ABS(AD74-Realität!AD74)-ABS(AE74-Realität!AE74)))</f>
        <v>5</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4</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0</v>
      </c>
      <c r="H226" s="28">
        <f>IF(OR(AK52="",Realität!AK52=""),0,MAX(0,5-ABS(AK52-Realität!AK52)-ABS(AL52-Realität!AL52)))</f>
        <v>1</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0</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5</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5</v>
      </c>
    </row>
    <row r="232" spans="1:8" x14ac:dyDescent="0.45">
      <c r="A232" s="31" t="s">
        <v>329</v>
      </c>
      <c r="F232" s="23" t="s">
        <v>330</v>
      </c>
      <c r="G232" s="24">
        <f>SUM(G160:G231)</f>
        <v>210</v>
      </c>
      <c r="H232" s="24">
        <f>SUM(H160:H231)</f>
        <v>215</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0</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Kanada</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Australien</v>
      </c>
      <c r="D241" s="29" t="str">
        <f>W44</f>
        <v>Australien</v>
      </c>
      <c r="E241" s="28">
        <f t="shared" si="20"/>
        <v>5</v>
      </c>
    </row>
    <row r="242" spans="1:5" x14ac:dyDescent="0.45">
      <c r="A242" s="28">
        <v>9</v>
      </c>
      <c r="B242" s="29" t="s">
        <v>342</v>
      </c>
      <c r="C242" s="29" t="str">
        <f>Realität!AD43</f>
        <v>Deutschland</v>
      </c>
      <c r="D242" s="29" t="str">
        <f>AD43</f>
        <v>Elfenbeinküste</v>
      </c>
      <c r="E242" s="28">
        <f t="shared" si="20"/>
        <v>5</v>
      </c>
    </row>
    <row r="243" spans="1:5" x14ac:dyDescent="0.45">
      <c r="A243" s="28">
        <v>10</v>
      </c>
      <c r="B243" s="29" t="s">
        <v>343</v>
      </c>
      <c r="C243" s="29" t="str">
        <f>Realität!AD44</f>
        <v>Elfenbeinküste</v>
      </c>
      <c r="D243" s="29" t="str">
        <f>AD44</f>
        <v>Deutschland</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0</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Norwegen</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Österreich</v>
      </c>
      <c r="E253" s="28">
        <f t="shared" si="20"/>
        <v>5</v>
      </c>
    </row>
    <row r="254" spans="1:5" x14ac:dyDescent="0.45">
      <c r="A254" s="28">
        <v>21</v>
      </c>
      <c r="B254" s="29" t="s">
        <v>354</v>
      </c>
      <c r="C254" s="29" t="str">
        <f>Realität!AD90</f>
        <v>Kolumbien</v>
      </c>
      <c r="D254" s="29" t="str">
        <f>AD90</f>
        <v>Kolumbien</v>
      </c>
      <c r="E254" s="28">
        <f t="shared" si="20"/>
        <v>5</v>
      </c>
    </row>
    <row r="255" spans="1:5" x14ac:dyDescent="0.45">
      <c r="A255" s="28">
        <v>22</v>
      </c>
      <c r="B255" s="29" t="s">
        <v>355</v>
      </c>
      <c r="C255" s="29" t="str">
        <f>Realität!AD91</f>
        <v>Portugal</v>
      </c>
      <c r="D255" s="29" t="str">
        <f>AD91</f>
        <v>Portugal</v>
      </c>
      <c r="E255" s="28">
        <f t="shared" si="20"/>
        <v>5</v>
      </c>
    </row>
    <row r="256" spans="1:5" x14ac:dyDescent="0.45">
      <c r="A256" s="28">
        <v>23</v>
      </c>
      <c r="B256" s="29" t="s">
        <v>356</v>
      </c>
      <c r="C256" s="29" t="str">
        <f>Realität!AK90</f>
        <v>England</v>
      </c>
      <c r="D256" s="29" t="str">
        <f>AK90</f>
        <v>Kroatien</v>
      </c>
      <c r="E256" s="28">
        <f t="shared" si="20"/>
        <v>5</v>
      </c>
    </row>
    <row r="257" spans="1:5" x14ac:dyDescent="0.45">
      <c r="A257" s="28">
        <v>24</v>
      </c>
      <c r="B257" s="29" t="s">
        <v>357</v>
      </c>
      <c r="C257" s="29" t="str">
        <f>Realität!AK91</f>
        <v>Kroatien</v>
      </c>
      <c r="D257" s="29" t="str">
        <f>AK91</f>
        <v>England</v>
      </c>
      <c r="E257" s="28">
        <f t="shared" si="20"/>
        <v>5</v>
      </c>
    </row>
    <row r="258" spans="1:5" x14ac:dyDescent="0.45">
      <c r="A258" s="28">
        <v>25</v>
      </c>
      <c r="B258" s="29" t="s">
        <v>358</v>
      </c>
      <c r="C258" s="29" t="str">
        <f>Realität!R112</f>
        <v>DR Kongo</v>
      </c>
      <c r="D258" s="29" t="str">
        <f t="shared" ref="D258:D265" si="21">R112</f>
        <v>Schottland</v>
      </c>
      <c r="E258" s="28">
        <f t="shared" si="20"/>
        <v>0</v>
      </c>
    </row>
    <row r="259" spans="1:5" x14ac:dyDescent="0.45">
      <c r="A259" s="28">
        <v>26</v>
      </c>
      <c r="B259" s="29" t="s">
        <v>359</v>
      </c>
      <c r="C259" s="29" t="str">
        <f>Realität!R113</f>
        <v>Schweden</v>
      </c>
      <c r="D259" s="29" t="str">
        <f t="shared" si="21"/>
        <v>Ecuador</v>
      </c>
      <c r="E259" s="28">
        <f t="shared" si="20"/>
        <v>5</v>
      </c>
    </row>
    <row r="260" spans="1:5" x14ac:dyDescent="0.45">
      <c r="A260" s="28">
        <v>27</v>
      </c>
      <c r="B260" s="29" t="s">
        <v>360</v>
      </c>
      <c r="C260" s="29" t="str">
        <f>Realität!R114</f>
        <v>Ghana</v>
      </c>
      <c r="D260" s="29" t="str">
        <f t="shared" si="21"/>
        <v>Algerien</v>
      </c>
      <c r="E260" s="28">
        <f t="shared" si="20"/>
        <v>5</v>
      </c>
    </row>
    <row r="261" spans="1:5" x14ac:dyDescent="0.45">
      <c r="A261" s="28">
        <v>28</v>
      </c>
      <c r="B261" s="29" t="s">
        <v>361</v>
      </c>
      <c r="C261" s="29" t="str">
        <f>Realität!R115</f>
        <v>Ecuador</v>
      </c>
      <c r="D261" s="29" t="str">
        <f t="shared" si="21"/>
        <v>DR Kongo</v>
      </c>
      <c r="E261" s="28">
        <f t="shared" si="20"/>
        <v>5</v>
      </c>
    </row>
    <row r="262" spans="1:5" x14ac:dyDescent="0.45">
      <c r="A262" s="28">
        <v>29</v>
      </c>
      <c r="B262" s="29" t="s">
        <v>362</v>
      </c>
      <c r="C262" s="29" t="str">
        <f>Realität!R116</f>
        <v>Bosnien-Herz.</v>
      </c>
      <c r="D262" s="29" t="str">
        <f t="shared" si="21"/>
        <v>Ägypten</v>
      </c>
      <c r="E262" s="28">
        <f t="shared" si="20"/>
        <v>5</v>
      </c>
    </row>
    <row r="263" spans="1:5" x14ac:dyDescent="0.45">
      <c r="A263" s="28">
        <v>30</v>
      </c>
      <c r="B263" s="29" t="s">
        <v>363</v>
      </c>
      <c r="C263" s="29" t="str">
        <f>Realität!R117</f>
        <v>Algerien</v>
      </c>
      <c r="D263" s="29" t="str">
        <f t="shared" si="21"/>
        <v>Senegal</v>
      </c>
      <c r="E263" s="28">
        <f t="shared" si="20"/>
        <v>5</v>
      </c>
    </row>
    <row r="264" spans="1:5" x14ac:dyDescent="0.45">
      <c r="A264" s="28">
        <v>31</v>
      </c>
      <c r="B264" s="29" t="s">
        <v>364</v>
      </c>
      <c r="C264" s="29" t="str">
        <f>Realität!R118</f>
        <v>Paraguay</v>
      </c>
      <c r="D264" s="29" t="str">
        <f t="shared" si="21"/>
        <v>Tschechien</v>
      </c>
      <c r="E264" s="28">
        <f t="shared" si="20"/>
        <v>0</v>
      </c>
    </row>
    <row r="265" spans="1:5" x14ac:dyDescent="0.45">
      <c r="A265" s="28">
        <v>32</v>
      </c>
      <c r="B265" s="29" t="s">
        <v>365</v>
      </c>
      <c r="C265" s="29" t="str">
        <f>Realität!R119</f>
        <v>Senegal</v>
      </c>
      <c r="D265" s="29" t="str">
        <f t="shared" si="21"/>
        <v>USA</v>
      </c>
      <c r="E265" s="28">
        <f t="shared" si="20"/>
        <v>5</v>
      </c>
    </row>
    <row r="266" spans="1:5" x14ac:dyDescent="0.45">
      <c r="D266" s="23" t="s">
        <v>330</v>
      </c>
      <c r="E266" s="24">
        <f>SUM(E234:E265)</f>
        <v>130</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FCA35-8393-48FE-9FCA-3EB522C6280C}">
  <dimension ref="A1:AP266"/>
  <sheetViews>
    <sheetView zoomScale="68" zoomScaleNormal="132" workbookViewId="0">
      <selection activeCell="AL13" sqref="AL13"/>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79" t="s">
        <v>18</v>
      </c>
      <c r="C1" s="79"/>
      <c r="D1" s="4"/>
      <c r="E1" s="6"/>
      <c r="F1" s="6"/>
      <c r="G1" s="4"/>
      <c r="H1" s="79" t="s">
        <v>19</v>
      </c>
      <c r="I1" s="84"/>
      <c r="J1" s="84"/>
      <c r="K1" s="84"/>
      <c r="L1" s="6"/>
      <c r="M1" s="6"/>
      <c r="N1" s="4"/>
      <c r="O1" s="79" t="s">
        <v>20</v>
      </c>
      <c r="P1" s="84"/>
      <c r="Q1" s="84"/>
      <c r="R1" s="84"/>
      <c r="S1" s="6"/>
      <c r="T1" s="6"/>
      <c r="U1" s="4"/>
      <c r="V1" s="79" t="s">
        <v>21</v>
      </c>
      <c r="W1" s="84"/>
      <c r="X1" s="84"/>
      <c r="Y1" s="84"/>
      <c r="Z1" s="6"/>
      <c r="AA1" s="6"/>
      <c r="AB1" s="4"/>
      <c r="AC1" s="79" t="s">
        <v>22</v>
      </c>
      <c r="AD1" s="84"/>
      <c r="AE1" s="84"/>
      <c r="AF1" s="84"/>
      <c r="AG1" s="6"/>
      <c r="AH1" s="6"/>
      <c r="AI1" s="4"/>
      <c r="AJ1" s="79" t="s">
        <v>23</v>
      </c>
      <c r="AK1" s="84"/>
      <c r="AL1" s="84"/>
      <c r="AM1" s="84"/>
      <c r="AN1" s="6"/>
      <c r="AO1" s="6"/>
      <c r="AP1" s="4"/>
    </row>
    <row r="2" spans="1:42" x14ac:dyDescent="0.45">
      <c r="A2" s="4"/>
      <c r="B2" s="79"/>
      <c r="C2" s="79"/>
      <c r="D2" s="4"/>
      <c r="E2" s="6"/>
      <c r="F2" s="6"/>
      <c r="G2" s="4"/>
      <c r="H2" s="84"/>
      <c r="I2" s="84"/>
      <c r="J2" s="84"/>
      <c r="K2" s="84"/>
      <c r="L2" s="6"/>
      <c r="M2" s="6"/>
      <c r="N2" s="4"/>
      <c r="O2" s="84"/>
      <c r="P2" s="84"/>
      <c r="Q2" s="84"/>
      <c r="R2" s="84"/>
      <c r="S2" s="6"/>
      <c r="T2" s="6"/>
      <c r="U2" s="4"/>
      <c r="V2" s="84"/>
      <c r="W2" s="84"/>
      <c r="X2" s="84"/>
      <c r="Y2" s="84"/>
      <c r="Z2" s="6"/>
      <c r="AA2" s="6"/>
      <c r="AB2" s="4"/>
      <c r="AC2" s="84"/>
      <c r="AD2" s="84"/>
      <c r="AE2" s="84"/>
      <c r="AF2" s="84"/>
      <c r="AG2" s="6"/>
      <c r="AH2" s="6"/>
      <c r="AI2" s="4"/>
      <c r="AJ2" s="84"/>
      <c r="AK2" s="84"/>
      <c r="AL2" s="84"/>
      <c r="AM2" s="84"/>
      <c r="AN2" s="6"/>
      <c r="AO2" s="6"/>
      <c r="AP2" s="4"/>
    </row>
    <row r="3" spans="1:42" x14ac:dyDescent="0.45">
      <c r="A3" s="4"/>
      <c r="B3" s="81" t="s">
        <v>24</v>
      </c>
      <c r="C3" s="81"/>
      <c r="D3" s="4"/>
      <c r="E3" s="4"/>
      <c r="F3" s="4"/>
      <c r="G3" s="4"/>
      <c r="H3" s="4"/>
      <c r="I3" s="81" t="s">
        <v>24</v>
      </c>
      <c r="J3" s="81"/>
      <c r="K3" s="4"/>
      <c r="L3" s="4"/>
      <c r="M3" s="4"/>
      <c r="N3" s="4"/>
      <c r="O3" s="4"/>
      <c r="P3" s="81" t="s">
        <v>24</v>
      </c>
      <c r="Q3" s="81"/>
      <c r="R3" s="4"/>
      <c r="S3" s="4"/>
      <c r="T3" s="4"/>
      <c r="U3" s="4"/>
      <c r="V3" s="4"/>
      <c r="W3" s="81" t="s">
        <v>24</v>
      </c>
      <c r="X3" s="81"/>
      <c r="Y3" s="4"/>
      <c r="Z3" s="4"/>
      <c r="AA3" s="4"/>
      <c r="AB3" s="4"/>
      <c r="AC3" s="4"/>
      <c r="AD3" s="81" t="s">
        <v>24</v>
      </c>
      <c r="AE3" s="81"/>
      <c r="AF3" s="4"/>
      <c r="AG3" s="4"/>
      <c r="AH3" s="4"/>
      <c r="AI3" s="4"/>
      <c r="AJ3" s="4"/>
      <c r="AK3" s="81" t="s">
        <v>24</v>
      </c>
      <c r="AL3" s="81"/>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2</v>
      </c>
      <c r="K5" s="4"/>
      <c r="L5" s="4"/>
      <c r="M5" s="4"/>
      <c r="N5" s="4"/>
      <c r="O5" s="4"/>
      <c r="P5" s="38">
        <v>2</v>
      </c>
      <c r="Q5" s="38">
        <v>0</v>
      </c>
      <c r="R5" s="4"/>
      <c r="S5" s="4"/>
      <c r="T5" s="4"/>
      <c r="U5" s="4"/>
      <c r="V5" s="4"/>
      <c r="W5" s="38">
        <v>1</v>
      </c>
      <c r="X5" s="38">
        <v>1</v>
      </c>
      <c r="Y5" s="4"/>
      <c r="Z5" s="4"/>
      <c r="AA5" s="4"/>
      <c r="AB5" s="4"/>
      <c r="AC5" s="4"/>
      <c r="AD5" s="38">
        <v>2</v>
      </c>
      <c r="AE5" s="38">
        <v>0</v>
      </c>
      <c r="AF5" s="4"/>
      <c r="AG5" s="4"/>
      <c r="AH5" s="4"/>
      <c r="AI5" s="4"/>
      <c r="AJ5" s="4"/>
      <c r="AK5" s="38">
        <v>2</v>
      </c>
      <c r="AL5" s="38">
        <v>0</v>
      </c>
      <c r="AM5" s="4"/>
      <c r="AN5" s="4"/>
      <c r="AO5" s="4"/>
      <c r="AP5" s="4"/>
    </row>
    <row r="6" spans="1:42" x14ac:dyDescent="0.45">
      <c r="A6" s="4"/>
      <c r="B6" s="80" t="str">
        <f>IF(B5=C5,"Unentschieden",IF(B5&gt;C5,B4,C4))</f>
        <v>Mexiko</v>
      </c>
      <c r="C6" s="80"/>
      <c r="D6" s="4"/>
      <c r="E6" s="4"/>
      <c r="F6" s="4"/>
      <c r="G6" s="4"/>
      <c r="H6" s="4"/>
      <c r="I6" s="80" t="str">
        <f>IF(I5=J5,"Unentschieden",IF(I5&gt;J5,I4,J4))</f>
        <v>Bosnien-Herz.</v>
      </c>
      <c r="J6" s="80"/>
      <c r="K6" s="4"/>
      <c r="L6" s="4"/>
      <c r="M6" s="4"/>
      <c r="N6" s="4"/>
      <c r="O6" s="4"/>
      <c r="P6" s="80" t="str">
        <f>IF(P5=Q5,"Unentschieden",IF(P5&gt;Q5,P4,Q4))</f>
        <v>Brasilien</v>
      </c>
      <c r="Q6" s="80"/>
      <c r="R6" s="4"/>
      <c r="S6" s="4"/>
      <c r="T6" s="4"/>
      <c r="U6" s="4"/>
      <c r="V6" s="4"/>
      <c r="W6" s="80" t="str">
        <f>IF(W5=X5,"Unentschieden",IF(W5&gt;X5,W4,X4))</f>
        <v>Unentschieden</v>
      </c>
      <c r="X6" s="80"/>
      <c r="Y6" s="4"/>
      <c r="Z6" s="4"/>
      <c r="AA6" s="4"/>
      <c r="AB6" s="4"/>
      <c r="AC6" s="4"/>
      <c r="AD6" s="80" t="str">
        <f>IF(AD5=AE5,"Unentschieden",IF(AD5&gt;AE5,AD4,AE4))</f>
        <v>Deutschland</v>
      </c>
      <c r="AE6" s="80"/>
      <c r="AF6" s="4"/>
      <c r="AG6" s="4"/>
      <c r="AH6" s="4"/>
      <c r="AI6" s="4"/>
      <c r="AJ6" s="4"/>
      <c r="AK6" s="80"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1</v>
      </c>
      <c r="X7" s="1">
        <f>IF(X5=W5,1,IF(X5&gt;W5,3,0))</f>
        <v>1</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2</v>
      </c>
      <c r="K10" s="4"/>
      <c r="L10" s="4"/>
      <c r="M10" s="4"/>
      <c r="N10" s="4"/>
      <c r="O10" s="4"/>
      <c r="P10" s="38">
        <v>1</v>
      </c>
      <c r="Q10" s="38">
        <v>3</v>
      </c>
      <c r="R10" s="4"/>
      <c r="S10" s="4"/>
      <c r="T10" s="4"/>
      <c r="U10" s="4"/>
      <c r="V10" s="4"/>
      <c r="W10" s="38">
        <v>0</v>
      </c>
      <c r="X10" s="38">
        <v>2</v>
      </c>
      <c r="Y10" s="4"/>
      <c r="Z10" s="4"/>
      <c r="AA10" s="4"/>
      <c r="AB10" s="4"/>
      <c r="AC10" s="4"/>
      <c r="AD10" s="38">
        <v>1</v>
      </c>
      <c r="AE10" s="38">
        <v>1</v>
      </c>
      <c r="AF10" s="4"/>
      <c r="AG10" s="4"/>
      <c r="AH10" s="4"/>
      <c r="AI10" s="4"/>
      <c r="AJ10" s="4"/>
      <c r="AK10" s="38">
        <v>1</v>
      </c>
      <c r="AL10" s="38">
        <v>0</v>
      </c>
      <c r="AM10" s="4"/>
      <c r="AN10" s="4"/>
      <c r="AO10" s="4"/>
      <c r="AP10" s="4"/>
    </row>
    <row r="11" spans="1:42" x14ac:dyDescent="0.45">
      <c r="A11" s="4"/>
      <c r="B11" s="80" t="str">
        <f>IF(B10=C10,"Unentschieden",IF(B10&gt;C10,B9,C9))</f>
        <v>Unentschieden</v>
      </c>
      <c r="C11" s="80"/>
      <c r="D11" s="4"/>
      <c r="E11" s="4"/>
      <c r="F11" s="4"/>
      <c r="G11" s="4"/>
      <c r="H11" s="4"/>
      <c r="I11" s="80" t="str">
        <f>IF(I10=J10,"Unentschieden",IF(I10&gt;J10,I9,J9))</f>
        <v>Schweiz</v>
      </c>
      <c r="J11" s="80"/>
      <c r="K11" s="4"/>
      <c r="L11" s="4"/>
      <c r="M11" s="4"/>
      <c r="N11" s="4"/>
      <c r="O11" s="4"/>
      <c r="P11" s="80" t="str">
        <f>IF(P10=Q10,"Unentschieden",IF(P10&gt;Q10,P9,Q9))</f>
        <v>Schottland</v>
      </c>
      <c r="Q11" s="80"/>
      <c r="R11" s="4"/>
      <c r="S11" s="4"/>
      <c r="T11" s="4"/>
      <c r="U11" s="4"/>
      <c r="V11" s="4"/>
      <c r="W11" s="80" t="str">
        <f>IF(W10=X10,"Unentschieden",IF(W10&gt;X10,W9,X9))</f>
        <v>Türkei</v>
      </c>
      <c r="X11" s="80"/>
      <c r="Y11" s="4"/>
      <c r="Z11" s="4"/>
      <c r="AA11" s="4"/>
      <c r="AB11" s="4"/>
      <c r="AC11" s="4"/>
      <c r="AD11" s="80" t="str">
        <f>IF(AD10=AE10,"Unentschieden",IF(AD10&gt;AE10,AD9,AE9))</f>
        <v>Unentschieden</v>
      </c>
      <c r="AE11" s="80"/>
      <c r="AF11" s="4"/>
      <c r="AG11" s="4"/>
      <c r="AH11" s="4"/>
      <c r="AI11" s="4"/>
      <c r="AJ11" s="4"/>
      <c r="AK11" s="80" t="str">
        <f>IF(AK10=AL10,"Unentschieden",IF(AK10&gt;AL10,AK9,AL9))</f>
        <v>Schweden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1"/>
      <c r="D14" s="4"/>
      <c r="E14" s="4"/>
      <c r="F14" s="4"/>
      <c r="G14" s="4"/>
      <c r="H14" s="4"/>
      <c r="I14" s="81" t="s">
        <v>49</v>
      </c>
      <c r="J14" s="81"/>
      <c r="K14" s="4"/>
      <c r="L14" s="4"/>
      <c r="M14" s="4"/>
      <c r="N14" s="4"/>
      <c r="O14" s="4"/>
      <c r="P14" s="81" t="s">
        <v>49</v>
      </c>
      <c r="Q14" s="81"/>
      <c r="R14" s="4"/>
      <c r="S14" s="4"/>
      <c r="T14" s="4"/>
      <c r="U14" s="4"/>
      <c r="V14" s="4"/>
      <c r="W14" s="81" t="s">
        <v>49</v>
      </c>
      <c r="X14" s="81"/>
      <c r="Y14" s="4"/>
      <c r="Z14" s="4"/>
      <c r="AA14" s="4"/>
      <c r="AB14" s="4"/>
      <c r="AC14" s="4"/>
      <c r="AD14" s="81" t="s">
        <v>49</v>
      </c>
      <c r="AE14" s="81"/>
      <c r="AF14" s="4"/>
      <c r="AG14" s="4"/>
      <c r="AH14" s="4"/>
      <c r="AI14" s="4"/>
      <c r="AJ14" s="4"/>
      <c r="AK14" s="81" t="s">
        <v>49</v>
      </c>
      <c r="AL14" s="81"/>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1</v>
      </c>
      <c r="Q16" s="38">
        <v>2</v>
      </c>
      <c r="R16" s="4"/>
      <c r="S16" s="4"/>
      <c r="T16" s="4"/>
      <c r="U16" s="4"/>
      <c r="V16" s="4"/>
      <c r="W16" s="38">
        <v>1</v>
      </c>
      <c r="X16" s="38">
        <v>0</v>
      </c>
      <c r="Y16" s="4"/>
      <c r="Z16" s="4"/>
      <c r="AA16" s="4"/>
      <c r="AB16" s="4"/>
      <c r="AC16" s="4"/>
      <c r="AD16" s="38">
        <v>2</v>
      </c>
      <c r="AE16" s="38">
        <v>0</v>
      </c>
      <c r="AF16" s="4"/>
      <c r="AG16" s="4"/>
      <c r="AH16" s="4"/>
      <c r="AI16" s="4"/>
      <c r="AJ16" s="4"/>
      <c r="AK16" s="38">
        <v>1</v>
      </c>
      <c r="AL16" s="38">
        <v>2</v>
      </c>
      <c r="AM16" s="4"/>
      <c r="AN16" s="4"/>
      <c r="AO16" s="4"/>
      <c r="AP16" s="4"/>
    </row>
    <row r="17" spans="1:42" x14ac:dyDescent="0.45">
      <c r="A17" s="4"/>
      <c r="B17" s="80" t="str">
        <f>IF(B16=C16,"Unentschieden",IF(B16&gt;C16,B15,C15))</f>
        <v>Tschechien</v>
      </c>
      <c r="C17" s="80"/>
      <c r="D17" s="4"/>
      <c r="E17" s="4"/>
      <c r="F17" s="4"/>
      <c r="G17" s="4"/>
      <c r="H17" s="4"/>
      <c r="I17" s="80" t="str">
        <f>IF(I16=J16,"Unentschieden",IF(I16&gt;J16,I15,J15))</f>
        <v>Schweiz</v>
      </c>
      <c r="J17" s="80"/>
      <c r="K17" s="4"/>
      <c r="L17" s="4"/>
      <c r="M17" s="4"/>
      <c r="N17" s="4"/>
      <c r="O17" s="4"/>
      <c r="P17" s="80" t="str">
        <f>IF(P16=Q16,"Unentschieden",IF(P16&gt;Q16,P15,Q15))</f>
        <v>Marokko</v>
      </c>
      <c r="Q17" s="80"/>
      <c r="R17" s="4"/>
      <c r="S17" s="4"/>
      <c r="T17" s="4"/>
      <c r="U17" s="4"/>
      <c r="V17" s="4"/>
      <c r="W17" s="80" t="str">
        <f>IF(W16=X16,"Unentschieden",IF(W16&gt;X16,W15,X15))</f>
        <v>Türkei</v>
      </c>
      <c r="X17" s="80"/>
      <c r="Y17" s="4"/>
      <c r="Z17" s="4"/>
      <c r="AA17" s="4"/>
      <c r="AB17" s="4"/>
      <c r="AC17" s="4"/>
      <c r="AD17" s="80" t="str">
        <f>IF(AD16=AE16,"Unentschieden",IF(AD16&gt;AE16,AD15,AE15))</f>
        <v>Ecuador</v>
      </c>
      <c r="AE17" s="80"/>
      <c r="AF17" s="4"/>
      <c r="AG17" s="4"/>
      <c r="AH17" s="4"/>
      <c r="AI17" s="4"/>
      <c r="AJ17" s="4"/>
      <c r="AK17" s="80"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2</v>
      </c>
      <c r="J21" s="38">
        <v>1</v>
      </c>
      <c r="K21" s="4"/>
      <c r="L21" s="4"/>
      <c r="M21" s="4"/>
      <c r="N21" s="4"/>
      <c r="O21" s="4"/>
      <c r="P21" s="38">
        <v>3</v>
      </c>
      <c r="Q21" s="38">
        <v>0</v>
      </c>
      <c r="R21" s="4"/>
      <c r="S21" s="4"/>
      <c r="T21" s="4"/>
      <c r="U21" s="4"/>
      <c r="V21" s="4"/>
      <c r="W21" s="38">
        <v>1</v>
      </c>
      <c r="X21" s="38">
        <v>1</v>
      </c>
      <c r="Y21" s="4"/>
      <c r="Z21" s="4"/>
      <c r="AA21" s="4"/>
      <c r="AB21" s="4"/>
      <c r="AC21" s="4"/>
      <c r="AD21" s="38">
        <v>2</v>
      </c>
      <c r="AE21" s="38">
        <v>1</v>
      </c>
      <c r="AF21" s="4"/>
      <c r="AG21" s="4"/>
      <c r="AH21" s="4"/>
      <c r="AI21" s="4"/>
      <c r="AJ21" s="4"/>
      <c r="AK21" s="38">
        <v>2</v>
      </c>
      <c r="AL21" s="38">
        <v>0</v>
      </c>
      <c r="AM21" s="4"/>
      <c r="AN21" s="4"/>
      <c r="AO21" s="4"/>
      <c r="AP21" s="4"/>
    </row>
    <row r="22" spans="1:42" x14ac:dyDescent="0.45">
      <c r="A22" s="4"/>
      <c r="B22" s="80" t="str">
        <f>IF(B21=C21,"Unentschieden",IF(B21&gt;C21,B20,C20))</f>
        <v>Mexiko</v>
      </c>
      <c r="C22" s="80"/>
      <c r="D22" s="4"/>
      <c r="E22" s="4"/>
      <c r="F22" s="4"/>
      <c r="G22" s="4"/>
      <c r="H22" s="4"/>
      <c r="I22" s="80" t="str">
        <f>IF(I21=J21,"Unentschieden",IF(I21&gt;J21,I20,J20))</f>
        <v>Kanada</v>
      </c>
      <c r="J22" s="80"/>
      <c r="K22" s="4"/>
      <c r="L22" s="4"/>
      <c r="M22" s="4"/>
      <c r="N22" s="4"/>
      <c r="O22" s="4"/>
      <c r="P22" s="80" t="str">
        <f>IF(P21=Q21,"Unentschieden",IF(P21&gt;Q21,P20,Q20))</f>
        <v>Brasilien</v>
      </c>
      <c r="Q22" s="80"/>
      <c r="R22" s="4"/>
      <c r="S22" s="4"/>
      <c r="T22" s="4"/>
      <c r="U22" s="4"/>
      <c r="V22" s="4"/>
      <c r="W22" s="80" t="str">
        <f>IF(W21=X21,"Unentschieden",IF(W21&gt;X21,W20,X20))</f>
        <v>Unentschieden</v>
      </c>
      <c r="X22" s="80"/>
      <c r="Y22" s="4"/>
      <c r="Z22" s="4"/>
      <c r="AA22" s="4"/>
      <c r="AB22" s="4"/>
      <c r="AC22" s="4"/>
      <c r="AD22" s="80" t="str">
        <f>IF(AD21=AE21,"Unentschieden",IF(AD21&gt;AE21,AD20,AE20))</f>
        <v>Deutschland</v>
      </c>
      <c r="AE22" s="80"/>
      <c r="AF22" s="4"/>
      <c r="AG22" s="4"/>
      <c r="AH22" s="4"/>
      <c r="AI22" s="4"/>
      <c r="AJ22" s="4"/>
      <c r="AK22" s="80"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1"/>
      <c r="D25" s="4"/>
      <c r="E25" s="4"/>
      <c r="F25" s="4"/>
      <c r="G25" s="4"/>
      <c r="H25" s="4"/>
      <c r="I25" s="81" t="s">
        <v>50</v>
      </c>
      <c r="J25" s="81"/>
      <c r="K25" s="4"/>
      <c r="L25" s="4"/>
      <c r="M25" s="4"/>
      <c r="N25" s="4"/>
      <c r="O25" s="4"/>
      <c r="P25" s="81" t="s">
        <v>50</v>
      </c>
      <c r="Q25" s="81"/>
      <c r="R25" s="4"/>
      <c r="S25" s="4"/>
      <c r="T25" s="4"/>
      <c r="U25" s="4"/>
      <c r="V25" s="4"/>
      <c r="W25" s="81" t="s">
        <v>50</v>
      </c>
      <c r="X25" s="81"/>
      <c r="Y25" s="4"/>
      <c r="Z25" s="4"/>
      <c r="AA25" s="4"/>
      <c r="AB25" s="4"/>
      <c r="AC25" s="4"/>
      <c r="AD25" s="81" t="s">
        <v>50</v>
      </c>
      <c r="AE25" s="81"/>
      <c r="AF25" s="4"/>
      <c r="AG25" s="4"/>
      <c r="AH25" s="4"/>
      <c r="AI25" s="4"/>
      <c r="AJ25" s="4"/>
      <c r="AK25" s="81" t="s">
        <v>50</v>
      </c>
      <c r="AL25" s="81"/>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2</v>
      </c>
      <c r="C27" s="38">
        <v>1</v>
      </c>
      <c r="D27" s="4"/>
      <c r="E27" s="4"/>
      <c r="F27" s="4"/>
      <c r="G27" s="4"/>
      <c r="H27" s="4"/>
      <c r="I27" s="38">
        <v>1</v>
      </c>
      <c r="J27" s="38">
        <v>0</v>
      </c>
      <c r="K27" s="4"/>
      <c r="L27" s="4"/>
      <c r="M27" s="4"/>
      <c r="N27" s="4"/>
      <c r="O27" s="4"/>
      <c r="P27" s="38">
        <v>2</v>
      </c>
      <c r="Q27" s="38">
        <v>0</v>
      </c>
      <c r="R27" s="4"/>
      <c r="S27" s="4"/>
      <c r="T27" s="4"/>
      <c r="U27" s="4"/>
      <c r="V27" s="4"/>
      <c r="W27" s="38">
        <v>0</v>
      </c>
      <c r="X27" s="38">
        <v>1</v>
      </c>
      <c r="Y27" s="4"/>
      <c r="Z27" s="4"/>
      <c r="AA27" s="4"/>
      <c r="AB27" s="4"/>
      <c r="AC27" s="4"/>
      <c r="AD27" s="38">
        <v>1</v>
      </c>
      <c r="AE27" s="38">
        <v>2</v>
      </c>
      <c r="AF27" s="4"/>
      <c r="AG27" s="4"/>
      <c r="AH27" s="4"/>
      <c r="AI27" s="4"/>
      <c r="AJ27" s="4"/>
      <c r="AK27" s="38">
        <v>1</v>
      </c>
      <c r="AL27" s="38">
        <v>1</v>
      </c>
      <c r="AM27" s="4"/>
      <c r="AN27" s="4"/>
      <c r="AO27" s="4"/>
      <c r="AP27" s="4"/>
    </row>
    <row r="28" spans="1:42" x14ac:dyDescent="0.45">
      <c r="A28" s="4"/>
      <c r="B28" s="80" t="str">
        <f>IF(B27=C27,"Unentschieden",IF(B27&gt;C27,B26,C26))</f>
        <v>Südafrika</v>
      </c>
      <c r="C28" s="80"/>
      <c r="D28" s="4"/>
      <c r="E28" s="4"/>
      <c r="F28" s="4"/>
      <c r="G28" s="4"/>
      <c r="H28" s="4"/>
      <c r="I28" s="80" t="str">
        <f>IF(I27=J27,"Unentschieden",IF(I27&gt;J27,I26,J26))</f>
        <v>Bosnien-Herz.</v>
      </c>
      <c r="J28" s="80"/>
      <c r="K28" s="4"/>
      <c r="L28" s="4"/>
      <c r="M28" s="4"/>
      <c r="N28" s="4"/>
      <c r="O28" s="4"/>
      <c r="P28" s="80" t="str">
        <f>IF(P27=Q27,"Unentschieden",IF(P27&gt;Q27,P26,Q26))</f>
        <v>Marokko</v>
      </c>
      <c r="Q28" s="80"/>
      <c r="R28" s="4"/>
      <c r="S28" s="4"/>
      <c r="T28" s="4"/>
      <c r="U28" s="4"/>
      <c r="V28" s="4"/>
      <c r="W28" s="80" t="str">
        <f>IF(W27=X27,"Unentschieden",IF(W27&gt;X27,W26,X26))</f>
        <v>Australien</v>
      </c>
      <c r="X28" s="80"/>
      <c r="Y28" s="4"/>
      <c r="Z28" s="4"/>
      <c r="AA28" s="4"/>
      <c r="AB28" s="4"/>
      <c r="AC28" s="4"/>
      <c r="AD28" s="80" t="str">
        <f>IF(AD27=AE27,"Unentschieden",IF(AD27&gt;AE27,AD26,AE26))</f>
        <v>Elfenbeinküste</v>
      </c>
      <c r="AE28" s="80"/>
      <c r="AF28" s="4"/>
      <c r="AG28" s="4"/>
      <c r="AH28" s="4"/>
      <c r="AI28" s="4"/>
      <c r="AJ28" s="4"/>
      <c r="AK28" s="80" t="str">
        <f>IF(AK27=AL27,"Unentschieden",IF(AK27&gt;AL27,AK26,AL26))</f>
        <v>Unentschieden</v>
      </c>
      <c r="AL28" s="80"/>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2</v>
      </c>
      <c r="C32" s="38">
        <v>2</v>
      </c>
      <c r="D32" s="4"/>
      <c r="E32" s="4"/>
      <c r="F32" s="4"/>
      <c r="G32" s="4"/>
      <c r="H32" s="4"/>
      <c r="I32" s="38">
        <v>2</v>
      </c>
      <c r="J32" s="38">
        <v>1</v>
      </c>
      <c r="K32" s="4"/>
      <c r="L32" s="4"/>
      <c r="M32" s="4"/>
      <c r="N32" s="4"/>
      <c r="O32" s="4"/>
      <c r="P32" s="38">
        <v>0</v>
      </c>
      <c r="Q32" s="38">
        <v>2</v>
      </c>
      <c r="R32" s="4"/>
      <c r="S32" s="4"/>
      <c r="T32" s="4"/>
      <c r="U32" s="4"/>
      <c r="V32" s="4"/>
      <c r="W32" s="38">
        <v>2</v>
      </c>
      <c r="X32" s="38">
        <v>0</v>
      </c>
      <c r="Y32" s="4"/>
      <c r="Z32" s="4"/>
      <c r="AA32" s="4"/>
      <c r="AB32" s="4"/>
      <c r="AC32" s="4"/>
      <c r="AD32" s="38">
        <v>0</v>
      </c>
      <c r="AE32" s="38">
        <v>1</v>
      </c>
      <c r="AF32" s="4"/>
      <c r="AG32" s="4"/>
      <c r="AH32" s="4"/>
      <c r="AI32" s="4"/>
      <c r="AJ32" s="4"/>
      <c r="AK32" s="38">
        <v>1</v>
      </c>
      <c r="AL32" s="38">
        <v>3</v>
      </c>
      <c r="AM32" s="4"/>
      <c r="AN32" s="4"/>
      <c r="AO32" s="4"/>
      <c r="AP32" s="4"/>
    </row>
    <row r="33" spans="1:42" x14ac:dyDescent="0.45">
      <c r="A33" s="4"/>
      <c r="B33" s="80" t="str">
        <f>IF(B32=C32,"Unentschieden",IF(B32&gt;C32,B31,C31))</f>
        <v>Unentschieden</v>
      </c>
      <c r="C33" s="80"/>
      <c r="D33" s="4"/>
      <c r="E33" s="4"/>
      <c r="F33" s="4"/>
      <c r="G33" s="4"/>
      <c r="H33" s="4"/>
      <c r="I33" s="80" t="str">
        <f>IF(I32=J32,"Unentschieden",IF(I32&gt;J32,I31,J31))</f>
        <v>Schweiz</v>
      </c>
      <c r="J33" s="80"/>
      <c r="K33" s="4"/>
      <c r="L33" s="4"/>
      <c r="M33" s="4"/>
      <c r="N33" s="4"/>
      <c r="O33" s="4"/>
      <c r="P33" s="80" t="str">
        <f>IF(P32=Q32,"Unentschieden",IF(P32&gt;Q32,P31,Q31))</f>
        <v>Brasilien</v>
      </c>
      <c r="Q33" s="80"/>
      <c r="R33" s="4"/>
      <c r="S33" s="4"/>
      <c r="T33" s="4"/>
      <c r="U33" s="4"/>
      <c r="V33" s="4"/>
      <c r="W33" s="80" t="str">
        <f>IF(W32=X32,"Unentschieden",IF(W32&gt;X32,W31,X31))</f>
        <v>Türkei</v>
      </c>
      <c r="X33" s="80"/>
      <c r="Y33" s="4"/>
      <c r="Z33" s="4"/>
      <c r="AA33" s="4"/>
      <c r="AB33" s="4"/>
      <c r="AC33" s="4"/>
      <c r="AD33" s="80" t="str">
        <f>IF(AD32=AE32,"Unentschieden",IF(AD32&gt;AE32,AD31,AE31))</f>
        <v>Deutschland</v>
      </c>
      <c r="AE33" s="80"/>
      <c r="AF33" s="4"/>
      <c r="AG33" s="4"/>
      <c r="AH33" s="4"/>
      <c r="AI33" s="4"/>
      <c r="AJ33" s="4"/>
      <c r="AK33" s="80" t="str">
        <f>IF(AK32=AL32,"Unentschieden",IF(AK32&gt;AL32,AK31,AL31))</f>
        <v>Niederlande</v>
      </c>
      <c r="AL33" s="80"/>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4</v>
      </c>
      <c r="E37" s="1">
        <f>C5+C21+B32</f>
        <v>2</v>
      </c>
      <c r="F37" s="1">
        <f>D37-E37</f>
        <v>2</v>
      </c>
      <c r="G37" s="4"/>
      <c r="H37" s="37"/>
      <c r="I37" s="2" t="s">
        <v>27</v>
      </c>
      <c r="J37" s="1">
        <f>I7+I23+J34</f>
        <v>3</v>
      </c>
      <c r="K37" s="1">
        <f>I5+I21+J32</f>
        <v>4</v>
      </c>
      <c r="L37" s="1">
        <f>J5+J21+I32</f>
        <v>5</v>
      </c>
      <c r="M37" s="1">
        <f>K37-L37</f>
        <v>-1</v>
      </c>
      <c r="N37" s="4"/>
      <c r="O37" s="13"/>
      <c r="P37" s="2" t="s">
        <v>29</v>
      </c>
      <c r="Q37" s="1">
        <f>P7+P23+Q34</f>
        <v>9</v>
      </c>
      <c r="R37" s="1">
        <f>P5+P21+Q32</f>
        <v>7</v>
      </c>
      <c r="S37" s="1">
        <f>Q5+Q21+P32</f>
        <v>0</v>
      </c>
      <c r="T37" s="1">
        <f>R37-S37</f>
        <v>7</v>
      </c>
      <c r="U37" s="4"/>
      <c r="V37" s="13"/>
      <c r="W37" s="2" t="s">
        <v>31</v>
      </c>
      <c r="X37" s="1">
        <f>W7+W23+X34</f>
        <v>2</v>
      </c>
      <c r="Y37" s="1">
        <f>W5+W21+X32</f>
        <v>2</v>
      </c>
      <c r="Z37" s="1">
        <f>X5+X21+W32</f>
        <v>4</v>
      </c>
      <c r="AA37" s="1">
        <f>Y37-Z37</f>
        <v>-2</v>
      </c>
      <c r="AB37" s="4"/>
      <c r="AC37" s="13"/>
      <c r="AD37" s="2" t="s">
        <v>33</v>
      </c>
      <c r="AE37" s="1">
        <f>AD7+AD23+AE34</f>
        <v>9</v>
      </c>
      <c r="AF37" s="1">
        <f>AD5+AD21+AE32</f>
        <v>5</v>
      </c>
      <c r="AG37" s="1">
        <f>AE5+AE21+AD32</f>
        <v>1</v>
      </c>
      <c r="AH37" s="1">
        <f>AF37-AG37</f>
        <v>4</v>
      </c>
      <c r="AI37" s="4"/>
      <c r="AJ37" s="4"/>
      <c r="AK37" s="2" t="s">
        <v>35</v>
      </c>
      <c r="AL37" s="1">
        <f>AK7+AK23+AL34</f>
        <v>9</v>
      </c>
      <c r="AM37" s="1">
        <f>AK5+AK21+AL32</f>
        <v>7</v>
      </c>
      <c r="AN37" s="1">
        <f>AL5+AL21+AK32</f>
        <v>1</v>
      </c>
      <c r="AO37" s="1">
        <f>AM37-AN37</f>
        <v>6</v>
      </c>
      <c r="AP37" s="4"/>
    </row>
    <row r="38" spans="1:42" x14ac:dyDescent="0.45">
      <c r="A38" s="37"/>
      <c r="B38" s="2" t="s">
        <v>26</v>
      </c>
      <c r="C38" s="1">
        <f>C7+C18+B29</f>
        <v>3</v>
      </c>
      <c r="D38" s="1">
        <f>C5+C16+B27</f>
        <v>3</v>
      </c>
      <c r="E38" s="1">
        <f>B5+B16+C27</f>
        <v>4</v>
      </c>
      <c r="F38" s="1">
        <f t="shared" ref="F38:F40" si="0">D38-E38</f>
        <v>-1</v>
      </c>
      <c r="G38" s="4"/>
      <c r="H38" s="37"/>
      <c r="I38" s="2" t="s">
        <v>28</v>
      </c>
      <c r="J38" s="1">
        <f>J7+J18+I29</f>
        <v>6</v>
      </c>
      <c r="K38" s="1">
        <f>J5+J16+I27</f>
        <v>4</v>
      </c>
      <c r="L38" s="1">
        <f>I5+I16+J27</f>
        <v>3</v>
      </c>
      <c r="M38" s="1">
        <f t="shared" ref="M38:M40" si="1">K38-L38</f>
        <v>1</v>
      </c>
      <c r="N38" s="4"/>
      <c r="O38" s="13"/>
      <c r="P38" s="2" t="s">
        <v>30</v>
      </c>
      <c r="Q38" s="1">
        <f>Q7+Q18+P29</f>
        <v>6</v>
      </c>
      <c r="R38" s="1">
        <f>Q5+Q16+P27</f>
        <v>4</v>
      </c>
      <c r="S38" s="1">
        <f>P5+P16+Q27</f>
        <v>3</v>
      </c>
      <c r="T38" s="1">
        <f t="shared" ref="T38:T40" si="2">R38-S38</f>
        <v>1</v>
      </c>
      <c r="U38" s="4"/>
      <c r="V38" s="13"/>
      <c r="W38" s="2" t="s">
        <v>32</v>
      </c>
      <c r="X38" s="1">
        <f>X7+X18+W29</f>
        <v>1</v>
      </c>
      <c r="Y38" s="1">
        <f>X5+X16+W27</f>
        <v>1</v>
      </c>
      <c r="Z38" s="1">
        <f>W5+W16+X27</f>
        <v>3</v>
      </c>
      <c r="AA38" s="1">
        <f t="shared" ref="AA38:AA40" si="3">Y38-Z38</f>
        <v>-2</v>
      </c>
      <c r="AB38" s="4"/>
      <c r="AC38" s="13"/>
      <c r="AD38" s="2" t="s">
        <v>34</v>
      </c>
      <c r="AE38" s="1">
        <f>AE7+AE18+AD29</f>
        <v>0</v>
      </c>
      <c r="AF38" s="1">
        <f>AE5+AE16+AD27</f>
        <v>1</v>
      </c>
      <c r="AG38" s="1">
        <f>AD5+AD16+AE27</f>
        <v>6</v>
      </c>
      <c r="AH38" s="1">
        <f t="shared" ref="AH38:AH40" si="4">AF38-AG38</f>
        <v>-5</v>
      </c>
      <c r="AI38" s="4"/>
      <c r="AJ38" s="4"/>
      <c r="AK38" s="2" t="s">
        <v>36</v>
      </c>
      <c r="AL38" s="1">
        <f>AL7+AL18+AK29</f>
        <v>4</v>
      </c>
      <c r="AM38" s="1">
        <f>AL5+AL16+AK27</f>
        <v>3</v>
      </c>
      <c r="AN38" s="1">
        <f>AK5+AK16+AL27</f>
        <v>4</v>
      </c>
      <c r="AO38" s="1">
        <f t="shared" ref="AO38:AO40" si="5">AM38-AN38</f>
        <v>-1</v>
      </c>
      <c r="AP38" s="4"/>
    </row>
    <row r="39" spans="1:42" x14ac:dyDescent="0.45">
      <c r="A39" s="36"/>
      <c r="B39" s="2" t="s">
        <v>37</v>
      </c>
      <c r="C39" s="1">
        <f>B12+C23+C29</f>
        <v>1</v>
      </c>
      <c r="D39" s="1">
        <f>B10+C21+C27</f>
        <v>2</v>
      </c>
      <c r="E39" s="1">
        <f>C10+B21+B27</f>
        <v>4</v>
      </c>
      <c r="F39" s="1">
        <f t="shared" si="0"/>
        <v>-2</v>
      </c>
      <c r="G39" s="4"/>
      <c r="H39" s="36"/>
      <c r="I39" s="2" t="s">
        <v>39</v>
      </c>
      <c r="J39" s="1">
        <f>I12+J23+J29</f>
        <v>0</v>
      </c>
      <c r="K39" s="1">
        <f>I10+J21+J27</f>
        <v>1</v>
      </c>
      <c r="L39" s="1">
        <f>J10+I21+I27</f>
        <v>5</v>
      </c>
      <c r="M39" s="1">
        <f t="shared" si="1"/>
        <v>-4</v>
      </c>
      <c r="N39" s="4"/>
      <c r="O39" s="13"/>
      <c r="P39" s="2" t="s">
        <v>41</v>
      </c>
      <c r="Q39" s="1">
        <f>P12+Q23+Q29</f>
        <v>0</v>
      </c>
      <c r="R39" s="1">
        <f>P10+Q21+Q27</f>
        <v>1</v>
      </c>
      <c r="S39" s="1">
        <f>Q10+P21+P27</f>
        <v>8</v>
      </c>
      <c r="T39" s="1">
        <f t="shared" si="2"/>
        <v>-7</v>
      </c>
      <c r="U39" s="4"/>
      <c r="V39" s="13"/>
      <c r="W39" s="2" t="s">
        <v>43</v>
      </c>
      <c r="X39" s="1">
        <f>W12+X23+X29</f>
        <v>4</v>
      </c>
      <c r="Y39" s="1">
        <f>W10+X21+X27</f>
        <v>2</v>
      </c>
      <c r="Z39" s="1">
        <f>X10+W21+W27</f>
        <v>3</v>
      </c>
      <c r="AA39" s="1">
        <f t="shared" si="3"/>
        <v>-1</v>
      </c>
      <c r="AB39" s="4"/>
      <c r="AC39" s="13"/>
      <c r="AD39" s="2" t="s">
        <v>45</v>
      </c>
      <c r="AE39" s="1">
        <f>AD12+AE23+AE29</f>
        <v>4</v>
      </c>
      <c r="AF39" s="1">
        <f>AD10+AE21+AE27</f>
        <v>4</v>
      </c>
      <c r="AG39" s="1">
        <f>AE10+AD21+AD27</f>
        <v>4</v>
      </c>
      <c r="AH39" s="1">
        <f t="shared" si="4"/>
        <v>0</v>
      </c>
      <c r="AI39" s="4"/>
      <c r="AJ39" s="4"/>
      <c r="AK39" s="2" t="s">
        <v>47</v>
      </c>
      <c r="AL39" s="1">
        <f>AK12+AL23+AL29</f>
        <v>4</v>
      </c>
      <c r="AM39" s="1">
        <f>AK10+AL21+AL27</f>
        <v>2</v>
      </c>
      <c r="AN39" s="1">
        <f>AL10+AK21+AK27</f>
        <v>3</v>
      </c>
      <c r="AO39" s="1">
        <f t="shared" si="5"/>
        <v>-1</v>
      </c>
      <c r="AP39" s="4"/>
    </row>
    <row r="40" spans="1:42" x14ac:dyDescent="0.45">
      <c r="A40" s="35"/>
      <c r="B40" s="2" t="s">
        <v>38</v>
      </c>
      <c r="C40" s="1">
        <f>C12+B18+B34</f>
        <v>5</v>
      </c>
      <c r="D40" s="1">
        <f>C10+B16+B32</f>
        <v>5</v>
      </c>
      <c r="E40" s="1">
        <f>B10+C16+C32</f>
        <v>4</v>
      </c>
      <c r="F40" s="1">
        <f t="shared" si="0"/>
        <v>1</v>
      </c>
      <c r="G40" s="4"/>
      <c r="H40" s="35"/>
      <c r="I40" s="2" t="s">
        <v>40</v>
      </c>
      <c r="J40" s="1">
        <f>J12+I18+I34</f>
        <v>9</v>
      </c>
      <c r="K40" s="1">
        <f>J10+I16+I32</f>
        <v>6</v>
      </c>
      <c r="L40" s="1">
        <f>I10+J16+J32</f>
        <v>2</v>
      </c>
      <c r="M40" s="1">
        <f t="shared" si="1"/>
        <v>4</v>
      </c>
      <c r="N40" s="4"/>
      <c r="O40" s="13"/>
      <c r="P40" s="2" t="s">
        <v>42</v>
      </c>
      <c r="Q40" s="1">
        <f>Q12+P18+P34</f>
        <v>3</v>
      </c>
      <c r="R40" s="1">
        <f>Q10+P16+P32</f>
        <v>4</v>
      </c>
      <c r="S40" s="1">
        <f>P10+Q16+Q32</f>
        <v>5</v>
      </c>
      <c r="T40" s="1">
        <f t="shared" si="2"/>
        <v>-1</v>
      </c>
      <c r="U40" s="4"/>
      <c r="V40" s="13"/>
      <c r="W40" s="2" t="s">
        <v>44</v>
      </c>
      <c r="X40" s="1">
        <f>X12+W18+W34</f>
        <v>9</v>
      </c>
      <c r="Y40" s="1">
        <f>X10+W16+W32</f>
        <v>5</v>
      </c>
      <c r="Z40" s="1">
        <f>W10+X16+X32</f>
        <v>0</v>
      </c>
      <c r="AA40" s="1">
        <f t="shared" si="3"/>
        <v>5</v>
      </c>
      <c r="AB40" s="4"/>
      <c r="AC40" s="13"/>
      <c r="AD40" s="2" t="s">
        <v>46</v>
      </c>
      <c r="AE40" s="1">
        <f>AE12+AD18+AD34</f>
        <v>4</v>
      </c>
      <c r="AF40" s="1">
        <f>AE10+AD16+AD32</f>
        <v>3</v>
      </c>
      <c r="AG40" s="1">
        <f>AD10+AE16+AE32</f>
        <v>2</v>
      </c>
      <c r="AH40" s="1">
        <f t="shared" si="4"/>
        <v>1</v>
      </c>
      <c r="AI40" s="4"/>
      <c r="AJ40" s="4"/>
      <c r="AK40" s="2" t="s">
        <v>48</v>
      </c>
      <c r="AL40" s="1">
        <f>AL12+AK18+AK34</f>
        <v>0</v>
      </c>
      <c r="AM40" s="1">
        <f>AL10+AK16+AK32</f>
        <v>2</v>
      </c>
      <c r="AN40" s="1">
        <f>AK10+AL16+AL32</f>
        <v>6</v>
      </c>
      <c r="AO40" s="1">
        <f t="shared" si="5"/>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1"/>
      <c r="D42" s="1"/>
      <c r="E42" s="1"/>
      <c r="F42" s="1"/>
      <c r="G42" s="4"/>
      <c r="H42" s="4"/>
      <c r="I42" s="81" t="s">
        <v>56</v>
      </c>
      <c r="J42" s="81"/>
      <c r="K42" s="1"/>
      <c r="L42" s="1"/>
      <c r="M42" s="1"/>
      <c r="N42" s="4"/>
      <c r="O42" s="4"/>
      <c r="P42" s="81" t="s">
        <v>56</v>
      </c>
      <c r="Q42" s="81"/>
      <c r="U42" s="4"/>
      <c r="V42" s="4"/>
      <c r="W42" s="81" t="s">
        <v>56</v>
      </c>
      <c r="X42" s="81"/>
      <c r="AB42" s="4"/>
      <c r="AC42" s="4"/>
      <c r="AD42" s="81" t="s">
        <v>56</v>
      </c>
      <c r="AE42" s="81"/>
      <c r="AI42" s="4"/>
      <c r="AJ42" s="4"/>
      <c r="AK42" s="81" t="s">
        <v>56</v>
      </c>
      <c r="AL42" s="81"/>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4</v>
      </c>
      <c r="E43" s="1" cm="1">
        <f t="array" ref="E43:E46">_xlfn.SORTBY(E37:E40,C37:C40,-1,F37:F40,-1,D37:D40,-1)</f>
        <v>2</v>
      </c>
      <c r="F43" s="1" cm="1">
        <f t="array" ref="F43:F46">_xlfn.SORTBY(F37:F40,C37:C40,-1,F37:F40,-1,D37:D40,-1)</f>
        <v>2</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2</v>
      </c>
      <c r="M43" s="1" cm="1">
        <f t="array" ref="M43:M46">_xlfn.SORTBY(M37:M40,J37:J40,-1,M37:M40,-1,K37:K40,-1)</f>
        <v>4</v>
      </c>
      <c r="N43" s="4"/>
      <c r="O43" s="33">
        <v>1</v>
      </c>
      <c r="P43" s="2" t="str" cm="1">
        <f t="array" ref="P43:P46">_xlfn.SORTBY(P37:P40,Q37:Q40,-1,T37:T40,-1,R37:R40,-1)</f>
        <v>Brasilien</v>
      </c>
      <c r="Q43" s="1" cm="1">
        <f t="array" ref="Q43:Q46">_xlfn.SORTBY(Q37:Q40,Q37:Q40,-1,T37:T40,-1,R37:R40,-1)</f>
        <v>9</v>
      </c>
      <c r="R43" s="1" cm="1">
        <f t="array" ref="R43:R46">_xlfn.SORTBY(R37:R40,Q37:Q40,-1,T37:T40,-1,R37:R40,-1)</f>
        <v>7</v>
      </c>
      <c r="S43" s="1" cm="1">
        <f t="array" ref="S43:S46">_xlfn.SORTBY(S37:S40,Q37:Q40,-1,T37:T40,-1,R37:R40,-1)</f>
        <v>0</v>
      </c>
      <c r="T43" s="1" cm="1">
        <f t="array" ref="T43:T46">_xlfn.SORTBY(T37:T40,Q37:Q40,-1,T37:T40,-1,R37:R40,-1)</f>
        <v>7</v>
      </c>
      <c r="U43" s="4"/>
      <c r="V43" s="33">
        <v>1</v>
      </c>
      <c r="W43" s="2" t="str" cm="1">
        <f t="array" ref="W43:W46">_xlfn.SORTBY(W37:W40,X37:X40,-1,AA37:AA40,-1,Y37:Y40,-1)</f>
        <v>Türkei</v>
      </c>
      <c r="X43" s="1" cm="1">
        <f t="array" ref="X43:X46">_xlfn.SORTBY(X37:X40,X37:X40,-1,AA37:AA40,-1,Y37:Y40,-1)</f>
        <v>9</v>
      </c>
      <c r="Y43" s="1" cm="1">
        <f t="array" ref="Y43:Y46">_xlfn.SORTBY(Y37:Y40,X37:X40,-1,AA37:AA40,-1,Y37:Y40,-1)</f>
        <v>5</v>
      </c>
      <c r="Z43" s="1" cm="1">
        <f t="array" ref="Z43:Z46">_xlfn.SORTBY(Z37:Z40,X37:X40,-1,AA37:AA40,-1,Y37:Y40,-1)</f>
        <v>0</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5</v>
      </c>
      <c r="AG43" s="1" cm="1">
        <f t="array" ref="AG43:AG46">_xlfn.SORTBY(AG37:AG40,AE37:AE40,-1,AH37:AH40,-1,AF37:AF40,-1)</f>
        <v>1</v>
      </c>
      <c r="AH43" s="1" cm="1">
        <f t="array" ref="AH43:AH46">_xlfn.SORTBY(AH37:AH40,AE37:AE40,-1,AH37:AH40,-1,AF37:AF40,-1)</f>
        <v>4</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7</v>
      </c>
      <c r="AN43" s="1" cm="1">
        <f t="array" ref="AN43:AN46">_xlfn.SORTBY(AN37:AN40,AL37:AL40,-1,AO37:AO40,-1,AM37:AM40,-1)</f>
        <v>1</v>
      </c>
      <c r="AO43" s="1" cm="1">
        <f t="array" ref="AO43:AO46">_xlfn.SORTBY(AO37:AO40,AL37:AL40,-1,AO37:AO40,-1,AM37:AM40,-1)</f>
        <v>6</v>
      </c>
      <c r="AP43" s="4"/>
    </row>
    <row r="44" spans="1:42" x14ac:dyDescent="0.45">
      <c r="A44" s="33">
        <v>2</v>
      </c>
      <c r="B44" s="2" t="str">
        <v>Tschechien</v>
      </c>
      <c r="C44" s="1">
        <v>5</v>
      </c>
      <c r="D44" s="1">
        <v>5</v>
      </c>
      <c r="E44" s="1">
        <v>4</v>
      </c>
      <c r="F44" s="1">
        <v>1</v>
      </c>
      <c r="G44" s="4"/>
      <c r="H44" s="33">
        <v>2</v>
      </c>
      <c r="I44" s="2" t="str">
        <v>Bosnien-Herz.</v>
      </c>
      <c r="J44" s="1">
        <v>6</v>
      </c>
      <c r="K44" s="1">
        <v>4</v>
      </c>
      <c r="L44" s="1">
        <v>3</v>
      </c>
      <c r="M44" s="1">
        <v>1</v>
      </c>
      <c r="N44" s="4"/>
      <c r="O44" s="33">
        <v>2</v>
      </c>
      <c r="P44" s="2" t="str">
        <v>Marokko</v>
      </c>
      <c r="Q44" s="1">
        <v>6</v>
      </c>
      <c r="R44" s="1">
        <v>4</v>
      </c>
      <c r="S44" s="1">
        <v>3</v>
      </c>
      <c r="T44" s="1">
        <v>1</v>
      </c>
      <c r="U44" s="4"/>
      <c r="V44" s="33">
        <v>2</v>
      </c>
      <c r="W44" s="2" t="str">
        <v>Australien</v>
      </c>
      <c r="X44" s="1">
        <v>4</v>
      </c>
      <c r="Y44" s="1">
        <v>2</v>
      </c>
      <c r="Z44" s="1">
        <v>3</v>
      </c>
      <c r="AA44" s="1">
        <v>-1</v>
      </c>
      <c r="AB44" s="4"/>
      <c r="AC44" s="33">
        <v>2</v>
      </c>
      <c r="AD44" s="2" t="str">
        <v>Ecuador</v>
      </c>
      <c r="AE44" s="1">
        <v>4</v>
      </c>
      <c r="AF44" s="1">
        <v>3</v>
      </c>
      <c r="AG44" s="1">
        <v>2</v>
      </c>
      <c r="AH44" s="1">
        <v>1</v>
      </c>
      <c r="AI44" s="4"/>
      <c r="AJ44" s="33">
        <v>2</v>
      </c>
      <c r="AK44" s="2" t="str">
        <v>Japan</v>
      </c>
      <c r="AL44" s="1">
        <v>4</v>
      </c>
      <c r="AM44" s="1">
        <v>3</v>
      </c>
      <c r="AN44" s="1">
        <v>4</v>
      </c>
      <c r="AO44" s="1">
        <v>-1</v>
      </c>
      <c r="AP44" s="4"/>
    </row>
    <row r="45" spans="1:42" x14ac:dyDescent="0.45">
      <c r="A45" s="34">
        <v>3</v>
      </c>
      <c r="B45" s="2" t="str">
        <v>Südafrika</v>
      </c>
      <c r="C45" s="1">
        <v>3</v>
      </c>
      <c r="D45" s="1">
        <v>3</v>
      </c>
      <c r="E45" s="1">
        <v>4</v>
      </c>
      <c r="F45" s="1">
        <v>-1</v>
      </c>
      <c r="G45" s="4"/>
      <c r="H45" s="34">
        <v>3</v>
      </c>
      <c r="I45" s="2" t="str">
        <v>Kanada</v>
      </c>
      <c r="J45" s="1">
        <v>3</v>
      </c>
      <c r="K45" s="1">
        <v>4</v>
      </c>
      <c r="L45" s="1">
        <v>5</v>
      </c>
      <c r="M45" s="1">
        <v>-1</v>
      </c>
      <c r="N45" s="4"/>
      <c r="O45" s="34">
        <v>3</v>
      </c>
      <c r="P45" s="2" t="str">
        <v>Schottland</v>
      </c>
      <c r="Q45" s="1">
        <v>3</v>
      </c>
      <c r="R45" s="1">
        <v>4</v>
      </c>
      <c r="S45" s="1">
        <v>5</v>
      </c>
      <c r="T45" s="1">
        <v>-1</v>
      </c>
      <c r="U45" s="4"/>
      <c r="V45" s="34">
        <v>3</v>
      </c>
      <c r="W45" s="2" t="str">
        <v>USA</v>
      </c>
      <c r="X45" s="1">
        <v>2</v>
      </c>
      <c r="Y45" s="1">
        <v>2</v>
      </c>
      <c r="Z45" s="1">
        <v>4</v>
      </c>
      <c r="AA45" s="1">
        <v>-2</v>
      </c>
      <c r="AB45" s="4"/>
      <c r="AC45" s="34">
        <v>3</v>
      </c>
      <c r="AD45" s="2" t="str">
        <v>Elfenbeinküste</v>
      </c>
      <c r="AE45" s="1">
        <v>4</v>
      </c>
      <c r="AF45" s="1">
        <v>4</v>
      </c>
      <c r="AG45" s="1">
        <v>4</v>
      </c>
      <c r="AH45" s="1">
        <v>0</v>
      </c>
      <c r="AI45" s="4"/>
      <c r="AJ45" s="34">
        <v>3</v>
      </c>
      <c r="AK45" s="2" t="str">
        <v>Schweden</v>
      </c>
      <c r="AL45" s="1">
        <v>4</v>
      </c>
      <c r="AM45" s="1">
        <v>2</v>
      </c>
      <c r="AN45" s="1">
        <v>3</v>
      </c>
      <c r="AO45" s="1">
        <v>-1</v>
      </c>
      <c r="AP45" s="4"/>
    </row>
    <row r="46" spans="1:42" x14ac:dyDescent="0.45">
      <c r="A46" s="32">
        <v>4</v>
      </c>
      <c r="B46" s="2" t="str">
        <v>Südkorea</v>
      </c>
      <c r="C46" s="1">
        <v>1</v>
      </c>
      <c r="D46" s="1">
        <v>2</v>
      </c>
      <c r="E46" s="1">
        <v>4</v>
      </c>
      <c r="F46" s="1">
        <v>-2</v>
      </c>
      <c r="G46" s="4"/>
      <c r="H46" s="32">
        <v>4</v>
      </c>
      <c r="I46" s="2" t="str">
        <v>Katar</v>
      </c>
      <c r="J46" s="1">
        <v>0</v>
      </c>
      <c r="K46" s="1">
        <v>1</v>
      </c>
      <c r="L46" s="1">
        <v>5</v>
      </c>
      <c r="M46" s="1">
        <v>-4</v>
      </c>
      <c r="N46" s="4"/>
      <c r="O46" s="32">
        <v>4</v>
      </c>
      <c r="P46" s="2" t="str">
        <v>Haiti</v>
      </c>
      <c r="Q46" s="1">
        <v>0</v>
      </c>
      <c r="R46" s="1">
        <v>1</v>
      </c>
      <c r="S46" s="1">
        <v>8</v>
      </c>
      <c r="T46" s="1">
        <v>-7</v>
      </c>
      <c r="U46" s="4"/>
      <c r="V46" s="32">
        <v>4</v>
      </c>
      <c r="W46" s="2" t="str">
        <v>Paraguay</v>
      </c>
      <c r="X46" s="1">
        <v>1</v>
      </c>
      <c r="Y46" s="1">
        <v>1</v>
      </c>
      <c r="Z46" s="1">
        <v>3</v>
      </c>
      <c r="AA46" s="1">
        <v>-2</v>
      </c>
      <c r="AB46" s="4"/>
      <c r="AC46" s="32">
        <v>4</v>
      </c>
      <c r="AD46" s="2" t="str">
        <v>Curacao</v>
      </c>
      <c r="AE46" s="1">
        <v>0</v>
      </c>
      <c r="AF46" s="1">
        <v>1</v>
      </c>
      <c r="AG46" s="1">
        <v>6</v>
      </c>
      <c r="AH46" s="1">
        <v>-5</v>
      </c>
      <c r="AI46" s="4"/>
      <c r="AJ46" s="32">
        <v>4</v>
      </c>
      <c r="AK46" s="2" t="str">
        <v>Tunesien</v>
      </c>
      <c r="AL46" s="1">
        <v>0</v>
      </c>
      <c r="AM46" s="1">
        <v>2</v>
      </c>
      <c r="AN46" s="1">
        <v>6</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4"/>
      <c r="C48" s="84"/>
      <c r="D48" s="84"/>
      <c r="E48" s="6"/>
      <c r="F48" s="6"/>
      <c r="G48" s="4"/>
      <c r="H48" s="79" t="s">
        <v>58</v>
      </c>
      <c r="I48" s="84"/>
      <c r="J48" s="84"/>
      <c r="K48" s="84"/>
      <c r="L48" s="6"/>
      <c r="M48" s="6"/>
      <c r="N48" s="4"/>
      <c r="O48" s="79" t="s">
        <v>59</v>
      </c>
      <c r="P48" s="84"/>
      <c r="Q48" s="84"/>
      <c r="R48" s="84"/>
      <c r="S48" s="6"/>
      <c r="T48" s="6"/>
      <c r="U48" s="4"/>
      <c r="V48" s="79" t="s">
        <v>60</v>
      </c>
      <c r="W48" s="84"/>
      <c r="X48" s="84"/>
      <c r="Y48" s="84"/>
      <c r="Z48" s="6"/>
      <c r="AA48" s="6"/>
      <c r="AB48" s="4"/>
      <c r="AC48" s="79" t="s">
        <v>61</v>
      </c>
      <c r="AD48" s="84"/>
      <c r="AE48" s="84"/>
      <c r="AF48" s="84"/>
      <c r="AG48" s="6"/>
      <c r="AH48" s="6"/>
      <c r="AI48" s="4"/>
      <c r="AJ48" s="79" t="s">
        <v>62</v>
      </c>
      <c r="AK48" s="84"/>
      <c r="AL48" s="84"/>
      <c r="AM48" s="84"/>
      <c r="AN48" s="6"/>
      <c r="AO48" s="6"/>
      <c r="AP48" s="4"/>
    </row>
    <row r="49" spans="1:42" ht="17.399999999999999" customHeight="1" x14ac:dyDescent="0.45">
      <c r="A49" s="84"/>
      <c r="B49" s="84"/>
      <c r="C49" s="84"/>
      <c r="D49" s="84"/>
      <c r="E49" s="6"/>
      <c r="F49" s="6"/>
      <c r="G49" s="4"/>
      <c r="H49" s="84"/>
      <c r="I49" s="84"/>
      <c r="J49" s="84"/>
      <c r="K49" s="84"/>
      <c r="L49" s="6"/>
      <c r="M49" s="6"/>
      <c r="N49" s="4"/>
      <c r="O49" s="84"/>
      <c r="P49" s="84"/>
      <c r="Q49" s="84"/>
      <c r="R49" s="84"/>
      <c r="S49" s="6"/>
      <c r="T49" s="6"/>
      <c r="U49" s="4"/>
      <c r="V49" s="84"/>
      <c r="W49" s="84"/>
      <c r="X49" s="84"/>
      <c r="Y49" s="84"/>
      <c r="Z49" s="6"/>
      <c r="AA49" s="6"/>
      <c r="AB49" s="4"/>
      <c r="AC49" s="84"/>
      <c r="AD49" s="84"/>
      <c r="AE49" s="84"/>
      <c r="AF49" s="84"/>
      <c r="AG49" s="6"/>
      <c r="AH49" s="6"/>
      <c r="AI49" s="4"/>
      <c r="AJ49" s="84"/>
      <c r="AK49" s="84"/>
      <c r="AL49" s="84"/>
      <c r="AM49" s="84"/>
      <c r="AN49" s="6"/>
      <c r="AO49" s="6"/>
      <c r="AP49" s="4"/>
    </row>
    <row r="50" spans="1:42" x14ac:dyDescent="0.45">
      <c r="A50" s="4"/>
      <c r="B50" s="81" t="s">
        <v>24</v>
      </c>
      <c r="C50" s="81"/>
      <c r="D50" s="4"/>
      <c r="E50" s="4"/>
      <c r="F50" s="4"/>
      <c r="G50" s="4"/>
      <c r="H50" s="4"/>
      <c r="I50" s="81" t="s">
        <v>24</v>
      </c>
      <c r="J50" s="81"/>
      <c r="K50" s="4"/>
      <c r="L50" s="4"/>
      <c r="M50" s="4"/>
      <c r="N50" s="4"/>
      <c r="O50" s="4"/>
      <c r="P50" s="81" t="s">
        <v>24</v>
      </c>
      <c r="Q50" s="81"/>
      <c r="R50" s="4"/>
      <c r="S50" s="4"/>
      <c r="T50" s="4"/>
      <c r="U50" s="4"/>
      <c r="V50" s="4"/>
      <c r="W50" s="81" t="s">
        <v>24</v>
      </c>
      <c r="X50" s="81"/>
      <c r="Y50" s="4"/>
      <c r="Z50" s="4"/>
      <c r="AA50" s="4"/>
      <c r="AB50" s="4"/>
      <c r="AC50" s="4"/>
      <c r="AD50" s="81" t="s">
        <v>24</v>
      </c>
      <c r="AE50" s="81"/>
      <c r="AF50" s="4"/>
      <c r="AG50" s="4"/>
      <c r="AH50" s="4"/>
      <c r="AI50" s="4"/>
      <c r="AJ50" s="4"/>
      <c r="AK50" s="81" t="s">
        <v>24</v>
      </c>
      <c r="AL50" s="81"/>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4</v>
      </c>
      <c r="J52" s="38">
        <v>0</v>
      </c>
      <c r="K52" s="4"/>
      <c r="L52" s="4"/>
      <c r="M52" s="4"/>
      <c r="N52" s="4"/>
      <c r="O52" s="4"/>
      <c r="P52" s="38">
        <v>2</v>
      </c>
      <c r="Q52" s="38">
        <v>0</v>
      </c>
      <c r="R52" s="4"/>
      <c r="S52" s="4"/>
      <c r="T52" s="4"/>
      <c r="U52" s="4"/>
      <c r="V52" s="4"/>
      <c r="W52" s="38">
        <v>1</v>
      </c>
      <c r="X52" s="38">
        <v>0</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80" t="str">
        <f>IF(B52=C52,"Unentschieden",IF(B52&gt;C52,B51,C51))</f>
        <v>Belgien</v>
      </c>
      <c r="C53" s="80"/>
      <c r="D53" s="4"/>
      <c r="E53" s="4"/>
      <c r="F53" s="4"/>
      <c r="G53" s="4"/>
      <c r="H53" s="4"/>
      <c r="I53" s="80" t="str">
        <f>IF(I52=J52,"Unentschieden",IF(I52&gt;J52,I51,J51))</f>
        <v>Spanien</v>
      </c>
      <c r="J53" s="80"/>
      <c r="K53" s="4"/>
      <c r="L53" s="4"/>
      <c r="M53" s="4"/>
      <c r="N53" s="4"/>
      <c r="O53" s="4"/>
      <c r="P53" s="80" t="str">
        <f>IF(P52=Q52,"Unentschieden",IF(P52&gt;Q52,P51,Q51))</f>
        <v>Frankreich</v>
      </c>
      <c r="Q53" s="80"/>
      <c r="R53" s="4"/>
      <c r="S53" s="4"/>
      <c r="T53" s="4"/>
      <c r="U53" s="4"/>
      <c r="V53" s="4"/>
      <c r="W53" s="80" t="str">
        <f>IF(W52=X52,"Unentschieden",IF(W52&gt;X52,W51,X51))</f>
        <v>Argentinien</v>
      </c>
      <c r="X53" s="80"/>
      <c r="Y53" s="4"/>
      <c r="Z53" s="4"/>
      <c r="AA53" s="4"/>
      <c r="AB53" s="4"/>
      <c r="AC53" s="4"/>
      <c r="AD53" s="80" t="str">
        <f>IF(AD52=AE52,"Unentschieden",IF(AD52&gt;AE52,AD51,AE51))</f>
        <v>Portugal</v>
      </c>
      <c r="AE53" s="80"/>
      <c r="AF53" s="4"/>
      <c r="AG53" s="4"/>
      <c r="AH53" s="4"/>
      <c r="AI53" s="4"/>
      <c r="AJ53" s="4"/>
      <c r="AK53" s="80"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0</v>
      </c>
      <c r="J57" s="38">
        <v>2</v>
      </c>
      <c r="K57" s="4"/>
      <c r="L57" s="4"/>
      <c r="M57" s="4"/>
      <c r="N57" s="4"/>
      <c r="O57" s="4"/>
      <c r="P57" s="38">
        <v>0</v>
      </c>
      <c r="Q57" s="38">
        <v>1</v>
      </c>
      <c r="R57" s="4"/>
      <c r="S57" s="4"/>
      <c r="T57" s="4"/>
      <c r="U57" s="4"/>
      <c r="V57" s="4"/>
      <c r="W57" s="38">
        <v>2</v>
      </c>
      <c r="X57" s="38">
        <v>0</v>
      </c>
      <c r="Y57" s="4"/>
      <c r="Z57" s="4"/>
      <c r="AA57" s="4"/>
      <c r="AB57" s="4"/>
      <c r="AC57" s="4"/>
      <c r="AD57" s="38">
        <v>0</v>
      </c>
      <c r="AE57" s="38">
        <v>1</v>
      </c>
      <c r="AF57" s="4"/>
      <c r="AG57" s="4"/>
      <c r="AH57" s="4"/>
      <c r="AI57" s="4"/>
      <c r="AJ57" s="4"/>
      <c r="AK57" s="38">
        <v>1</v>
      </c>
      <c r="AL57" s="38">
        <v>0</v>
      </c>
      <c r="AM57" s="4"/>
      <c r="AN57" s="4"/>
      <c r="AO57" s="4"/>
      <c r="AP57" s="4"/>
    </row>
    <row r="58" spans="1:42" x14ac:dyDescent="0.45">
      <c r="A58" s="4"/>
      <c r="B58" s="80" t="str">
        <f>IF(B57=C57,"Unentschieden",IF(B57&gt;C57,B56,C56))</f>
        <v>Iran</v>
      </c>
      <c r="C58" s="80"/>
      <c r="D58" s="4"/>
      <c r="E58" s="4"/>
      <c r="F58" s="4"/>
      <c r="G58" s="4"/>
      <c r="H58" s="4"/>
      <c r="I58" s="80" t="str">
        <f>IF(I57=J57,"Unentschieden",IF(I57&gt;J57,I56,J56))</f>
        <v>Uruguay</v>
      </c>
      <c r="J58" s="80"/>
      <c r="K58" s="4"/>
      <c r="L58" s="4"/>
      <c r="M58" s="4"/>
      <c r="N58" s="4"/>
      <c r="O58" s="4"/>
      <c r="P58" s="80" t="str">
        <f>IF(P57=Q57,"Unentschieden",IF(P57&gt;Q57,P56,Q56))</f>
        <v>Norwegen</v>
      </c>
      <c r="Q58" s="80"/>
      <c r="R58" s="4"/>
      <c r="S58" s="4"/>
      <c r="T58" s="4"/>
      <c r="U58" s="4"/>
      <c r="V58" s="4"/>
      <c r="W58" s="80" t="str">
        <f>IF(W57=X57,"Unentschieden",IF(W57&gt;X57,W56,X56))</f>
        <v>Österreich</v>
      </c>
      <c r="X58" s="80"/>
      <c r="Y58" s="4"/>
      <c r="Z58" s="4"/>
      <c r="AA58" s="4"/>
      <c r="AB58" s="4"/>
      <c r="AC58" s="4"/>
      <c r="AD58" s="80" t="str">
        <f>IF(AD57=AE57,"Unentschieden",IF(AD57&gt;AE57,AD56,AE56))</f>
        <v>Kolumbien</v>
      </c>
      <c r="AE58" s="80"/>
      <c r="AF58" s="4"/>
      <c r="AG58" s="4"/>
      <c r="AH58" s="4"/>
      <c r="AI58" s="4"/>
      <c r="AJ58" s="4"/>
      <c r="AK58" s="80"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1"/>
      <c r="D61" s="4"/>
      <c r="E61" s="4"/>
      <c r="F61" s="4"/>
      <c r="G61" s="4"/>
      <c r="H61" s="4"/>
      <c r="I61" s="81" t="s">
        <v>49</v>
      </c>
      <c r="J61" s="81"/>
      <c r="K61" s="4"/>
      <c r="L61" s="4"/>
      <c r="M61" s="4"/>
      <c r="N61" s="4"/>
      <c r="O61" s="4"/>
      <c r="P61" s="81" t="s">
        <v>49</v>
      </c>
      <c r="Q61" s="81"/>
      <c r="R61" s="4"/>
      <c r="S61" s="4"/>
      <c r="T61" s="4"/>
      <c r="U61" s="4"/>
      <c r="V61" s="4"/>
      <c r="W61" s="81" t="s">
        <v>49</v>
      </c>
      <c r="X61" s="81"/>
      <c r="Y61" s="4"/>
      <c r="Z61" s="4"/>
      <c r="AA61" s="4"/>
      <c r="AB61" s="4"/>
      <c r="AC61" s="4"/>
      <c r="AD61" s="81" t="s">
        <v>49</v>
      </c>
      <c r="AE61" s="81"/>
      <c r="AF61" s="4"/>
      <c r="AG61" s="4"/>
      <c r="AH61" s="4"/>
      <c r="AI61" s="4"/>
      <c r="AJ61" s="4"/>
      <c r="AK61" s="81" t="s">
        <v>49</v>
      </c>
      <c r="AL61" s="81"/>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1</v>
      </c>
      <c r="C63" s="38">
        <v>1</v>
      </c>
      <c r="D63" s="4"/>
      <c r="E63" s="4"/>
      <c r="F63" s="4"/>
      <c r="G63" s="4"/>
      <c r="H63" s="4"/>
      <c r="I63" s="38">
        <v>3</v>
      </c>
      <c r="J63" s="38">
        <v>0</v>
      </c>
      <c r="K63" s="4"/>
      <c r="L63" s="4"/>
      <c r="M63" s="4"/>
      <c r="N63" s="4"/>
      <c r="O63" s="4"/>
      <c r="P63" s="38">
        <v>2</v>
      </c>
      <c r="Q63" s="38">
        <v>0</v>
      </c>
      <c r="R63" s="4"/>
      <c r="S63" s="4"/>
      <c r="T63" s="4"/>
      <c r="U63" s="4"/>
      <c r="V63" s="4"/>
      <c r="W63" s="38">
        <v>2</v>
      </c>
      <c r="X63" s="38">
        <v>0</v>
      </c>
      <c r="Y63" s="4"/>
      <c r="Z63" s="4"/>
      <c r="AA63" s="4"/>
      <c r="AB63" s="4"/>
      <c r="AC63" s="4"/>
      <c r="AD63" s="38">
        <v>2</v>
      </c>
      <c r="AE63" s="38">
        <v>0</v>
      </c>
      <c r="AF63" s="4"/>
      <c r="AG63" s="4"/>
      <c r="AH63" s="4"/>
      <c r="AI63" s="4"/>
      <c r="AJ63" s="4"/>
      <c r="AK63" s="38">
        <v>2</v>
      </c>
      <c r="AL63" s="38">
        <v>1</v>
      </c>
      <c r="AM63" s="4"/>
      <c r="AN63" s="4"/>
      <c r="AO63" s="4"/>
      <c r="AP63" s="4"/>
    </row>
    <row r="64" spans="1:42" x14ac:dyDescent="0.45">
      <c r="A64" s="4"/>
      <c r="B64" s="80" t="str">
        <f>IF(B63=C63,"Unentschieden",IF(B63&gt;C63,B62,C62))</f>
        <v>Unentschieden</v>
      </c>
      <c r="C64" s="80"/>
      <c r="D64" s="4"/>
      <c r="E64" s="4"/>
      <c r="F64" s="4"/>
      <c r="G64" s="4"/>
      <c r="H64" s="4"/>
      <c r="I64" s="80" t="str">
        <f>IF(I63=J63,"Unentschieden",IF(I63&gt;J63,I62,J62))</f>
        <v>Spanien</v>
      </c>
      <c r="J64" s="80"/>
      <c r="K64" s="4"/>
      <c r="L64" s="4"/>
      <c r="M64" s="4"/>
      <c r="N64" s="4"/>
      <c r="O64" s="4"/>
      <c r="P64" s="80" t="str">
        <f>IF(P63=Q63,"Unentschieden",IF(P63&gt;Q63,P62,Q62))</f>
        <v>Frankreich</v>
      </c>
      <c r="Q64" s="80"/>
      <c r="R64" s="4"/>
      <c r="S64" s="4"/>
      <c r="T64" s="4"/>
      <c r="U64" s="4"/>
      <c r="V64" s="4"/>
      <c r="W64" s="80" t="str">
        <f>IF(W63=X63,"Unentschieden",IF(W63&gt;X63,W62,X62))</f>
        <v>Argentinien</v>
      </c>
      <c r="X64" s="80"/>
      <c r="Y64" s="4"/>
      <c r="Z64" s="4"/>
      <c r="AA64" s="4"/>
      <c r="AB64" s="4"/>
      <c r="AC64" s="4"/>
      <c r="AD64" s="80" t="str">
        <f>IF(AD63=AE63,"Unentschieden",IF(AD63&gt;AE63,AD62,AE62))</f>
        <v>Portugal</v>
      </c>
      <c r="AE64" s="80"/>
      <c r="AF64" s="4"/>
      <c r="AG64" s="4"/>
      <c r="AH64" s="4"/>
      <c r="AI64" s="4"/>
      <c r="AJ64" s="4"/>
      <c r="AK64" s="80" t="str">
        <f>IF(AK63=AL63,"Unentschieden",IF(AK63&gt;AL63,AK62,AL62))</f>
        <v>England</v>
      </c>
      <c r="AL64" s="80"/>
      <c r="AM64" s="4"/>
      <c r="AN64" s="4"/>
      <c r="AO64" s="4"/>
      <c r="AP64" s="4"/>
    </row>
    <row r="65" spans="1:42" x14ac:dyDescent="0.45">
      <c r="A65" s="4"/>
      <c r="B65" s="1">
        <f>IF(B63=C63,1,IF(B63&gt;C63,3,0))</f>
        <v>1</v>
      </c>
      <c r="C65" s="1">
        <f>IF(C63=B63,1,IF(C63&gt;B63,3,0))</f>
        <v>1</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1</v>
      </c>
      <c r="D68" s="4"/>
      <c r="E68" s="4"/>
      <c r="F68" s="4"/>
      <c r="G68" s="4"/>
      <c r="H68" s="4"/>
      <c r="I68" s="38">
        <v>2</v>
      </c>
      <c r="J68" s="38">
        <v>1</v>
      </c>
      <c r="K68" s="4"/>
      <c r="L68" s="4"/>
      <c r="M68" s="4"/>
      <c r="N68" s="4"/>
      <c r="O68" s="4"/>
      <c r="P68" s="38">
        <v>1</v>
      </c>
      <c r="Q68" s="38">
        <v>1</v>
      </c>
      <c r="R68" s="4"/>
      <c r="S68" s="4"/>
      <c r="T68" s="4"/>
      <c r="U68" s="4"/>
      <c r="V68" s="4"/>
      <c r="W68" s="38">
        <v>1</v>
      </c>
      <c r="X68" s="38">
        <v>1</v>
      </c>
      <c r="Y68" s="4"/>
      <c r="Z68" s="4"/>
      <c r="AA68" s="4"/>
      <c r="AB68" s="4"/>
      <c r="AC68" s="4"/>
      <c r="AD68" s="38">
        <v>1</v>
      </c>
      <c r="AE68" s="38">
        <v>0</v>
      </c>
      <c r="AF68" s="4"/>
      <c r="AG68" s="4"/>
      <c r="AH68" s="4"/>
      <c r="AI68" s="4"/>
      <c r="AJ68" s="4"/>
      <c r="AK68" s="38">
        <v>1</v>
      </c>
      <c r="AL68" s="38">
        <v>2</v>
      </c>
      <c r="AM68" s="4"/>
      <c r="AN68" s="4"/>
      <c r="AO68" s="4"/>
      <c r="AP68" s="4"/>
    </row>
    <row r="69" spans="1:42" x14ac:dyDescent="0.45">
      <c r="A69" s="4"/>
      <c r="B69" s="80" t="str">
        <f>IF(B68=C68,"Unentschieden",IF(B68&gt;C68,B67,C67))</f>
        <v>Ägypten</v>
      </c>
      <c r="C69" s="80"/>
      <c r="D69" s="4"/>
      <c r="E69" s="4"/>
      <c r="F69" s="4"/>
      <c r="G69" s="4"/>
      <c r="H69" s="4"/>
      <c r="I69" s="80" t="str">
        <f>IF(I68=J68,"Unentschieden",IF(I68&gt;J68,I67,J67))</f>
        <v>Uruguay</v>
      </c>
      <c r="J69" s="80"/>
      <c r="K69" s="4"/>
      <c r="L69" s="4"/>
      <c r="M69" s="4"/>
      <c r="N69" s="4"/>
      <c r="O69" s="4"/>
      <c r="P69" s="80" t="str">
        <f>IF(P68=Q68,"Unentschieden",IF(P68&gt;Q68,P67,Q67))</f>
        <v>Unentschieden</v>
      </c>
      <c r="Q69" s="80"/>
      <c r="R69" s="4"/>
      <c r="S69" s="4"/>
      <c r="T69" s="4"/>
      <c r="U69" s="4"/>
      <c r="V69" s="4"/>
      <c r="W69" s="80">
        <f>X68</f>
        <v>1</v>
      </c>
      <c r="X69" s="80"/>
      <c r="Y69" s="4"/>
      <c r="Z69" s="4"/>
      <c r="AA69" s="4"/>
      <c r="AB69" s="4"/>
      <c r="AC69" s="4"/>
      <c r="AD69" s="80" t="str">
        <f>IF(AD68=AE68,"Unentschieden",IF(AD68&gt;AE68,AD67,AE67))</f>
        <v>Kolumbien</v>
      </c>
      <c r="AE69" s="80"/>
      <c r="AF69" s="4"/>
      <c r="AG69" s="4"/>
      <c r="AH69" s="4"/>
      <c r="AI69" s="4"/>
      <c r="AJ69" s="4"/>
      <c r="AK69" s="80"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1</v>
      </c>
      <c r="X70" s="1">
        <f>IF(X68=W68,1,IF(X68&gt;W68,3,0))</f>
        <v>1</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1"/>
      <c r="D72" s="4"/>
      <c r="E72" s="4"/>
      <c r="F72" s="4"/>
      <c r="G72" s="4"/>
      <c r="H72" s="4"/>
      <c r="I72" s="81" t="s">
        <v>50</v>
      </c>
      <c r="J72" s="81"/>
      <c r="K72" s="4"/>
      <c r="L72" s="4"/>
      <c r="M72" s="4"/>
      <c r="N72" s="4"/>
      <c r="O72" s="4"/>
      <c r="P72" s="81" t="s">
        <v>50</v>
      </c>
      <c r="Q72" s="81"/>
      <c r="R72" s="4"/>
      <c r="S72" s="4"/>
      <c r="T72" s="4"/>
      <c r="U72" s="4"/>
      <c r="V72" s="4"/>
      <c r="W72" s="81" t="s">
        <v>50</v>
      </c>
      <c r="X72" s="81"/>
      <c r="Y72" s="4"/>
      <c r="Z72" s="4"/>
      <c r="AA72" s="4"/>
      <c r="AB72" s="4"/>
      <c r="AC72" s="4"/>
      <c r="AD72" s="81" t="s">
        <v>50</v>
      </c>
      <c r="AE72" s="81"/>
      <c r="AF72" s="4"/>
      <c r="AG72" s="4"/>
      <c r="AH72" s="4"/>
      <c r="AI72" s="4"/>
      <c r="AJ72" s="4"/>
      <c r="AK72" s="81" t="s">
        <v>50</v>
      </c>
      <c r="AL72" s="81"/>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0</v>
      </c>
      <c r="Q74" s="38">
        <v>1</v>
      </c>
      <c r="R74" s="4"/>
      <c r="S74" s="4"/>
      <c r="T74" s="4"/>
      <c r="U74" s="4"/>
      <c r="V74" s="4"/>
      <c r="W74" s="38">
        <v>0</v>
      </c>
      <c r="X74" s="38">
        <v>3</v>
      </c>
      <c r="Y74" s="4"/>
      <c r="Z74" s="4"/>
      <c r="AA74" s="4"/>
      <c r="AB74" s="4"/>
      <c r="AC74" s="4"/>
      <c r="AD74" s="38">
        <v>1</v>
      </c>
      <c r="AE74" s="38">
        <v>2</v>
      </c>
      <c r="AF74" s="4"/>
      <c r="AG74" s="4"/>
      <c r="AH74" s="4"/>
      <c r="AI74" s="4"/>
      <c r="AJ74" s="4"/>
      <c r="AK74" s="38">
        <v>0</v>
      </c>
      <c r="AL74" s="38">
        <v>3</v>
      </c>
      <c r="AM74" s="4"/>
      <c r="AN74" s="4"/>
      <c r="AO74" s="4"/>
      <c r="AP74" s="4"/>
    </row>
    <row r="75" spans="1:42" ht="17.399999999999999" customHeight="1" x14ac:dyDescent="0.45">
      <c r="A75" s="4"/>
      <c r="B75" s="80" t="str">
        <f>IF(B74=C74,"Unentschieden",IF(B74&gt;C74,B73,C73))</f>
        <v>Belgien</v>
      </c>
      <c r="C75" s="80"/>
      <c r="D75" s="4"/>
      <c r="E75" s="4"/>
      <c r="F75" s="4"/>
      <c r="G75" s="4"/>
      <c r="H75" s="4"/>
      <c r="I75" s="80" t="str">
        <f>IF(I74=J74,"Unentschieden",IF(I74&gt;J74,I73,J73))</f>
        <v>Spanien</v>
      </c>
      <c r="J75" s="80"/>
      <c r="K75" s="4"/>
      <c r="L75" s="4"/>
      <c r="M75" s="4"/>
      <c r="N75" s="4"/>
      <c r="O75" s="4"/>
      <c r="P75" s="80" t="str">
        <f>IF(P74=Q74,"Unentschieden",IF(P74&gt;Q74,P73,Q73))</f>
        <v>Frankreich</v>
      </c>
      <c r="Q75" s="80"/>
      <c r="R75" s="4"/>
      <c r="S75" s="4"/>
      <c r="T75" s="4"/>
      <c r="U75" s="4"/>
      <c r="V75" s="4"/>
      <c r="W75" s="80" t="str">
        <f>IF(W74=X74,"Unentschieden",IF(W74&gt;X74,W73,X73))</f>
        <v>Argentinien</v>
      </c>
      <c r="X75" s="80"/>
      <c r="Y75" s="4"/>
      <c r="Z75" s="4"/>
      <c r="AA75" s="4"/>
      <c r="AB75" s="4"/>
      <c r="AC75" s="4"/>
      <c r="AD75" s="80" t="str">
        <f>IF(AD74=AE74,"Unentschieden",IF(AD74&gt;AE74,AD73,AE73))</f>
        <v>Portugal</v>
      </c>
      <c r="AE75" s="80"/>
      <c r="AF75" s="4"/>
      <c r="AG75" s="4"/>
      <c r="AH75" s="4"/>
      <c r="AI75" s="4"/>
      <c r="AJ75" s="4"/>
      <c r="AK75" s="80"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2</v>
      </c>
      <c r="D79" s="4"/>
      <c r="E79" s="4"/>
      <c r="F79" s="4"/>
      <c r="G79" s="4"/>
      <c r="H79" s="4"/>
      <c r="I79" s="38">
        <v>1</v>
      </c>
      <c r="J79" s="38">
        <v>2</v>
      </c>
      <c r="K79" s="4"/>
      <c r="L79" s="4"/>
      <c r="M79" s="4"/>
      <c r="N79" s="4"/>
      <c r="O79" s="4"/>
      <c r="P79" s="38">
        <v>1</v>
      </c>
      <c r="Q79" s="38">
        <v>1</v>
      </c>
      <c r="R79" s="4"/>
      <c r="S79" s="4"/>
      <c r="T79" s="4"/>
      <c r="U79" s="4"/>
      <c r="V79" s="4"/>
      <c r="W79" s="38">
        <v>0</v>
      </c>
      <c r="X79" s="38">
        <v>1</v>
      </c>
      <c r="Y79" s="4"/>
      <c r="Z79" s="4"/>
      <c r="AA79" s="4"/>
      <c r="AB79" s="4"/>
      <c r="AC79" s="4"/>
      <c r="AD79" s="38">
        <v>2</v>
      </c>
      <c r="AE79" s="38">
        <v>1</v>
      </c>
      <c r="AF79" s="4"/>
      <c r="AG79" s="4"/>
      <c r="AH79" s="4"/>
      <c r="AI79" s="4"/>
      <c r="AJ79" s="4"/>
      <c r="AK79" s="38">
        <v>2</v>
      </c>
      <c r="AL79" s="38">
        <v>0</v>
      </c>
      <c r="AM79" s="4"/>
      <c r="AN79" s="4"/>
      <c r="AO79" s="4"/>
      <c r="AP79" s="4"/>
    </row>
    <row r="80" spans="1:42" ht="17.399999999999999" customHeight="1" x14ac:dyDescent="0.45">
      <c r="A80" s="4"/>
      <c r="B80" s="80" t="str">
        <f>IF(B79=C79,"Unentschieden",IF(B79&gt;C79,B78,C78))</f>
        <v>Iran</v>
      </c>
      <c r="C80" s="80"/>
      <c r="D80" s="4"/>
      <c r="E80" s="4"/>
      <c r="F80" s="4"/>
      <c r="G80" s="4"/>
      <c r="H80" s="4"/>
      <c r="I80" s="80" t="str">
        <f>IF(I79=J79,"Unentschieden",IF(I79&gt;J79,I78,J78))</f>
        <v>Saudi-Arabien</v>
      </c>
      <c r="J80" s="80"/>
      <c r="K80" s="4"/>
      <c r="L80" s="4"/>
      <c r="M80" s="4"/>
      <c r="N80" s="4"/>
      <c r="O80" s="4"/>
      <c r="P80" s="80" t="str">
        <f>IF(P79=Q79,"Unentschieden",IF(P79&gt;Q79,P78,Q78))</f>
        <v>Unentschieden</v>
      </c>
      <c r="Q80" s="80"/>
      <c r="R80" s="4"/>
      <c r="S80" s="4"/>
      <c r="T80" s="4"/>
      <c r="U80" s="4"/>
      <c r="V80" s="4"/>
      <c r="W80" s="80" t="str">
        <f>IF(W79=X79,"Unentschieden",IF(W79&gt;X79,W78,X78))</f>
        <v>Österreich</v>
      </c>
      <c r="X80" s="80"/>
      <c r="Y80" s="4"/>
      <c r="Z80" s="4"/>
      <c r="AA80" s="4"/>
      <c r="AB80" s="4"/>
      <c r="AC80" s="4"/>
      <c r="AD80" s="80" t="str">
        <f>IF(AD79=AE79,"Unentschieden",IF(AD79&gt;AE79,AD78,AE78))</f>
        <v>DR Kongo</v>
      </c>
      <c r="AE80" s="80"/>
      <c r="AF80" s="4"/>
      <c r="AG80" s="4"/>
      <c r="AH80" s="4"/>
      <c r="AI80" s="4"/>
      <c r="AJ80" s="4"/>
      <c r="AK80" s="80" t="str">
        <f>IF(AK79=AL79,"Unentschieden",IF(AK79&gt;AL79,AK78,AL78))</f>
        <v>Kroatien</v>
      </c>
      <c r="AL80" s="80"/>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1</v>
      </c>
      <c r="Q81" s="1">
        <f>IF(Q79=P79,1,IF(Q79&gt;P79,3,0))</f>
        <v>1</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7</v>
      </c>
      <c r="D84" s="1">
        <f>B52+B63+C74</f>
        <v>5</v>
      </c>
      <c r="E84" s="1">
        <f>C52+C63+B74</f>
        <v>1</v>
      </c>
      <c r="F84" s="1">
        <f>D84-E84</f>
        <v>4</v>
      </c>
      <c r="G84" s="4"/>
      <c r="H84" s="37"/>
      <c r="I84" s="2" t="s">
        <v>65</v>
      </c>
      <c r="J84" s="1">
        <f>I54+I65+J76</f>
        <v>9</v>
      </c>
      <c r="K84" s="1">
        <f>I52+I63+J74</f>
        <v>9</v>
      </c>
      <c r="L84" s="1">
        <f>J52+J63+I74</f>
        <v>1</v>
      </c>
      <c r="M84" s="1">
        <f>K84-L84</f>
        <v>8</v>
      </c>
      <c r="N84" s="4"/>
      <c r="O84" s="13"/>
      <c r="P84" s="2" t="s">
        <v>67</v>
      </c>
      <c r="Q84" s="1">
        <f>P54+P65+Q76</f>
        <v>9</v>
      </c>
      <c r="R84" s="1">
        <f>P52+P63+Q74</f>
        <v>5</v>
      </c>
      <c r="S84" s="1">
        <f>Q52+Q63+P74</f>
        <v>0</v>
      </c>
      <c r="T84" s="1">
        <f>R84-S84</f>
        <v>5</v>
      </c>
      <c r="U84" s="4"/>
      <c r="V84" s="13"/>
      <c r="W84" s="2" t="s">
        <v>69</v>
      </c>
      <c r="X84" s="1">
        <f>W54+W65+X76</f>
        <v>9</v>
      </c>
      <c r="Y84" s="1">
        <f>W52+W63+X74</f>
        <v>6</v>
      </c>
      <c r="Z84" s="1">
        <f>X52+X63+W74</f>
        <v>0</v>
      </c>
      <c r="AA84" s="1">
        <f>Y84-Z84</f>
        <v>6</v>
      </c>
      <c r="AB84" s="4"/>
      <c r="AC84" s="13"/>
      <c r="AD84" s="2" t="s">
        <v>71</v>
      </c>
      <c r="AE84" s="1">
        <f>AD54+AD65+AE76</f>
        <v>9</v>
      </c>
      <c r="AF84" s="1">
        <f>AD52+AD63+AE74</f>
        <v>6</v>
      </c>
      <c r="AG84" s="1">
        <f>AE52+AE63+AD74</f>
        <v>1</v>
      </c>
      <c r="AH84" s="1">
        <f>AF84-AG84</f>
        <v>5</v>
      </c>
      <c r="AI84" s="4"/>
      <c r="AJ84" s="4"/>
      <c r="AK84" s="2" t="s">
        <v>73</v>
      </c>
      <c r="AL84" s="1">
        <f>AK54+AK65+AL76</f>
        <v>9</v>
      </c>
      <c r="AM84" s="1">
        <f>AK52+AK63+AL74</f>
        <v>7</v>
      </c>
      <c r="AN84" s="1">
        <f>AL52+AL63+AK74</f>
        <v>2</v>
      </c>
      <c r="AO84" s="1">
        <f>AM84-AN84</f>
        <v>5</v>
      </c>
      <c r="AP84" s="4"/>
    </row>
    <row r="85" spans="1:42" ht="17.399999999999999" customHeight="1" x14ac:dyDescent="0.45">
      <c r="A85" s="37"/>
      <c r="B85" s="2" t="s">
        <v>64</v>
      </c>
      <c r="C85" s="1">
        <f>C54+C70+B81</f>
        <v>3</v>
      </c>
      <c r="D85" s="1">
        <f>C52+C68+B79</f>
        <v>1</v>
      </c>
      <c r="E85" s="1">
        <f>B52+B68+C79</f>
        <v>4</v>
      </c>
      <c r="F85" s="1">
        <f t="shared" ref="F85:F87" si="6">D85-E85</f>
        <v>-3</v>
      </c>
      <c r="G85" s="4"/>
      <c r="H85" s="37"/>
      <c r="I85" s="2" t="s">
        <v>66</v>
      </c>
      <c r="J85" s="1">
        <f>J54+J70+I81</f>
        <v>0</v>
      </c>
      <c r="K85" s="1">
        <f>J52+J68+I79</f>
        <v>2</v>
      </c>
      <c r="L85" s="1">
        <f>I52+I68+J79</f>
        <v>8</v>
      </c>
      <c r="M85" s="1">
        <f t="shared" ref="M85:M87" si="7">K85-L85</f>
        <v>-6</v>
      </c>
      <c r="N85" s="4"/>
      <c r="O85" s="13"/>
      <c r="P85" s="2" t="s">
        <v>68</v>
      </c>
      <c r="Q85" s="1">
        <f>Q54+Q70+P81</f>
        <v>2</v>
      </c>
      <c r="R85" s="1">
        <f>Q52+Q68+P79</f>
        <v>2</v>
      </c>
      <c r="S85" s="1">
        <f>P52+P68+Q79</f>
        <v>4</v>
      </c>
      <c r="T85" s="1">
        <f t="shared" ref="T85:T87" si="8">R85-S85</f>
        <v>-2</v>
      </c>
      <c r="U85" s="4"/>
      <c r="V85" s="13"/>
      <c r="W85" s="2" t="s">
        <v>70</v>
      </c>
      <c r="X85" s="1">
        <f>X54+X70+W81</f>
        <v>1</v>
      </c>
      <c r="Y85" s="1">
        <f>X52+X68+W79</f>
        <v>1</v>
      </c>
      <c r="Z85" s="1">
        <f>W52+W68+X79</f>
        <v>3</v>
      </c>
      <c r="AA85" s="1">
        <f t="shared" ref="AA85:AA87" si="9">Y85-Z85</f>
        <v>-2</v>
      </c>
      <c r="AB85" s="4"/>
      <c r="AC85" s="13"/>
      <c r="AD85" s="2" t="s">
        <v>72</v>
      </c>
      <c r="AE85" s="1">
        <f>AE54+AE70+AD81</f>
        <v>3</v>
      </c>
      <c r="AF85" s="1">
        <f>AE52+AE68+AD79</f>
        <v>2</v>
      </c>
      <c r="AG85" s="1">
        <f>AD52+AD68+AE79</f>
        <v>4</v>
      </c>
      <c r="AH85" s="1">
        <f t="shared" ref="AH85:AH87" si="10">AF85-AG85</f>
        <v>-2</v>
      </c>
      <c r="AI85" s="4"/>
      <c r="AJ85" s="4"/>
      <c r="AK85" s="2" t="s">
        <v>74</v>
      </c>
      <c r="AL85" s="1">
        <f>AL54+AL70+AK81</f>
        <v>6</v>
      </c>
      <c r="AM85" s="1">
        <f>AL52+AL68+AK79</f>
        <v>5</v>
      </c>
      <c r="AN85" s="1">
        <f>AK52+AK68+AL79</f>
        <v>3</v>
      </c>
      <c r="AO85" s="1">
        <f t="shared" ref="AO85:AO87" si="11">AM85-AN85</f>
        <v>2</v>
      </c>
      <c r="AP85" s="4"/>
    </row>
    <row r="86" spans="1:42" ht="17.399999999999999" customHeight="1" x14ac:dyDescent="0.45">
      <c r="A86" s="36"/>
      <c r="B86" s="2" t="s">
        <v>75</v>
      </c>
      <c r="C86" s="1">
        <f>B59+C65+C81</f>
        <v>7</v>
      </c>
      <c r="D86" s="1">
        <f>B57+C63+C79</f>
        <v>5</v>
      </c>
      <c r="E86" s="1">
        <f>C57+B63+B79</f>
        <v>2</v>
      </c>
      <c r="F86" s="1">
        <f t="shared" si="6"/>
        <v>3</v>
      </c>
      <c r="G86" s="4"/>
      <c r="H86" s="36"/>
      <c r="I86" s="2" t="s">
        <v>77</v>
      </c>
      <c r="J86" s="1">
        <f>I59+J65+J81</f>
        <v>3</v>
      </c>
      <c r="K86" s="1">
        <f>I57+J63+J79</f>
        <v>2</v>
      </c>
      <c r="L86" s="1">
        <f>J57+I63+I79</f>
        <v>6</v>
      </c>
      <c r="M86" s="1">
        <f t="shared" si="7"/>
        <v>-4</v>
      </c>
      <c r="N86" s="4"/>
      <c r="O86" s="13"/>
      <c r="P86" s="2" t="s">
        <v>79</v>
      </c>
      <c r="Q86" s="1">
        <f>P59+Q65+Q81</f>
        <v>1</v>
      </c>
      <c r="R86" s="1">
        <f>P57+Q63+Q79</f>
        <v>1</v>
      </c>
      <c r="S86" s="1">
        <f>Q57+P63+P79</f>
        <v>4</v>
      </c>
      <c r="T86" s="1">
        <f t="shared" si="8"/>
        <v>-3</v>
      </c>
      <c r="U86" s="4"/>
      <c r="V86" s="13"/>
      <c r="W86" s="2" t="s">
        <v>81</v>
      </c>
      <c r="X86" s="1">
        <f>W59+X65+X81</f>
        <v>6</v>
      </c>
      <c r="Y86" s="1">
        <f>W57+X63+X79</f>
        <v>3</v>
      </c>
      <c r="Z86" s="1">
        <f>X57+W63+W79</f>
        <v>2</v>
      </c>
      <c r="AA86" s="1">
        <f t="shared" si="9"/>
        <v>1</v>
      </c>
      <c r="AB86" s="4"/>
      <c r="AC86" s="13"/>
      <c r="AD86" s="2" t="s">
        <v>83</v>
      </c>
      <c r="AE86" s="1">
        <f>AD59+AE65+AE81</f>
        <v>0</v>
      </c>
      <c r="AF86" s="1">
        <f>AD57+AE63+AE79</f>
        <v>1</v>
      </c>
      <c r="AG86" s="1">
        <f>AE57+AD63+AD79</f>
        <v>5</v>
      </c>
      <c r="AH86" s="1">
        <f t="shared" si="10"/>
        <v>-4</v>
      </c>
      <c r="AI86" s="4"/>
      <c r="AJ86" s="4"/>
      <c r="AK86" s="2" t="s">
        <v>85</v>
      </c>
      <c r="AL86" s="1">
        <f>AK59+AL65+AL81</f>
        <v>3</v>
      </c>
      <c r="AM86" s="1">
        <f>AK57+AL63+AL79</f>
        <v>2</v>
      </c>
      <c r="AN86" s="1">
        <f>AL57+AK63+AK79</f>
        <v>4</v>
      </c>
      <c r="AO86" s="1">
        <f t="shared" si="11"/>
        <v>-2</v>
      </c>
      <c r="AP86" s="4"/>
    </row>
    <row r="87" spans="1:42" x14ac:dyDescent="0.45">
      <c r="A87" s="35"/>
      <c r="B87" s="2" t="s">
        <v>76</v>
      </c>
      <c r="C87" s="1">
        <f>C59+B70+B76</f>
        <v>0</v>
      </c>
      <c r="D87" s="1">
        <f>C57+B68+B74</f>
        <v>1</v>
      </c>
      <c r="E87" s="1">
        <f>B57+C68+C74</f>
        <v>5</v>
      </c>
      <c r="F87" s="1">
        <f t="shared" si="6"/>
        <v>-4</v>
      </c>
      <c r="G87" s="4"/>
      <c r="H87" s="35"/>
      <c r="I87" s="2" t="s">
        <v>78</v>
      </c>
      <c r="J87" s="1">
        <f>J59+I70+I76</f>
        <v>6</v>
      </c>
      <c r="K87" s="1">
        <f>J57+I68+I74</f>
        <v>5</v>
      </c>
      <c r="L87" s="1">
        <f>I57+J68+J74</f>
        <v>3</v>
      </c>
      <c r="M87" s="1">
        <f t="shared" si="7"/>
        <v>2</v>
      </c>
      <c r="N87" s="4"/>
      <c r="O87" s="13"/>
      <c r="P87" s="2" t="s">
        <v>80</v>
      </c>
      <c r="Q87" s="1">
        <f>Q59+P70+P76</f>
        <v>4</v>
      </c>
      <c r="R87" s="1">
        <f>Q57+P68+P74</f>
        <v>2</v>
      </c>
      <c r="S87" s="1">
        <f>P57+Q68+Q74</f>
        <v>2</v>
      </c>
      <c r="T87" s="1">
        <f t="shared" si="8"/>
        <v>0</v>
      </c>
      <c r="U87" s="4"/>
      <c r="V87" s="13"/>
      <c r="W87" s="2" t="s">
        <v>82</v>
      </c>
      <c r="X87" s="1">
        <f>X59+W70+W76</f>
        <v>1</v>
      </c>
      <c r="Y87" s="1">
        <f>X57+W68+W74</f>
        <v>1</v>
      </c>
      <c r="Z87" s="1">
        <f>W57+X68+X74</f>
        <v>6</v>
      </c>
      <c r="AA87" s="1">
        <f t="shared" si="9"/>
        <v>-5</v>
      </c>
      <c r="AB87" s="4"/>
      <c r="AC87" s="13"/>
      <c r="AD87" s="2" t="s">
        <v>84</v>
      </c>
      <c r="AE87" s="1">
        <f>AE59+AD70+AD76</f>
        <v>6</v>
      </c>
      <c r="AF87" s="1">
        <f>AE57+AD68+AD74</f>
        <v>3</v>
      </c>
      <c r="AG87" s="1">
        <f>AD57+AE68+AE74</f>
        <v>2</v>
      </c>
      <c r="AH87" s="1">
        <f t="shared" si="10"/>
        <v>1</v>
      </c>
      <c r="AI87" s="4"/>
      <c r="AJ87" s="4"/>
      <c r="AK87" s="2" t="s">
        <v>86</v>
      </c>
      <c r="AL87" s="1">
        <f>AL59+AK70+AK76</f>
        <v>0</v>
      </c>
      <c r="AM87" s="1">
        <f>AL57+AK68+AK74</f>
        <v>1</v>
      </c>
      <c r="AN87" s="1">
        <f>AK57+AL68+AL74</f>
        <v>6</v>
      </c>
      <c r="AO87" s="1">
        <f t="shared" si="11"/>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1"/>
      <c r="G89" s="4"/>
      <c r="H89" s="4"/>
      <c r="I89" s="81" t="s">
        <v>56</v>
      </c>
      <c r="J89" s="81"/>
      <c r="K89" s="1"/>
      <c r="L89" s="1"/>
      <c r="M89" s="1"/>
      <c r="N89" s="4"/>
      <c r="O89" s="4"/>
      <c r="P89" s="81" t="s">
        <v>56</v>
      </c>
      <c r="Q89" s="81"/>
      <c r="R89" s="1"/>
      <c r="S89" s="1"/>
      <c r="T89" s="1"/>
      <c r="U89" s="4"/>
      <c r="V89" s="4"/>
      <c r="W89" s="81" t="s">
        <v>56</v>
      </c>
      <c r="X89" s="81"/>
      <c r="Y89" s="1"/>
      <c r="Z89" s="1"/>
      <c r="AA89" s="1"/>
      <c r="AB89" s="4"/>
      <c r="AC89" s="4"/>
      <c r="AD89" s="81" t="s">
        <v>56</v>
      </c>
      <c r="AE89" s="81"/>
      <c r="AI89" s="4"/>
      <c r="AJ89" s="4"/>
      <c r="AK89" s="81" t="s">
        <v>56</v>
      </c>
      <c r="AL89" s="81"/>
      <c r="AP89" s="4"/>
    </row>
    <row r="90" spans="1:42" x14ac:dyDescent="0.45">
      <c r="A90" s="33">
        <v>1</v>
      </c>
      <c r="B90" s="2" t="str" cm="1">
        <f t="array" ref="B90:B93">_xlfn.SORTBY(B84:B87,C84:C87,-1,F84:F87,-1,D84:D87,-1)</f>
        <v>Belgien</v>
      </c>
      <c r="C90" s="1" cm="1">
        <f t="array" ref="C90:C93">_xlfn.SORTBY(C84:C87,C84:C87,-1,F84:F87,-1,D84:D87,-1)</f>
        <v>7</v>
      </c>
      <c r="D90" s="1" cm="1">
        <f t="array" ref="D90:D93">_xlfn.SORTBY(D84:D87,C84:C87,-1,F84:F87,-1,D84:D87,-1)</f>
        <v>5</v>
      </c>
      <c r="E90" s="1" cm="1">
        <f t="array" ref="E90:E93">_xlfn.SORTBY(E84:E87,C84:C87,-1,F84:F87,-1,D84:D87,-1)</f>
        <v>1</v>
      </c>
      <c r="F90" s="1" cm="1">
        <f t="array" ref="F90:F93">_xlfn.SORTBY(F84:F87,C84:C87,-1,F84:F87,-1,D84:D87,-1)</f>
        <v>4</v>
      </c>
      <c r="G90" s="4"/>
      <c r="H90" s="33">
        <v>1</v>
      </c>
      <c r="I90" s="2" t="str" cm="1">
        <f t="array" ref="I90:I93">_xlfn.SORTBY(I84:I87,J84:J87,-1,M84:M87,-1,K84:K87,-1)</f>
        <v>Spanien</v>
      </c>
      <c r="J90" s="1" cm="1">
        <f t="array" ref="J90:J93">_xlfn.SORTBY(J84:J87,J84:J87,-1,M84:M87,-1,K84:K87,-1)</f>
        <v>9</v>
      </c>
      <c r="K90" s="1" cm="1">
        <f t="array" ref="K90:K93">_xlfn.SORTBY(K84:K87,J84:J87,-1,M84:M87,-1,K84:K87,-1)</f>
        <v>9</v>
      </c>
      <c r="L90" s="1" cm="1">
        <f t="array" ref="L90:L93">_xlfn.SORTBY(L84:L87,J84:J87,-1,M84:M87,-1,K84:K87,-1)</f>
        <v>1</v>
      </c>
      <c r="M90" s="1" cm="1">
        <f t="array" ref="M90:M93">_xlfn.SORTBY(M84:M87,J84:J87,-1,M84:M87,-1,K84:K87,-1)</f>
        <v>8</v>
      </c>
      <c r="N90" s="4"/>
      <c r="O90" s="33">
        <v>1</v>
      </c>
      <c r="P90" s="2" t="str" cm="1">
        <f t="array" ref="P90:P93">_xlfn.SORTBY(P84:P87,Q84:Q87,-1,T84:T87,-1,R84:R87,-1)</f>
        <v>Frankreich</v>
      </c>
      <c r="Q90" s="1" cm="1">
        <f t="array" ref="Q90:Q93">_xlfn.SORTBY(Q84:Q87,Q84:Q87,-1,T84:T87,-1,R84:R87,-1)</f>
        <v>9</v>
      </c>
      <c r="R90" s="1" cm="1">
        <f t="array" ref="R90:R93">_xlfn.SORTBY(R84:R87,Q84:Q87,-1,T84:T87,-1,R84:R87,-1)</f>
        <v>5</v>
      </c>
      <c r="S90" s="1" cm="1">
        <f t="array" ref="S90:S93">_xlfn.SORTBY(S84:S87,Q84:Q87,-1,T84:T87,-1,R84:R87,-1)</f>
        <v>0</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6</v>
      </c>
      <c r="Z90" s="1" cm="1">
        <f t="array" ref="Z90:Z93">_xlfn.SORTBY(Z84:Z87,X84:X87,-1,AA84:AA87,-1,Y84:Y87,-1)</f>
        <v>0</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6</v>
      </c>
      <c r="AG90" s="1" cm="1">
        <f t="array" ref="AG90:AG93">_xlfn.SORTBY(AG84:AG87,AE84:AE87,-1,AH84:AH87,-1,AF84:AF87,-1)</f>
        <v>1</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2</v>
      </c>
      <c r="AO90" s="1" cm="1">
        <f t="array" ref="AO90:AO93">_xlfn.SORTBY(AO84:AO87,AL84:AL87,-1,AO84:AO87,-1,AM84:AM87,-1)</f>
        <v>5</v>
      </c>
      <c r="AP90" s="4"/>
    </row>
    <row r="91" spans="1:42" x14ac:dyDescent="0.45">
      <c r="A91" s="33">
        <v>2</v>
      </c>
      <c r="B91" s="2" t="str">
        <v>Iran</v>
      </c>
      <c r="C91" s="1">
        <v>7</v>
      </c>
      <c r="D91" s="1">
        <v>5</v>
      </c>
      <c r="E91" s="1">
        <v>2</v>
      </c>
      <c r="F91" s="1">
        <v>3</v>
      </c>
      <c r="G91" s="4"/>
      <c r="H91" s="33">
        <v>2</v>
      </c>
      <c r="I91" s="2" t="str">
        <v>Uruguay</v>
      </c>
      <c r="J91" s="1">
        <v>6</v>
      </c>
      <c r="K91" s="1">
        <v>5</v>
      </c>
      <c r="L91" s="1">
        <v>3</v>
      </c>
      <c r="M91" s="1">
        <v>2</v>
      </c>
      <c r="N91" s="4"/>
      <c r="O91" s="33">
        <v>2</v>
      </c>
      <c r="P91" s="2" t="str">
        <v>Norwegen</v>
      </c>
      <c r="Q91" s="1">
        <v>4</v>
      </c>
      <c r="R91" s="1">
        <v>2</v>
      </c>
      <c r="S91" s="1">
        <v>2</v>
      </c>
      <c r="T91" s="1">
        <v>0</v>
      </c>
      <c r="U91" s="4"/>
      <c r="V91" s="33">
        <v>2</v>
      </c>
      <c r="W91" s="2" t="str">
        <v>Österreich</v>
      </c>
      <c r="X91" s="1">
        <v>6</v>
      </c>
      <c r="Y91" s="1">
        <v>3</v>
      </c>
      <c r="Z91" s="1">
        <v>2</v>
      </c>
      <c r="AA91" s="1">
        <v>1</v>
      </c>
      <c r="AB91" s="4"/>
      <c r="AC91" s="33">
        <v>2</v>
      </c>
      <c r="AD91" s="2" t="str">
        <v>Kolumbien</v>
      </c>
      <c r="AE91" s="1">
        <v>6</v>
      </c>
      <c r="AF91" s="1">
        <v>3</v>
      </c>
      <c r="AG91" s="1">
        <v>2</v>
      </c>
      <c r="AH91" s="1">
        <v>1</v>
      </c>
      <c r="AI91" s="4"/>
      <c r="AJ91" s="33">
        <v>2</v>
      </c>
      <c r="AK91" s="2" t="str">
        <v>Kroatien</v>
      </c>
      <c r="AL91" s="1">
        <v>6</v>
      </c>
      <c r="AM91" s="1">
        <v>5</v>
      </c>
      <c r="AN91" s="1">
        <v>3</v>
      </c>
      <c r="AO91" s="1">
        <v>2</v>
      </c>
      <c r="AP91" s="4"/>
    </row>
    <row r="92" spans="1:42" x14ac:dyDescent="0.45">
      <c r="A92" s="34">
        <v>3</v>
      </c>
      <c r="B92" s="2" t="str">
        <v>Ägypten</v>
      </c>
      <c r="C92" s="1">
        <v>3</v>
      </c>
      <c r="D92" s="1">
        <v>1</v>
      </c>
      <c r="E92" s="1">
        <v>4</v>
      </c>
      <c r="F92" s="1">
        <v>-3</v>
      </c>
      <c r="G92" s="4"/>
      <c r="H92" s="34">
        <v>3</v>
      </c>
      <c r="I92" s="2" t="str">
        <v>Saudi-Arabien</v>
      </c>
      <c r="J92" s="1">
        <v>3</v>
      </c>
      <c r="K92" s="1">
        <v>2</v>
      </c>
      <c r="L92" s="1">
        <v>6</v>
      </c>
      <c r="M92" s="1">
        <v>-4</v>
      </c>
      <c r="N92" s="4"/>
      <c r="O92" s="34">
        <v>3</v>
      </c>
      <c r="P92" s="2" t="str">
        <v>Senegal</v>
      </c>
      <c r="Q92" s="1">
        <v>2</v>
      </c>
      <c r="R92" s="1">
        <v>2</v>
      </c>
      <c r="S92" s="1">
        <v>4</v>
      </c>
      <c r="T92" s="1">
        <v>-2</v>
      </c>
      <c r="U92" s="4"/>
      <c r="V92" s="34">
        <v>3</v>
      </c>
      <c r="W92" s="2" t="str">
        <v>Algerien</v>
      </c>
      <c r="X92" s="1">
        <v>1</v>
      </c>
      <c r="Y92" s="1">
        <v>1</v>
      </c>
      <c r="Z92" s="1">
        <v>3</v>
      </c>
      <c r="AA92" s="1">
        <v>-2</v>
      </c>
      <c r="AB92" s="4"/>
      <c r="AC92" s="34">
        <v>3</v>
      </c>
      <c r="AD92" s="2" t="str">
        <v>DR Kongo</v>
      </c>
      <c r="AE92" s="1">
        <v>3</v>
      </c>
      <c r="AF92" s="1">
        <v>2</v>
      </c>
      <c r="AG92" s="1">
        <v>4</v>
      </c>
      <c r="AH92" s="1">
        <v>-2</v>
      </c>
      <c r="AI92" s="4"/>
      <c r="AJ92" s="34">
        <v>3</v>
      </c>
      <c r="AK92" s="2" t="str">
        <v>Ghana</v>
      </c>
      <c r="AL92" s="1">
        <v>3</v>
      </c>
      <c r="AM92" s="1">
        <v>2</v>
      </c>
      <c r="AN92" s="1">
        <v>4</v>
      </c>
      <c r="AO92" s="1">
        <v>-2</v>
      </c>
      <c r="AP92" s="4"/>
    </row>
    <row r="93" spans="1:42" x14ac:dyDescent="0.45">
      <c r="A93" s="32">
        <v>4</v>
      </c>
      <c r="B93" s="2" t="str">
        <v>Neuseeland</v>
      </c>
      <c r="C93" s="1">
        <v>0</v>
      </c>
      <c r="D93" s="1">
        <v>1</v>
      </c>
      <c r="E93" s="1">
        <v>5</v>
      </c>
      <c r="F93" s="1">
        <v>-4</v>
      </c>
      <c r="G93" s="4"/>
      <c r="H93" s="32">
        <v>4</v>
      </c>
      <c r="I93" s="2" t="str">
        <v>Kap Verde</v>
      </c>
      <c r="J93" s="1">
        <v>0</v>
      </c>
      <c r="K93" s="1">
        <v>2</v>
      </c>
      <c r="L93" s="1">
        <v>8</v>
      </c>
      <c r="M93" s="1">
        <v>-6</v>
      </c>
      <c r="N93" s="4"/>
      <c r="O93" s="32">
        <v>4</v>
      </c>
      <c r="P93" s="2" t="str">
        <v>Irak</v>
      </c>
      <c r="Q93" s="1">
        <v>1</v>
      </c>
      <c r="R93" s="1">
        <v>1</v>
      </c>
      <c r="S93" s="1">
        <v>4</v>
      </c>
      <c r="T93" s="1">
        <v>-3</v>
      </c>
      <c r="U93" s="4"/>
      <c r="V93" s="32">
        <v>4</v>
      </c>
      <c r="W93" s="2" t="str">
        <v>Jordanien</v>
      </c>
      <c r="X93" s="1">
        <v>1</v>
      </c>
      <c r="Y93" s="1">
        <v>1</v>
      </c>
      <c r="Z93" s="1">
        <v>6</v>
      </c>
      <c r="AA93" s="1">
        <v>-5</v>
      </c>
      <c r="AB93" s="4"/>
      <c r="AC93" s="32">
        <v>4</v>
      </c>
      <c r="AD93" s="2" t="str">
        <v>Usbekistan</v>
      </c>
      <c r="AE93" s="1">
        <v>0</v>
      </c>
      <c r="AF93" s="1">
        <v>1</v>
      </c>
      <c r="AG93" s="1">
        <v>5</v>
      </c>
      <c r="AH93" s="1">
        <v>-4</v>
      </c>
      <c r="AI93" s="4"/>
      <c r="AJ93" s="32">
        <v>4</v>
      </c>
      <c r="AK93" s="2" t="str">
        <v>Panama</v>
      </c>
      <c r="AL93" s="1">
        <v>0</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82" t="s">
        <v>51</v>
      </c>
      <c r="S97" s="82"/>
      <c r="T97" s="82"/>
      <c r="U97" s="2" t="s">
        <v>52</v>
      </c>
      <c r="V97" s="2" t="s">
        <v>88</v>
      </c>
      <c r="W97" s="2" t="s">
        <v>89</v>
      </c>
      <c r="X97" s="2" t="s">
        <v>90</v>
      </c>
    </row>
    <row r="98" spans="17:24" x14ac:dyDescent="0.45">
      <c r="Q98"/>
      <c r="R98" s="82" t="str">
        <f>B92</f>
        <v>Ägypten</v>
      </c>
      <c r="S98" s="82"/>
      <c r="T98" s="82"/>
      <c r="U98" s="2">
        <f>C92</f>
        <v>3</v>
      </c>
      <c r="V98" s="2">
        <f>D92</f>
        <v>1</v>
      </c>
      <c r="W98" s="2">
        <f>E92</f>
        <v>4</v>
      </c>
      <c r="X98" s="2">
        <f>F92</f>
        <v>-3</v>
      </c>
    </row>
    <row r="99" spans="17:24" x14ac:dyDescent="0.45">
      <c r="Q99"/>
      <c r="R99" s="82" t="str">
        <f>I92</f>
        <v>Saudi-Arabien</v>
      </c>
      <c r="S99" s="82"/>
      <c r="T99" s="82"/>
      <c r="U99" s="2">
        <f>J92</f>
        <v>3</v>
      </c>
      <c r="V99" s="2">
        <f>K92</f>
        <v>2</v>
      </c>
      <c r="W99" s="2">
        <f>L92</f>
        <v>6</v>
      </c>
      <c r="X99" s="2">
        <f>M92</f>
        <v>-4</v>
      </c>
    </row>
    <row r="100" spans="17:24" x14ac:dyDescent="0.45">
      <c r="Q100"/>
      <c r="R100" s="82" t="str">
        <f>P92</f>
        <v>Senegal</v>
      </c>
      <c r="S100" s="82"/>
      <c r="T100" s="82"/>
      <c r="U100" s="2">
        <f>Q92</f>
        <v>2</v>
      </c>
      <c r="V100" s="2">
        <f>R92</f>
        <v>2</v>
      </c>
      <c r="W100" s="2">
        <f>S92</f>
        <v>4</v>
      </c>
      <c r="X100" s="2">
        <f>T92</f>
        <v>-2</v>
      </c>
    </row>
    <row r="101" spans="17:24" x14ac:dyDescent="0.45">
      <c r="Q101"/>
      <c r="R101" s="82" t="str">
        <f>W92</f>
        <v>Algerien</v>
      </c>
      <c r="S101" s="82"/>
      <c r="T101" s="82"/>
      <c r="U101" s="2">
        <f>X92</f>
        <v>1</v>
      </c>
      <c r="V101" s="2">
        <f>Y92</f>
        <v>1</v>
      </c>
      <c r="W101" s="2">
        <f>Z92</f>
        <v>3</v>
      </c>
      <c r="X101" s="2">
        <f>AA92</f>
        <v>-2</v>
      </c>
    </row>
    <row r="102" spans="17:24" x14ac:dyDescent="0.45">
      <c r="Q102"/>
      <c r="R102" s="82" t="str">
        <f>AD92</f>
        <v>DR Kongo</v>
      </c>
      <c r="S102" s="82"/>
      <c r="T102" s="82"/>
      <c r="U102" s="2">
        <f>AE92</f>
        <v>3</v>
      </c>
      <c r="V102" s="2">
        <f>AF92</f>
        <v>2</v>
      </c>
      <c r="W102" s="2">
        <f>AG92</f>
        <v>4</v>
      </c>
      <c r="X102" s="2">
        <f t="shared" ref="X102" si="12">AH92</f>
        <v>-2</v>
      </c>
    </row>
    <row r="103" spans="17:24" x14ac:dyDescent="0.45">
      <c r="Q103"/>
      <c r="R103" s="82" t="str">
        <f>AK92</f>
        <v>Ghana</v>
      </c>
      <c r="S103" s="82"/>
      <c r="T103" s="82"/>
      <c r="U103" s="2">
        <f>AL92</f>
        <v>3</v>
      </c>
      <c r="V103" s="2">
        <f t="shared" ref="V103:X103" si="13">AM92</f>
        <v>2</v>
      </c>
      <c r="W103" s="2">
        <f t="shared" si="13"/>
        <v>4</v>
      </c>
      <c r="X103" s="2">
        <f t="shared" si="13"/>
        <v>-2</v>
      </c>
    </row>
    <row r="104" spans="17:24" x14ac:dyDescent="0.45">
      <c r="R104" s="82" t="str">
        <f>B45</f>
        <v>Südafrika</v>
      </c>
      <c r="S104" s="82"/>
      <c r="T104" s="82"/>
      <c r="U104" s="2">
        <f>C45</f>
        <v>3</v>
      </c>
      <c r="V104" s="2">
        <f t="shared" ref="V104:X104" si="14">D45</f>
        <v>3</v>
      </c>
      <c r="W104" s="2">
        <f t="shared" si="14"/>
        <v>4</v>
      </c>
      <c r="X104" s="2">
        <f t="shared" si="14"/>
        <v>-1</v>
      </c>
    </row>
    <row r="105" spans="17:24" x14ac:dyDescent="0.45">
      <c r="R105" s="82" t="str">
        <f>I45</f>
        <v>Kanada</v>
      </c>
      <c r="S105" s="82"/>
      <c r="T105" s="82"/>
      <c r="U105" s="2">
        <f>J45</f>
        <v>3</v>
      </c>
      <c r="V105" s="2">
        <f t="shared" ref="V105:X105" si="15">K45</f>
        <v>4</v>
      </c>
      <c r="W105" s="2">
        <f t="shared" si="15"/>
        <v>5</v>
      </c>
      <c r="X105" s="2">
        <f t="shared" si="15"/>
        <v>-1</v>
      </c>
    </row>
    <row r="106" spans="17:24" x14ac:dyDescent="0.45">
      <c r="R106" s="82" t="str">
        <f>P45</f>
        <v>Schottland</v>
      </c>
      <c r="S106" s="82"/>
      <c r="T106" s="82"/>
      <c r="U106" s="2">
        <f>Q45</f>
        <v>3</v>
      </c>
      <c r="V106" s="2">
        <f t="shared" ref="V106:X106" si="16">R45</f>
        <v>4</v>
      </c>
      <c r="W106" s="2">
        <f t="shared" si="16"/>
        <v>5</v>
      </c>
      <c r="X106" s="2">
        <f t="shared" si="16"/>
        <v>-1</v>
      </c>
    </row>
    <row r="107" spans="17:24" x14ac:dyDescent="0.45">
      <c r="R107" s="82" t="str">
        <f>W45</f>
        <v>USA</v>
      </c>
      <c r="S107" s="82"/>
      <c r="T107" s="82"/>
      <c r="U107" s="2">
        <f>X45</f>
        <v>2</v>
      </c>
      <c r="V107" s="2">
        <f t="shared" ref="V107:W107" si="17">Y45</f>
        <v>2</v>
      </c>
      <c r="W107" s="2">
        <f t="shared" si="17"/>
        <v>4</v>
      </c>
      <c r="X107" s="2">
        <f>AA45</f>
        <v>-2</v>
      </c>
    </row>
    <row r="108" spans="17:24" x14ac:dyDescent="0.45">
      <c r="R108" s="82" t="str">
        <f>AD45</f>
        <v>Elfenbeinküste</v>
      </c>
      <c r="S108" s="82"/>
      <c r="T108" s="82"/>
      <c r="U108" s="2">
        <f>AE45</f>
        <v>4</v>
      </c>
      <c r="V108" s="2">
        <f t="shared" ref="V108:X108" si="18">AF45</f>
        <v>4</v>
      </c>
      <c r="W108" s="2">
        <f t="shared" si="18"/>
        <v>4</v>
      </c>
      <c r="X108" s="2">
        <f t="shared" si="18"/>
        <v>0</v>
      </c>
    </row>
    <row r="109" spans="17:24" x14ac:dyDescent="0.45">
      <c r="R109" s="82" t="str">
        <f>AK45</f>
        <v>Schweden</v>
      </c>
      <c r="S109" s="82"/>
      <c r="T109" s="82"/>
      <c r="U109" s="2">
        <f>AL45</f>
        <v>4</v>
      </c>
      <c r="V109" s="2">
        <f t="shared" ref="V109:W109" si="19">AM45</f>
        <v>2</v>
      </c>
      <c r="W109" s="2">
        <f t="shared" si="19"/>
        <v>3</v>
      </c>
      <c r="X109" s="2">
        <f>AO45</f>
        <v>-1</v>
      </c>
    </row>
    <row r="112" spans="17:24" x14ac:dyDescent="0.45">
      <c r="Q112" s="33">
        <v>1</v>
      </c>
      <c r="R112" s="2" t="str" cm="1">
        <f t="array" ref="R112:R123">_xlfn.SORTBY(R98:R109,U98:U109,-1,X98:X109,-1,V98:V109,-1)</f>
        <v>Elfenbeinküste</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Schweden</v>
      </c>
      <c r="U113" s="2">
        <v>4</v>
      </c>
      <c r="V113" s="2">
        <v>2</v>
      </c>
      <c r="W113" s="2">
        <v>3</v>
      </c>
      <c r="X113" s="2">
        <v>-1</v>
      </c>
    </row>
    <row r="114" spans="17:24" x14ac:dyDescent="0.45">
      <c r="Q114" s="33">
        <v>3</v>
      </c>
      <c r="R114" s="2" t="str">
        <v>Kanada</v>
      </c>
      <c r="U114" s="2">
        <v>3</v>
      </c>
      <c r="V114" s="2">
        <v>4</v>
      </c>
      <c r="W114" s="2">
        <v>5</v>
      </c>
      <c r="X114" s="2">
        <v>-1</v>
      </c>
    </row>
    <row r="115" spans="17:24" x14ac:dyDescent="0.45">
      <c r="Q115" s="33">
        <v>4</v>
      </c>
      <c r="R115" s="2" t="str">
        <v>Schottland</v>
      </c>
      <c r="U115" s="2">
        <v>3</v>
      </c>
      <c r="V115" s="2">
        <v>4</v>
      </c>
      <c r="W115" s="2">
        <v>5</v>
      </c>
      <c r="X115" s="2">
        <v>-1</v>
      </c>
    </row>
    <row r="116" spans="17:24" x14ac:dyDescent="0.45">
      <c r="Q116" s="33">
        <v>5</v>
      </c>
      <c r="R116" s="2" t="str">
        <v>Südafrika</v>
      </c>
      <c r="U116" s="2">
        <v>3</v>
      </c>
      <c r="V116" s="2">
        <v>3</v>
      </c>
      <c r="W116" s="2">
        <v>4</v>
      </c>
      <c r="X116" s="2">
        <v>-1</v>
      </c>
    </row>
    <row r="117" spans="17:24" x14ac:dyDescent="0.45">
      <c r="Q117" s="33">
        <v>6</v>
      </c>
      <c r="R117" s="2" t="str">
        <v>DR Kongo</v>
      </c>
      <c r="U117" s="2">
        <v>3</v>
      </c>
      <c r="V117" s="2">
        <v>2</v>
      </c>
      <c r="W117" s="2">
        <v>4</v>
      </c>
      <c r="X117" s="2">
        <v>-2</v>
      </c>
    </row>
    <row r="118" spans="17:24" x14ac:dyDescent="0.45">
      <c r="Q118" s="33">
        <v>7</v>
      </c>
      <c r="R118" s="2" t="str">
        <v>Ghana</v>
      </c>
      <c r="U118" s="2">
        <v>3</v>
      </c>
      <c r="V118" s="2">
        <v>2</v>
      </c>
      <c r="W118" s="2">
        <v>4</v>
      </c>
      <c r="X118" s="2">
        <v>-2</v>
      </c>
    </row>
    <row r="119" spans="17:24" x14ac:dyDescent="0.45">
      <c r="Q119" s="33">
        <v>8</v>
      </c>
      <c r="R119" s="2" t="str">
        <v>Ägypten</v>
      </c>
      <c r="U119" s="2">
        <v>3</v>
      </c>
      <c r="V119" s="2">
        <v>1</v>
      </c>
      <c r="W119" s="2">
        <v>4</v>
      </c>
      <c r="X119" s="2">
        <v>-3</v>
      </c>
    </row>
    <row r="120" spans="17:24" x14ac:dyDescent="0.45">
      <c r="Q120" s="32">
        <v>9</v>
      </c>
      <c r="R120" s="2" t="str">
        <v>Saudi-Arabien</v>
      </c>
      <c r="U120" s="2">
        <v>3</v>
      </c>
      <c r="V120" s="2">
        <v>2</v>
      </c>
      <c r="W120" s="2">
        <v>6</v>
      </c>
      <c r="X120" s="2">
        <v>-4</v>
      </c>
    </row>
    <row r="121" spans="17:24" x14ac:dyDescent="0.45">
      <c r="Q121" s="32">
        <v>10</v>
      </c>
      <c r="R121" s="2" t="str">
        <v>Senegal</v>
      </c>
      <c r="U121" s="2">
        <v>2</v>
      </c>
      <c r="V121" s="2">
        <v>2</v>
      </c>
      <c r="W121" s="2">
        <v>4</v>
      </c>
      <c r="X121" s="2">
        <v>-2</v>
      </c>
    </row>
    <row r="122" spans="17:24" x14ac:dyDescent="0.45">
      <c r="Q122" s="32">
        <v>11</v>
      </c>
      <c r="R122" s="2" t="str">
        <v>USA</v>
      </c>
      <c r="U122" s="2">
        <v>2</v>
      </c>
      <c r="V122" s="2">
        <v>2</v>
      </c>
      <c r="W122" s="2">
        <v>4</v>
      </c>
      <c r="X122" s="2">
        <v>-2</v>
      </c>
    </row>
    <row r="123" spans="17:24" x14ac:dyDescent="0.45">
      <c r="Q123" s="32">
        <v>12</v>
      </c>
      <c r="R123" s="2" t="str">
        <v>Algerien</v>
      </c>
      <c r="U123" s="2">
        <v>1</v>
      </c>
      <c r="V123" s="2">
        <v>1</v>
      </c>
      <c r="W123" s="2">
        <v>3</v>
      </c>
      <c r="X123" s="2">
        <v>-2</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215</v>
      </c>
    </row>
    <row r="155" spans="1:23" x14ac:dyDescent="0.45">
      <c r="A155" s="23" t="s">
        <v>103</v>
      </c>
      <c r="B155" s="24">
        <f>SUM(H160:H231)</f>
        <v>208</v>
      </c>
    </row>
    <row r="156" spans="1:23" x14ac:dyDescent="0.45">
      <c r="A156" s="23" t="s">
        <v>104</v>
      </c>
      <c r="B156" s="24">
        <f>SUM(E234:E265)</f>
        <v>135</v>
      </c>
    </row>
    <row r="157" spans="1:23" x14ac:dyDescent="0.45">
      <c r="A157" s="25" t="s">
        <v>105</v>
      </c>
      <c r="B157" s="26">
        <f>B154+B155+B156</f>
        <v>558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5</v>
      </c>
    </row>
    <row r="164" spans="1:8" x14ac:dyDescent="0.45">
      <c r="A164" s="28">
        <v>5</v>
      </c>
      <c r="B164" s="29" t="s">
        <v>125</v>
      </c>
      <c r="C164" s="30" t="s">
        <v>126</v>
      </c>
      <c r="D164" s="30" t="s">
        <v>127</v>
      </c>
      <c r="E164" s="28">
        <f>Realität!B27</f>
        <v>1</v>
      </c>
      <c r="F164" s="28">
        <f>Realität!C27</f>
        <v>0</v>
      </c>
      <c r="G164" s="28">
        <f>IF(OR(B27="",Realität!B27=""),0,IF(SIGN(B27-C27)=SIGN(Realität!B27-Realität!C27),5,0))</f>
        <v>5</v>
      </c>
      <c r="H164" s="28">
        <f>IF(OR(B27="",Realität!B27=""),0,MAX(0,5-ABS(B27-Realität!B27)-ABS(C27-Realität!C27)))</f>
        <v>3</v>
      </c>
    </row>
    <row r="165" spans="1:8" x14ac:dyDescent="0.45">
      <c r="A165" s="28">
        <v>6</v>
      </c>
      <c r="B165" s="29" t="s">
        <v>128</v>
      </c>
      <c r="C165" s="30" t="s">
        <v>129</v>
      </c>
      <c r="D165" s="30" t="s">
        <v>130</v>
      </c>
      <c r="E165" s="28">
        <f>Realität!B32</f>
        <v>0</v>
      </c>
      <c r="F165" s="28">
        <f>Realität!C32</f>
        <v>3</v>
      </c>
      <c r="G165" s="28">
        <f>IF(OR(B32="",Realität!B32=""),0,IF(SIGN(B32-C32)=SIGN(Realität!B32-Realität!C32),5,0))</f>
        <v>0</v>
      </c>
      <c r="H165" s="28">
        <f>IF(OR(B32="",Realität!B32=""),0,MAX(0,5-ABS(B32-Realität!B32)-ABS(C32-Realität!C32)))</f>
        <v>2</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3</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3</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0</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2</v>
      </c>
    </row>
    <row r="171" spans="1:8" x14ac:dyDescent="0.45">
      <c r="A171" s="28">
        <v>12</v>
      </c>
      <c r="B171" s="29" t="s">
        <v>146</v>
      </c>
      <c r="C171" s="30" t="s">
        <v>147</v>
      </c>
      <c r="D171" s="30" t="s">
        <v>148</v>
      </c>
      <c r="E171" s="28">
        <f>Realität!I32</f>
        <v>2</v>
      </c>
      <c r="F171" s="28">
        <f>Realität!J32</f>
        <v>1</v>
      </c>
      <c r="G171" s="28">
        <f>IF(OR(I32="",Realität!I32=""),0,IF(SIGN(I32-J32)=SIGN(Realität!I32-Realität!J32),5,0))</f>
        <v>5</v>
      </c>
      <c r="H171" s="28">
        <f>IF(OR(I32="",Realität!I32=""),0,MAX(0,5-ABS(I32-Realität!I32)-ABS(J32-Realität!J32)))</f>
        <v>5</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3</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2</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5</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1</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0</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1</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3</v>
      </c>
    </row>
    <row r="181" spans="1:8" x14ac:dyDescent="0.45">
      <c r="A181" s="28">
        <v>22</v>
      </c>
      <c r="B181" s="29" t="s">
        <v>176</v>
      </c>
      <c r="C181" s="30" t="s">
        <v>177</v>
      </c>
      <c r="D181" s="30" t="s">
        <v>178</v>
      </c>
      <c r="E181" s="28">
        <f>Realität!W21</f>
        <v>2</v>
      </c>
      <c r="F181" s="28">
        <f>Realität!X21</f>
        <v>0</v>
      </c>
      <c r="G181" s="28">
        <f>IF(OR(W21="",Realität!W21=""),0,IF(SIGN(W21-X21)=SIGN(Realität!W21-Realität!X21),5,0))</f>
        <v>0</v>
      </c>
      <c r="H181" s="28">
        <f>IF(OR(W21="",Realität!W21=""),0,MAX(0,5-ABS(W21-Realität!W21)-ABS(X21-Realität!X21)))</f>
        <v>3</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4</v>
      </c>
    </row>
    <row r="183" spans="1:8" x14ac:dyDescent="0.45">
      <c r="A183" s="28">
        <v>24</v>
      </c>
      <c r="B183" s="29" t="s">
        <v>182</v>
      </c>
      <c r="C183" s="30" t="s">
        <v>183</v>
      </c>
      <c r="D183" s="30" t="s">
        <v>184</v>
      </c>
      <c r="E183" s="28">
        <f>Realität!W32</f>
        <v>3</v>
      </c>
      <c r="F183" s="28">
        <f>Realität!X32</f>
        <v>2</v>
      </c>
      <c r="G183" s="28">
        <f>IF(OR(W32="",Realität!W32=""),0,IF(SIGN(W32-X32)=SIGN(Realität!W32-Realität!X32),5,0))</f>
        <v>5</v>
      </c>
      <c r="H183" s="28">
        <f>IF(OR(W32="",Realität!W32=""),0,MAX(0,5-ABS(W32-Realität!W32)-ABS(X32-Realität!X32)))</f>
        <v>2</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0</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3</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5</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4</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3</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2</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1</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5</v>
      </c>
      <c r="H194" s="28">
        <f>IF(OR(AK27="",Realität!AK27=""),0,MAX(0,5-ABS(AK27-Realität!AK27)-ABS(AL27-Realität!AL27)))</f>
        <v>5</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5</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4</v>
      </c>
    </row>
    <row r="198" spans="1:8" x14ac:dyDescent="0.45">
      <c r="A198" s="28">
        <v>39</v>
      </c>
      <c r="B198" s="29" t="s">
        <v>227</v>
      </c>
      <c r="C198" s="30" t="s">
        <v>228</v>
      </c>
      <c r="D198" s="30" t="s">
        <v>229</v>
      </c>
      <c r="E198" s="28">
        <f>Realität!B63</f>
        <v>0</v>
      </c>
      <c r="F198" s="28">
        <f>Realität!C63</f>
        <v>0</v>
      </c>
      <c r="G198" s="28">
        <f>IF(OR(B63="",Realität!B63=""),0,IF(SIGN(B63-C63)=SIGN(Realität!B63-Realität!C63),5,0))</f>
        <v>5</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2</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1</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3</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1</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4</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3</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2</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3</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1</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4</v>
      </c>
    </row>
    <row r="211" spans="1:8" x14ac:dyDescent="0.45">
      <c r="A211" s="28">
        <v>52</v>
      </c>
      <c r="B211" s="29" t="s">
        <v>266</v>
      </c>
      <c r="C211" s="30" t="s">
        <v>267</v>
      </c>
      <c r="D211" s="30" t="s">
        <v>268</v>
      </c>
      <c r="E211" s="28">
        <f>Realität!P68</f>
        <v>3</v>
      </c>
      <c r="F211" s="28">
        <f>Realität!Q68</f>
        <v>2</v>
      </c>
      <c r="G211" s="28">
        <f>IF(OR(P68="",Realität!P68=""),0,IF(SIGN(P68-Q68)=SIGN(Realität!P68-Realität!Q68),5,0))</f>
        <v>0</v>
      </c>
      <c r="H211" s="28">
        <f>IF(OR(P68="",Realität!P68=""),0,MAX(0,5-ABS(P68-Realität!P68)-ABS(Q68-Realität!Q68)))</f>
        <v>2</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1</v>
      </c>
    </row>
    <row r="213" spans="1:8" x14ac:dyDescent="0.45">
      <c r="A213" s="28">
        <v>54</v>
      </c>
      <c r="B213" s="29" t="s">
        <v>272</v>
      </c>
      <c r="C213" s="30" t="s">
        <v>273</v>
      </c>
      <c r="D213" s="30" t="s">
        <v>274</v>
      </c>
      <c r="E213" s="28">
        <f>Realität!P79</f>
        <v>5</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3</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5</v>
      </c>
    </row>
    <row r="217" spans="1:8" x14ac:dyDescent="0.45">
      <c r="A217" s="28">
        <v>58</v>
      </c>
      <c r="B217" s="29" t="s">
        <v>284</v>
      </c>
      <c r="C217" s="30" t="s">
        <v>285</v>
      </c>
      <c r="D217" s="30" t="s">
        <v>286</v>
      </c>
      <c r="E217" s="28">
        <f>Realität!W68</f>
        <v>1</v>
      </c>
      <c r="F217" s="28">
        <f>Realität!X68</f>
        <v>2</v>
      </c>
      <c r="G217" s="28">
        <f>IF(OR(W68="",Realität!W68=""),0,IF(SIGN(W68-X68)=SIGN(Realität!W68-Realität!X68),5,0))</f>
        <v>0</v>
      </c>
      <c r="H217" s="28">
        <f>IF(OR(W68="",Realität!W68=""),0,MAX(0,5-ABS(W68-Realität!W68)-ABS(X68-Realität!X68)))</f>
        <v>4</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3</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2</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5</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5</v>
      </c>
      <c r="H225" s="28">
        <f>IF(OR(AD79="",Realität!AD79=""),0,MAX(0,5-ABS(AD79-Realität!AD79)-ABS(AE79-Realität!AE79)))</f>
        <v>4</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5</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2</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3</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4</v>
      </c>
    </row>
    <row r="232" spans="1:8" x14ac:dyDescent="0.45">
      <c r="A232" s="31" t="s">
        <v>329</v>
      </c>
      <c r="F232" s="23" t="s">
        <v>330</v>
      </c>
      <c r="G232" s="24">
        <f>SUM(G160:G231)</f>
        <v>215</v>
      </c>
      <c r="H232" s="24">
        <f>SUM(H160:H231)</f>
        <v>208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Tschechien</v>
      </c>
      <c r="E235" s="28">
        <f t="shared" si="20"/>
        <v>0</v>
      </c>
    </row>
    <row r="236" spans="1:8" x14ac:dyDescent="0.45">
      <c r="A236" s="28">
        <v>3</v>
      </c>
      <c r="B236" s="29" t="s">
        <v>336</v>
      </c>
      <c r="C236" s="29" t="str">
        <f>Realität!I43</f>
        <v>Schweiz</v>
      </c>
      <c r="D236" s="29" t="str">
        <f>I43</f>
        <v>Schweiz</v>
      </c>
      <c r="E236" s="28">
        <f t="shared" si="20"/>
        <v>5</v>
      </c>
    </row>
    <row r="237" spans="1:8" x14ac:dyDescent="0.45">
      <c r="A237" s="28">
        <v>4</v>
      </c>
      <c r="B237" s="29" t="s">
        <v>337</v>
      </c>
      <c r="C237" s="29" t="str">
        <f>Realität!I44</f>
        <v>Kanada</v>
      </c>
      <c r="D237" s="29" t="str">
        <f>I44</f>
        <v>Bosnien-Herz.</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Australien</v>
      </c>
      <c r="D241" s="29" t="str">
        <f>W44</f>
        <v>Australien</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Elfenbeinküste</v>
      </c>
      <c r="D243" s="29" t="str">
        <f>AD44</f>
        <v>Ecuador</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0</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Norwegen</v>
      </c>
      <c r="D251" s="29" t="str">
        <f>P91</f>
        <v>Norwegen</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Österreich</v>
      </c>
      <c r="D253" s="29" t="str">
        <f>W91</f>
        <v>Österreich</v>
      </c>
      <c r="E253" s="28">
        <f t="shared" si="20"/>
        <v>5</v>
      </c>
    </row>
    <row r="254" spans="1:5" x14ac:dyDescent="0.45">
      <c r="A254" s="28">
        <v>21</v>
      </c>
      <c r="B254" s="29" t="s">
        <v>354</v>
      </c>
      <c r="C254" s="29" t="str">
        <f>Realität!AD90</f>
        <v>Kolumbien</v>
      </c>
      <c r="D254" s="29" t="str">
        <f>AD90</f>
        <v>Portugal</v>
      </c>
      <c r="E254" s="28">
        <f t="shared" si="20"/>
        <v>5</v>
      </c>
    </row>
    <row r="255" spans="1:5" x14ac:dyDescent="0.45">
      <c r="A255" s="28">
        <v>22</v>
      </c>
      <c r="B255" s="29" t="s">
        <v>355</v>
      </c>
      <c r="C255" s="29" t="str">
        <f>Realität!AD91</f>
        <v>Portugal</v>
      </c>
      <c r="D255" s="29" t="str">
        <f>AD91</f>
        <v>Kolumbien</v>
      </c>
      <c r="E255" s="28">
        <f t="shared" si="20"/>
        <v>5</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DR Kongo</v>
      </c>
      <c r="D258" s="29" t="str">
        <f t="shared" ref="D258:D265" si="21">R112</f>
        <v>Elfenbeinküste</v>
      </c>
      <c r="E258" s="28">
        <f t="shared" si="20"/>
        <v>5</v>
      </c>
    </row>
    <row r="259" spans="1:5" x14ac:dyDescent="0.45">
      <c r="A259" s="28">
        <v>26</v>
      </c>
      <c r="B259" s="29" t="s">
        <v>359</v>
      </c>
      <c r="C259" s="29" t="str">
        <f>Realität!R113</f>
        <v>Schweden</v>
      </c>
      <c r="D259" s="29" t="str">
        <f t="shared" si="21"/>
        <v>Schweden</v>
      </c>
      <c r="E259" s="28">
        <f t="shared" si="20"/>
        <v>5</v>
      </c>
    </row>
    <row r="260" spans="1:5" x14ac:dyDescent="0.45">
      <c r="A260" s="28">
        <v>27</v>
      </c>
      <c r="B260" s="29" t="s">
        <v>360</v>
      </c>
      <c r="C260" s="29" t="str">
        <f>Realität!R114</f>
        <v>Ghana</v>
      </c>
      <c r="D260" s="29" t="str">
        <f t="shared" si="21"/>
        <v>Kanada</v>
      </c>
      <c r="E260" s="28">
        <f t="shared" si="20"/>
        <v>5</v>
      </c>
    </row>
    <row r="261" spans="1:5" x14ac:dyDescent="0.45">
      <c r="A261" s="28">
        <v>28</v>
      </c>
      <c r="B261" s="29" t="s">
        <v>361</v>
      </c>
      <c r="C261" s="29" t="str">
        <f>Realität!R115</f>
        <v>Ecuador</v>
      </c>
      <c r="D261" s="29" t="str">
        <f t="shared" si="21"/>
        <v>Schottland</v>
      </c>
      <c r="E261" s="28">
        <f t="shared" si="20"/>
        <v>0</v>
      </c>
    </row>
    <row r="262" spans="1:5" x14ac:dyDescent="0.45">
      <c r="A262" s="28">
        <v>29</v>
      </c>
      <c r="B262" s="29" t="s">
        <v>362</v>
      </c>
      <c r="C262" s="29" t="str">
        <f>Realität!R116</f>
        <v>Bosnien-Herz.</v>
      </c>
      <c r="D262" s="29" t="str">
        <f t="shared" si="21"/>
        <v>Südafrika</v>
      </c>
      <c r="E262" s="28">
        <f t="shared" si="20"/>
        <v>5</v>
      </c>
    </row>
    <row r="263" spans="1:5" x14ac:dyDescent="0.45">
      <c r="A263" s="28">
        <v>30</v>
      </c>
      <c r="B263" s="29" t="s">
        <v>363</v>
      </c>
      <c r="C263" s="29" t="str">
        <f>Realität!R117</f>
        <v>Algerien</v>
      </c>
      <c r="D263" s="29" t="str">
        <f t="shared" si="21"/>
        <v>DR Kongo</v>
      </c>
      <c r="E263" s="28">
        <f t="shared" si="20"/>
        <v>5</v>
      </c>
    </row>
    <row r="264" spans="1:5" x14ac:dyDescent="0.45">
      <c r="A264" s="28">
        <v>31</v>
      </c>
      <c r="B264" s="29" t="s">
        <v>364</v>
      </c>
      <c r="C264" s="29" t="str">
        <f>Realität!R118</f>
        <v>Paraguay</v>
      </c>
      <c r="D264" s="29" t="str">
        <f t="shared" si="21"/>
        <v>Ghana</v>
      </c>
      <c r="E264" s="28">
        <f t="shared" si="20"/>
        <v>5</v>
      </c>
    </row>
    <row r="265" spans="1:5" x14ac:dyDescent="0.45">
      <c r="A265" s="28">
        <v>32</v>
      </c>
      <c r="B265" s="29" t="s">
        <v>365</v>
      </c>
      <c r="C265" s="29" t="str">
        <f>Realität!R119</f>
        <v>Senegal</v>
      </c>
      <c r="D265" s="29" t="str">
        <f t="shared" si="21"/>
        <v>Ägypten</v>
      </c>
      <c r="E265" s="28">
        <f t="shared" si="20"/>
        <v>5</v>
      </c>
    </row>
    <row r="266" spans="1:5" x14ac:dyDescent="0.45">
      <c r="D266" s="23" t="s">
        <v>330</v>
      </c>
      <c r="E266" s="24">
        <f>SUM(E234:E265)</f>
        <v>135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E706-C76E-4200-BC66-42FEBBA3B95C}">
  <dimension ref="A1:AP266"/>
  <sheetViews>
    <sheetView topLeftCell="A142" workbookViewId="0">
      <selection activeCell="B159" sqref="B159"/>
    </sheetView>
  </sheetViews>
  <sheetFormatPr defaultColWidth="11.5546875" defaultRowHeight="17.399999999999999" x14ac:dyDescent="0.45"/>
  <cols>
    <col min="1" max="1" width="11.5546875" style="2" customWidth="1"/>
    <col min="2" max="3" width="16.77734375" style="2" customWidth="1"/>
    <col min="4" max="6" width="4.33203125" style="2" customWidth="1"/>
    <col min="7" max="8" width="11.5546875" style="2" customWidth="1"/>
    <col min="9" max="10" width="16.77734375" style="2" customWidth="1"/>
    <col min="11" max="13" width="4.33203125" style="2" customWidth="1"/>
    <col min="14" max="15" width="11.5546875" style="2" customWidth="1"/>
    <col min="16" max="17" width="16.77734375" style="2" customWidth="1"/>
    <col min="18" max="18" width="5.33203125" style="2" customWidth="1"/>
    <col min="19" max="20" width="4.33203125" style="2" customWidth="1"/>
    <col min="21" max="21" width="16.77734375" style="2" customWidth="1"/>
    <col min="22" max="22" width="11.5546875" style="2" customWidth="1"/>
    <col min="23" max="24" width="16.77734375" style="2" customWidth="1"/>
    <col min="25" max="27" width="4.33203125" style="2" customWidth="1"/>
    <col min="28" max="29" width="11.5546875" style="2" customWidth="1"/>
    <col min="30" max="31" width="16.77734375" style="2" customWidth="1"/>
    <col min="32" max="32" width="4.33203125" style="2" customWidth="1"/>
    <col min="33" max="33" width="4.44140625" style="2" customWidth="1"/>
    <col min="34" max="35" width="4.33203125" style="2" customWidth="1"/>
    <col min="36" max="36" width="11.5546875" style="2" customWidth="1"/>
    <col min="37" max="38" width="16.77734375" style="2" customWidth="1"/>
    <col min="39" max="41" width="4.33203125" style="2" customWidth="1"/>
    <col min="42" max="42" width="11.5546875" style="2" customWidth="1"/>
    <col min="43" max="16384" width="11.5546875" style="2"/>
  </cols>
  <sheetData>
    <row r="1" spans="1:42" ht="17.399999999999999" customHeight="1" x14ac:dyDescent="0.7">
      <c r="A1" s="17"/>
      <c r="B1" s="79" t="s">
        <v>18</v>
      </c>
      <c r="C1" s="83"/>
      <c r="D1" s="4"/>
      <c r="E1" s="6"/>
      <c r="F1" s="6"/>
      <c r="G1" s="4"/>
      <c r="H1" s="79" t="s">
        <v>19</v>
      </c>
      <c r="I1" s="83"/>
      <c r="J1" s="83"/>
      <c r="K1" s="83"/>
      <c r="L1" s="6"/>
      <c r="M1" s="6"/>
      <c r="N1" s="4"/>
      <c r="O1" s="79" t="s">
        <v>20</v>
      </c>
      <c r="P1" s="83"/>
      <c r="Q1" s="83"/>
      <c r="R1" s="83"/>
      <c r="S1" s="6"/>
      <c r="T1" s="6"/>
      <c r="U1" s="4"/>
      <c r="V1" s="79" t="s">
        <v>21</v>
      </c>
      <c r="W1" s="83"/>
      <c r="X1" s="83"/>
      <c r="Y1" s="83"/>
      <c r="Z1" s="6"/>
      <c r="AA1" s="6"/>
      <c r="AB1" s="4"/>
      <c r="AC1" s="79" t="s">
        <v>22</v>
      </c>
      <c r="AD1" s="83"/>
      <c r="AE1" s="83"/>
      <c r="AF1" s="83"/>
      <c r="AG1" s="6"/>
      <c r="AH1" s="6"/>
      <c r="AI1" s="4"/>
      <c r="AJ1" s="79" t="s">
        <v>23</v>
      </c>
      <c r="AK1" s="83"/>
      <c r="AL1" s="83"/>
      <c r="AM1" s="83"/>
      <c r="AN1" s="6"/>
      <c r="AO1" s="6"/>
      <c r="AP1" s="4"/>
    </row>
    <row r="2" spans="1:42" x14ac:dyDescent="0.45">
      <c r="A2" s="4"/>
      <c r="B2" s="83"/>
      <c r="C2" s="83"/>
      <c r="D2" s="4"/>
      <c r="E2" s="6"/>
      <c r="F2" s="6"/>
      <c r="G2" s="4"/>
      <c r="H2" s="83"/>
      <c r="I2" s="83"/>
      <c r="J2" s="83"/>
      <c r="K2" s="83"/>
      <c r="L2" s="6"/>
      <c r="M2" s="6"/>
      <c r="N2" s="4"/>
      <c r="O2" s="83"/>
      <c r="P2" s="83"/>
      <c r="Q2" s="83"/>
      <c r="R2" s="83"/>
      <c r="S2" s="6"/>
      <c r="T2" s="6"/>
      <c r="U2" s="4"/>
      <c r="V2" s="83"/>
      <c r="W2" s="83"/>
      <c r="X2" s="83"/>
      <c r="Y2" s="83"/>
      <c r="Z2" s="6"/>
      <c r="AA2" s="6"/>
      <c r="AB2" s="4"/>
      <c r="AC2" s="83"/>
      <c r="AD2" s="83"/>
      <c r="AE2" s="83"/>
      <c r="AF2" s="83"/>
      <c r="AG2" s="6"/>
      <c r="AH2" s="6"/>
      <c r="AI2" s="4"/>
      <c r="AJ2" s="83"/>
      <c r="AK2" s="83"/>
      <c r="AL2" s="83"/>
      <c r="AM2" s="83"/>
      <c r="AN2" s="6"/>
      <c r="AO2" s="6"/>
      <c r="AP2" s="4"/>
    </row>
    <row r="3" spans="1:42" x14ac:dyDescent="0.45">
      <c r="A3" s="4"/>
      <c r="B3" s="81" t="s">
        <v>24</v>
      </c>
      <c r="C3" s="83"/>
      <c r="D3" s="4"/>
      <c r="E3" s="4"/>
      <c r="F3" s="4"/>
      <c r="G3" s="4"/>
      <c r="H3" s="4"/>
      <c r="I3" s="81" t="s">
        <v>24</v>
      </c>
      <c r="J3" s="83"/>
      <c r="K3" s="4"/>
      <c r="L3" s="4"/>
      <c r="M3" s="4"/>
      <c r="N3" s="4"/>
      <c r="O3" s="4"/>
      <c r="P3" s="81" t="s">
        <v>24</v>
      </c>
      <c r="Q3" s="83"/>
      <c r="R3" s="4"/>
      <c r="S3" s="4"/>
      <c r="T3" s="4"/>
      <c r="U3" s="4"/>
      <c r="V3" s="4"/>
      <c r="W3" s="81" t="s">
        <v>24</v>
      </c>
      <c r="X3" s="83"/>
      <c r="Y3" s="4"/>
      <c r="Z3" s="4"/>
      <c r="AA3" s="4"/>
      <c r="AB3" s="4"/>
      <c r="AC3" s="4"/>
      <c r="AD3" s="81" t="s">
        <v>24</v>
      </c>
      <c r="AE3" s="83"/>
      <c r="AF3" s="4"/>
      <c r="AG3" s="4"/>
      <c r="AH3" s="4"/>
      <c r="AI3" s="4"/>
      <c r="AJ3" s="4"/>
      <c r="AK3" s="81" t="s">
        <v>24</v>
      </c>
      <c r="AL3" s="83"/>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0</v>
      </c>
      <c r="D5" s="4"/>
      <c r="E5" s="4"/>
      <c r="F5" s="4"/>
      <c r="G5" s="4"/>
      <c r="H5" s="4"/>
      <c r="I5" s="3">
        <v>2</v>
      </c>
      <c r="J5" s="3">
        <v>1</v>
      </c>
      <c r="K5" s="4"/>
      <c r="L5" s="4"/>
      <c r="M5" s="4"/>
      <c r="N5" s="4"/>
      <c r="O5" s="4"/>
      <c r="P5" s="3">
        <v>2</v>
      </c>
      <c r="Q5" s="3">
        <v>1</v>
      </c>
      <c r="R5" s="4"/>
      <c r="S5" s="4"/>
      <c r="T5" s="4"/>
      <c r="U5" s="4"/>
      <c r="V5" s="4"/>
      <c r="W5" s="3">
        <v>2</v>
      </c>
      <c r="X5" s="3">
        <v>0</v>
      </c>
      <c r="Y5" s="4"/>
      <c r="Z5" s="4"/>
      <c r="AA5" s="4"/>
      <c r="AB5" s="4"/>
      <c r="AC5" s="4"/>
      <c r="AD5" s="3">
        <v>4</v>
      </c>
      <c r="AE5" s="3">
        <v>0</v>
      </c>
      <c r="AF5" s="4"/>
      <c r="AG5" s="4"/>
      <c r="AH5" s="4"/>
      <c r="AI5" s="4"/>
      <c r="AJ5" s="4"/>
      <c r="AK5" s="3">
        <v>2</v>
      </c>
      <c r="AL5" s="3">
        <v>1</v>
      </c>
      <c r="AM5" s="4"/>
      <c r="AN5" s="4"/>
      <c r="AO5" s="4"/>
      <c r="AP5" s="4"/>
    </row>
    <row r="6" spans="1:42" x14ac:dyDescent="0.45">
      <c r="A6" s="4"/>
      <c r="B6" s="80" t="str">
        <f>IF(B5=C5,"Unentschieden",IF(B5&gt;C5,B4,C4))</f>
        <v>Mexiko</v>
      </c>
      <c r="C6" s="95"/>
      <c r="D6" s="4"/>
      <c r="E6" s="4"/>
      <c r="F6" s="4"/>
      <c r="G6" s="4"/>
      <c r="H6" s="4"/>
      <c r="I6" s="80" t="str">
        <f>IF(I5=J5,"Unentschieden",IF(I5&gt;J5,I4,J4))</f>
        <v>Kanada</v>
      </c>
      <c r="J6" s="95"/>
      <c r="K6" s="4"/>
      <c r="L6" s="4"/>
      <c r="M6" s="4"/>
      <c r="N6" s="4"/>
      <c r="O6" s="4"/>
      <c r="P6" s="80" t="str">
        <f>IF(P5=Q5,"Unentschieden",IF(P5&gt;Q5,P4,Q4))</f>
        <v>Brasilien</v>
      </c>
      <c r="Q6" s="95"/>
      <c r="R6" s="4"/>
      <c r="S6" s="4"/>
      <c r="T6" s="4"/>
      <c r="U6" s="4"/>
      <c r="V6" s="4"/>
      <c r="W6" s="80" t="str">
        <f>IF(W5=X5,"Unentschieden",IF(W5&gt;X5,W4,X4))</f>
        <v>USA</v>
      </c>
      <c r="X6" s="95"/>
      <c r="Y6" s="4"/>
      <c r="Z6" s="4"/>
      <c r="AA6" s="4"/>
      <c r="AB6" s="4"/>
      <c r="AC6" s="4"/>
      <c r="AD6" s="80" t="str">
        <f>IF(AD5=AE5,"Unentschieden",IF(AD5&gt;AE5,AD4,AE4))</f>
        <v>Deutschland</v>
      </c>
      <c r="AE6" s="95"/>
      <c r="AF6" s="4"/>
      <c r="AG6" s="4"/>
      <c r="AH6" s="4"/>
      <c r="AI6" s="4"/>
      <c r="AJ6" s="4"/>
      <c r="AK6" s="80" t="str">
        <f>IF(AK5=AL5,"Unentschieden",IF(AK5&gt;AL5,AK4,AL4))</f>
        <v>Niederlande</v>
      </c>
      <c r="AL6" s="95"/>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v>1</v>
      </c>
      <c r="C10" s="3">
        <v>1</v>
      </c>
      <c r="D10" s="4"/>
      <c r="E10" s="4"/>
      <c r="F10" s="4"/>
      <c r="G10" s="4"/>
      <c r="H10" s="4"/>
      <c r="I10" s="3">
        <v>0</v>
      </c>
      <c r="J10" s="3">
        <v>3</v>
      </c>
      <c r="K10" s="4"/>
      <c r="L10" s="4"/>
      <c r="M10" s="4"/>
      <c r="N10" s="4"/>
      <c r="O10" s="4"/>
      <c r="P10" s="3">
        <v>0</v>
      </c>
      <c r="Q10" s="3">
        <v>2</v>
      </c>
      <c r="R10" s="4"/>
      <c r="S10" s="4"/>
      <c r="T10" s="4"/>
      <c r="U10" s="4"/>
      <c r="V10" s="4"/>
      <c r="W10" s="3">
        <v>1</v>
      </c>
      <c r="X10" s="3">
        <v>2</v>
      </c>
      <c r="Y10" s="4"/>
      <c r="Z10" s="4"/>
      <c r="AA10" s="4"/>
      <c r="AB10" s="4"/>
      <c r="AC10" s="4"/>
      <c r="AD10" s="3">
        <v>1</v>
      </c>
      <c r="AE10" s="3">
        <v>1</v>
      </c>
      <c r="AF10" s="4"/>
      <c r="AG10" s="4"/>
      <c r="AH10" s="4"/>
      <c r="AI10" s="4"/>
      <c r="AJ10" s="4"/>
      <c r="AK10" s="3">
        <v>2</v>
      </c>
      <c r="AL10" s="3">
        <v>0</v>
      </c>
      <c r="AM10" s="4"/>
      <c r="AN10" s="4"/>
      <c r="AO10" s="4"/>
      <c r="AP10" s="4"/>
    </row>
    <row r="11" spans="1:42" x14ac:dyDescent="0.45">
      <c r="A11" s="4"/>
      <c r="B11" s="80" t="str">
        <f>IF(B10=C10,"Unentschieden",IF(B10&gt;C10,B9,C9))</f>
        <v>Unentschieden</v>
      </c>
      <c r="C11" s="95"/>
      <c r="D11" s="4"/>
      <c r="E11" s="4"/>
      <c r="F11" s="4"/>
      <c r="G11" s="4"/>
      <c r="H11" s="4"/>
      <c r="I11" s="80" t="str">
        <f>IF(I10=J10,"Unentschieden",IF(I10&gt;J10,I9,J9))</f>
        <v>Schweiz</v>
      </c>
      <c r="J11" s="95"/>
      <c r="K11" s="4"/>
      <c r="L11" s="4"/>
      <c r="M11" s="4"/>
      <c r="N11" s="4"/>
      <c r="O11" s="4"/>
      <c r="P11" s="80" t="str">
        <f>IF(P10=Q10,"Unentschieden",IF(P10&gt;Q10,P9,Q9))</f>
        <v>Schottland</v>
      </c>
      <c r="Q11" s="95"/>
      <c r="R11" s="4"/>
      <c r="S11" s="4"/>
      <c r="T11" s="4"/>
      <c r="U11" s="4"/>
      <c r="V11" s="4"/>
      <c r="W11" s="80" t="str">
        <f>IF(W10=X10,"Unentschieden",IF(W10&gt;X10,W9,X9))</f>
        <v>Türkei</v>
      </c>
      <c r="X11" s="95"/>
      <c r="Y11" s="4"/>
      <c r="Z11" s="4"/>
      <c r="AA11" s="4"/>
      <c r="AB11" s="4"/>
      <c r="AC11" s="4"/>
      <c r="AD11" s="80" t="str">
        <f>IF(AD10=AE10,"Unentschieden",IF(AD10&gt;AE10,AD9,AE9))</f>
        <v>Unentschieden</v>
      </c>
      <c r="AE11" s="95"/>
      <c r="AF11" s="4"/>
      <c r="AG11" s="4"/>
      <c r="AH11" s="4"/>
      <c r="AI11" s="4"/>
      <c r="AJ11" s="4"/>
      <c r="AK11" s="80" t="str">
        <f>IF(AK10=AL10,"Unentschieden",IF(AK10&gt;AL10,AK9,AL9))</f>
        <v>Schweden</v>
      </c>
      <c r="AL11" s="95"/>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81" t="s">
        <v>49</v>
      </c>
      <c r="C14" s="83"/>
      <c r="D14" s="4"/>
      <c r="E14" s="4"/>
      <c r="F14" s="4"/>
      <c r="G14" s="4"/>
      <c r="H14" s="4"/>
      <c r="I14" s="81" t="s">
        <v>49</v>
      </c>
      <c r="J14" s="83"/>
      <c r="K14" s="4"/>
      <c r="L14" s="4"/>
      <c r="M14" s="4"/>
      <c r="N14" s="4"/>
      <c r="O14" s="4"/>
      <c r="P14" s="81" t="s">
        <v>49</v>
      </c>
      <c r="Q14" s="83"/>
      <c r="R14" s="4"/>
      <c r="S14" s="4"/>
      <c r="T14" s="4"/>
      <c r="U14" s="4"/>
      <c r="V14" s="4"/>
      <c r="W14" s="81" t="s">
        <v>49</v>
      </c>
      <c r="X14" s="83"/>
      <c r="Y14" s="4"/>
      <c r="Z14" s="4"/>
      <c r="AA14" s="4"/>
      <c r="AB14" s="4"/>
      <c r="AC14" s="4"/>
      <c r="AD14" s="81" t="s">
        <v>49</v>
      </c>
      <c r="AE14" s="83"/>
      <c r="AF14" s="4"/>
      <c r="AG14" s="4"/>
      <c r="AH14" s="4"/>
      <c r="AI14" s="4"/>
      <c r="AJ14" s="4"/>
      <c r="AK14" s="81" t="s">
        <v>49</v>
      </c>
      <c r="AL14" s="83"/>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2</v>
      </c>
      <c r="C16" s="3">
        <v>1</v>
      </c>
      <c r="D16" s="4"/>
      <c r="E16" s="4"/>
      <c r="F16" s="4"/>
      <c r="G16" s="4"/>
      <c r="H16" s="4"/>
      <c r="I16" s="3">
        <v>2</v>
      </c>
      <c r="J16" s="3">
        <v>0</v>
      </c>
      <c r="K16" s="4"/>
      <c r="L16" s="4"/>
      <c r="M16" s="4"/>
      <c r="N16" s="4"/>
      <c r="O16" s="4"/>
      <c r="P16" s="3">
        <v>1</v>
      </c>
      <c r="Q16" s="3">
        <v>2</v>
      </c>
      <c r="R16" s="4"/>
      <c r="S16" s="4"/>
      <c r="T16" s="4"/>
      <c r="U16" s="4"/>
      <c r="V16" s="4"/>
      <c r="W16" s="3">
        <v>1</v>
      </c>
      <c r="X16" s="3">
        <v>1</v>
      </c>
      <c r="Y16" s="4"/>
      <c r="Z16" s="4"/>
      <c r="AA16" s="4"/>
      <c r="AB16" s="4"/>
      <c r="AC16" s="4"/>
      <c r="AD16" s="3">
        <v>3</v>
      </c>
      <c r="AE16" s="3">
        <v>0</v>
      </c>
      <c r="AF16" s="4"/>
      <c r="AG16" s="4"/>
      <c r="AH16" s="4"/>
      <c r="AI16" s="4"/>
      <c r="AJ16" s="4"/>
      <c r="AK16" s="3">
        <v>0</v>
      </c>
      <c r="AL16" s="3">
        <v>2</v>
      </c>
      <c r="AM16" s="4"/>
      <c r="AN16" s="4"/>
      <c r="AO16" s="4"/>
      <c r="AP16" s="4"/>
    </row>
    <row r="17" spans="1:42" x14ac:dyDescent="0.45">
      <c r="A17" s="4"/>
      <c r="B17" s="80" t="str">
        <f>IF(B16=C16,"Unentschieden",IF(B16&gt;C16,B15,C15))</f>
        <v>Tschechien</v>
      </c>
      <c r="C17" s="95"/>
      <c r="D17" s="4"/>
      <c r="E17" s="4"/>
      <c r="F17" s="4"/>
      <c r="G17" s="4"/>
      <c r="H17" s="4"/>
      <c r="I17" s="80" t="str">
        <f>IF(I16=J16,"Unentschieden",IF(I16&gt;J16,I15,J15))</f>
        <v>Schweiz</v>
      </c>
      <c r="J17" s="95"/>
      <c r="K17" s="4"/>
      <c r="L17" s="4"/>
      <c r="M17" s="4"/>
      <c r="N17" s="4"/>
      <c r="O17" s="4"/>
      <c r="P17" s="80" t="str">
        <f>IF(P16=Q16,"Unentschieden",IF(P16&gt;Q16,P15,Q15))</f>
        <v>Marokko</v>
      </c>
      <c r="Q17" s="95"/>
      <c r="R17" s="4"/>
      <c r="S17" s="4"/>
      <c r="T17" s="4"/>
      <c r="U17" s="4"/>
      <c r="V17" s="4"/>
      <c r="W17" s="80" t="str">
        <f>IF(W16=X16,"Unentschieden",IF(W16&gt;X16,W15,X15))</f>
        <v>Unentschieden</v>
      </c>
      <c r="X17" s="95"/>
      <c r="Y17" s="4"/>
      <c r="Z17" s="4"/>
      <c r="AA17" s="4"/>
      <c r="AB17" s="4"/>
      <c r="AC17" s="4"/>
      <c r="AD17" s="80" t="str">
        <f>IF(AD16=AE16,"Unentschieden",IF(AD16&gt;AE16,AD15,AE15))</f>
        <v>Ecuador</v>
      </c>
      <c r="AE17" s="95"/>
      <c r="AF17" s="4"/>
      <c r="AG17" s="4"/>
      <c r="AH17" s="4"/>
      <c r="AI17" s="4"/>
      <c r="AJ17" s="4"/>
      <c r="AK17" s="80" t="str">
        <f>IF(AK16=AL16,"Unentschieden",IF(AK16&gt;AL16,AK15,AL15))</f>
        <v>Japan</v>
      </c>
      <c r="AL17" s="95"/>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v>2</v>
      </c>
      <c r="C21" s="3">
        <v>1</v>
      </c>
      <c r="D21" s="4"/>
      <c r="E21" s="4"/>
      <c r="F21" s="4"/>
      <c r="G21" s="4"/>
      <c r="H21" s="4"/>
      <c r="I21" s="3">
        <v>3</v>
      </c>
      <c r="J21" s="3">
        <v>0</v>
      </c>
      <c r="K21" s="4"/>
      <c r="L21" s="4"/>
      <c r="M21" s="4"/>
      <c r="N21" s="4"/>
      <c r="O21" s="4"/>
      <c r="P21" s="3">
        <v>4</v>
      </c>
      <c r="Q21" s="3">
        <v>0</v>
      </c>
      <c r="R21" s="4"/>
      <c r="S21" s="4"/>
      <c r="T21" s="4"/>
      <c r="U21" s="4"/>
      <c r="V21" s="4"/>
      <c r="W21" s="3">
        <v>2</v>
      </c>
      <c r="X21" s="3">
        <v>1</v>
      </c>
      <c r="Y21" s="4"/>
      <c r="Z21" s="4"/>
      <c r="AA21" s="4"/>
      <c r="AB21" s="4"/>
      <c r="AC21" s="4"/>
      <c r="AD21" s="3">
        <v>2</v>
      </c>
      <c r="AE21" s="3">
        <v>0</v>
      </c>
      <c r="AF21" s="4"/>
      <c r="AG21" s="4"/>
      <c r="AH21" s="4"/>
      <c r="AI21" s="4"/>
      <c r="AJ21" s="4"/>
      <c r="AK21" s="3">
        <v>2</v>
      </c>
      <c r="AL21" s="3">
        <v>0</v>
      </c>
      <c r="AM21" s="4"/>
      <c r="AN21" s="4"/>
      <c r="AO21" s="4"/>
      <c r="AP21" s="4"/>
    </row>
    <row r="22" spans="1:42" x14ac:dyDescent="0.45">
      <c r="A22" s="4"/>
      <c r="B22" s="80" t="str">
        <f>IF(B21=C21,"Unentschieden",IF(B21&gt;C21,B20,C20))</f>
        <v>Mexiko</v>
      </c>
      <c r="C22" s="95"/>
      <c r="D22" s="4"/>
      <c r="E22" s="4"/>
      <c r="F22" s="4"/>
      <c r="G22" s="4"/>
      <c r="H22" s="4"/>
      <c r="I22" s="80" t="str">
        <f>IF(I21=J21,"Unentschieden",IF(I21&gt;J21,I20,J20))</f>
        <v>Kanada</v>
      </c>
      <c r="J22" s="95"/>
      <c r="K22" s="4"/>
      <c r="L22" s="4"/>
      <c r="M22" s="4"/>
      <c r="N22" s="4"/>
      <c r="O22" s="4"/>
      <c r="P22" s="80" t="str">
        <f>IF(P21=Q21,"Unentschieden",IF(P21&gt;Q21,P20,Q20))</f>
        <v>Brasilien</v>
      </c>
      <c r="Q22" s="95"/>
      <c r="R22" s="4"/>
      <c r="S22" s="4"/>
      <c r="T22" s="4"/>
      <c r="U22" s="4"/>
      <c r="V22" s="4"/>
      <c r="W22" s="80" t="str">
        <f>IF(W21=X21,"Unentschieden",IF(W21&gt;X21,W20,X20))</f>
        <v>USA</v>
      </c>
      <c r="X22" s="95"/>
      <c r="Y22" s="4"/>
      <c r="Z22" s="4"/>
      <c r="AA22" s="4"/>
      <c r="AB22" s="4"/>
      <c r="AC22" s="4"/>
      <c r="AD22" s="80" t="str">
        <f>IF(AD21=AE21,"Unentschieden",IF(AD21&gt;AE21,AD20,AE20))</f>
        <v>Deutschland</v>
      </c>
      <c r="AE22" s="95"/>
      <c r="AF22" s="4"/>
      <c r="AG22" s="4"/>
      <c r="AH22" s="4"/>
      <c r="AI22" s="4"/>
      <c r="AJ22" s="4"/>
      <c r="AK22" s="80" t="str">
        <f>IF(AK21=AL21,"Unentschieden",IF(AK21&gt;AL21,AK20,AL20))</f>
        <v>Niederlande</v>
      </c>
      <c r="AL22" s="95"/>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81" t="s">
        <v>50</v>
      </c>
      <c r="C25" s="83"/>
      <c r="D25" s="4"/>
      <c r="E25" s="4"/>
      <c r="F25" s="4"/>
      <c r="G25" s="4"/>
      <c r="H25" s="4"/>
      <c r="I25" s="81" t="s">
        <v>50</v>
      </c>
      <c r="J25" s="83"/>
      <c r="K25" s="4"/>
      <c r="L25" s="4"/>
      <c r="M25" s="4"/>
      <c r="N25" s="4"/>
      <c r="O25" s="4"/>
      <c r="P25" s="81" t="s">
        <v>50</v>
      </c>
      <c r="Q25" s="83"/>
      <c r="R25" s="4"/>
      <c r="S25" s="4"/>
      <c r="T25" s="4"/>
      <c r="U25" s="4"/>
      <c r="V25" s="4"/>
      <c r="W25" s="81" t="s">
        <v>50</v>
      </c>
      <c r="X25" s="83"/>
      <c r="Y25" s="4"/>
      <c r="Z25" s="4"/>
      <c r="AA25" s="4"/>
      <c r="AB25" s="4"/>
      <c r="AC25" s="4"/>
      <c r="AD25" s="81" t="s">
        <v>50</v>
      </c>
      <c r="AE25" s="83"/>
      <c r="AF25" s="4"/>
      <c r="AG25" s="4"/>
      <c r="AH25" s="4"/>
      <c r="AI25" s="4"/>
      <c r="AJ25" s="4"/>
      <c r="AK25" s="81" t="s">
        <v>50</v>
      </c>
      <c r="AL25" s="83"/>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v>0</v>
      </c>
      <c r="C27" s="3">
        <v>2</v>
      </c>
      <c r="D27" s="4"/>
      <c r="E27" s="4"/>
      <c r="F27" s="4"/>
      <c r="G27" s="4"/>
      <c r="H27" s="4"/>
      <c r="I27" s="3">
        <v>2</v>
      </c>
      <c r="J27" s="3">
        <v>0</v>
      </c>
      <c r="K27" s="4"/>
      <c r="L27" s="4"/>
      <c r="M27" s="4"/>
      <c r="N27" s="4"/>
      <c r="O27" s="4"/>
      <c r="P27" s="3">
        <v>3</v>
      </c>
      <c r="Q27" s="3">
        <v>0</v>
      </c>
      <c r="R27" s="4"/>
      <c r="S27" s="4"/>
      <c r="T27" s="4"/>
      <c r="U27" s="4"/>
      <c r="V27" s="4"/>
      <c r="W27" s="3">
        <v>1</v>
      </c>
      <c r="X27" s="3">
        <v>0</v>
      </c>
      <c r="Y27" s="4"/>
      <c r="Z27" s="4"/>
      <c r="AA27" s="4"/>
      <c r="AB27" s="4"/>
      <c r="AC27" s="4"/>
      <c r="AD27" s="3">
        <v>0</v>
      </c>
      <c r="AE27" s="3">
        <v>2</v>
      </c>
      <c r="AF27" s="4"/>
      <c r="AG27" s="4"/>
      <c r="AH27" s="4"/>
      <c r="AI27" s="4"/>
      <c r="AJ27" s="4"/>
      <c r="AK27" s="3">
        <v>2</v>
      </c>
      <c r="AL27" s="3">
        <v>1</v>
      </c>
      <c r="AM27" s="4"/>
      <c r="AN27" s="4"/>
      <c r="AO27" s="4"/>
      <c r="AP27" s="4"/>
    </row>
    <row r="28" spans="1:42" x14ac:dyDescent="0.45">
      <c r="A28" s="4"/>
      <c r="B28" s="80" t="str">
        <f>IF(B27=C27,"Unentschieden",IF(B27&gt;C27,B26,C26))</f>
        <v>Südkorea</v>
      </c>
      <c r="C28" s="95"/>
      <c r="D28" s="4"/>
      <c r="E28" s="4"/>
      <c r="F28" s="4"/>
      <c r="G28" s="4"/>
      <c r="H28" s="4"/>
      <c r="I28" s="80" t="str">
        <f>IF(I27=J27,"Unentschieden",IF(I27&gt;J27,I26,J26))</f>
        <v>Bosnien-Herz.</v>
      </c>
      <c r="J28" s="95"/>
      <c r="K28" s="4"/>
      <c r="L28" s="4"/>
      <c r="M28" s="4"/>
      <c r="N28" s="4"/>
      <c r="O28" s="4"/>
      <c r="P28" s="80" t="str">
        <f>IF(P27=Q27,"Unentschieden",IF(P27&gt;Q27,P26,Q26))</f>
        <v>Marokko</v>
      </c>
      <c r="Q28" s="95"/>
      <c r="R28" s="4"/>
      <c r="S28" s="4"/>
      <c r="T28" s="4"/>
      <c r="U28" s="4"/>
      <c r="V28" s="4"/>
      <c r="W28" s="80" t="str">
        <f>IF(W27=X27,"Unentschieden",IF(W27&gt;X27,W26,X26))</f>
        <v>Paraguay</v>
      </c>
      <c r="X28" s="95"/>
      <c r="Y28" s="4"/>
      <c r="Z28" s="4"/>
      <c r="AA28" s="4"/>
      <c r="AB28" s="4"/>
      <c r="AC28" s="4"/>
      <c r="AD28" s="80" t="str">
        <f>IF(AD27=AE27,"Unentschieden",IF(AD27&gt;AE27,AD26,AE26))</f>
        <v>Elfenbeinküste</v>
      </c>
      <c r="AE28" s="95"/>
      <c r="AF28" s="4"/>
      <c r="AG28" s="4"/>
      <c r="AH28" s="4"/>
      <c r="AI28" s="4"/>
      <c r="AJ28" s="4"/>
      <c r="AK28" s="80" t="str">
        <f>IF(AK27=AL27,"Unentschieden",IF(AK27&gt;AL27,AK26,AL26))</f>
        <v>Japan</v>
      </c>
      <c r="AL28" s="95"/>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v>1</v>
      </c>
      <c r="C32" s="3">
        <v>2</v>
      </c>
      <c r="D32" s="4"/>
      <c r="E32" s="4"/>
      <c r="F32" s="4"/>
      <c r="G32" s="4"/>
      <c r="H32" s="4"/>
      <c r="I32" s="3">
        <v>1</v>
      </c>
      <c r="J32" s="3">
        <v>1</v>
      </c>
      <c r="K32" s="4"/>
      <c r="L32" s="4"/>
      <c r="M32" s="4"/>
      <c r="N32" s="4"/>
      <c r="O32" s="4"/>
      <c r="P32" s="3">
        <v>0</v>
      </c>
      <c r="Q32" s="3">
        <v>2</v>
      </c>
      <c r="R32" s="4"/>
      <c r="S32" s="4"/>
      <c r="T32" s="4"/>
      <c r="U32" s="4"/>
      <c r="V32" s="4"/>
      <c r="W32" s="3">
        <v>1</v>
      </c>
      <c r="X32" s="3">
        <v>2</v>
      </c>
      <c r="Y32" s="4"/>
      <c r="Z32" s="4"/>
      <c r="AA32" s="4"/>
      <c r="AB32" s="4"/>
      <c r="AC32" s="4"/>
      <c r="AD32" s="3">
        <v>1</v>
      </c>
      <c r="AE32" s="3">
        <v>2</v>
      </c>
      <c r="AF32" s="4"/>
      <c r="AG32" s="4"/>
      <c r="AH32" s="4"/>
      <c r="AI32" s="4"/>
      <c r="AJ32" s="4"/>
      <c r="AK32" s="3">
        <v>0</v>
      </c>
      <c r="AL32" s="3">
        <v>3</v>
      </c>
      <c r="AM32" s="4"/>
      <c r="AN32" s="4"/>
      <c r="AO32" s="4"/>
      <c r="AP32" s="4"/>
    </row>
    <row r="33" spans="1:42" x14ac:dyDescent="0.45">
      <c r="A33" s="4"/>
      <c r="B33" s="80" t="str">
        <f>IF(B32=C32,"Unentschieden",IF(B32&gt;C32,B31,C31))</f>
        <v>Mexiko</v>
      </c>
      <c r="C33" s="95"/>
      <c r="D33" s="4"/>
      <c r="E33" s="4"/>
      <c r="F33" s="4"/>
      <c r="G33" s="4"/>
      <c r="H33" s="4"/>
      <c r="I33" s="80" t="str">
        <f>IF(I32=J32,"Unentschieden",IF(I32&gt;J32,I31,J31))</f>
        <v>Unentschieden</v>
      </c>
      <c r="J33" s="95"/>
      <c r="K33" s="4"/>
      <c r="L33" s="4"/>
      <c r="M33" s="4"/>
      <c r="N33" s="4"/>
      <c r="O33" s="4"/>
      <c r="P33" s="80" t="str">
        <f>IF(P32=Q32,"Unentschieden",IF(P32&gt;Q32,P31,Q31))</f>
        <v>Brasilien</v>
      </c>
      <c r="Q33" s="95"/>
      <c r="R33" s="4"/>
      <c r="S33" s="4"/>
      <c r="T33" s="4"/>
      <c r="U33" s="4"/>
      <c r="V33" s="4"/>
      <c r="W33" s="80" t="str">
        <f>IF(W32=X32,"Unentschieden",IF(W32&gt;X32,W31,X31))</f>
        <v>USA</v>
      </c>
      <c r="X33" s="95"/>
      <c r="Y33" s="4"/>
      <c r="Z33" s="4"/>
      <c r="AA33" s="4"/>
      <c r="AB33" s="4"/>
      <c r="AC33" s="4"/>
      <c r="AD33" s="80" t="str">
        <f>IF(AD32=AE32,"Unentschieden",IF(AD32&gt;AE32,AD31,AE31))</f>
        <v>Deutschland</v>
      </c>
      <c r="AE33" s="95"/>
      <c r="AF33" s="4"/>
      <c r="AG33" s="4"/>
      <c r="AH33" s="4"/>
      <c r="AI33" s="4"/>
      <c r="AJ33" s="4"/>
      <c r="AK33" s="80" t="str">
        <f>IF(AK32=AL32,"Unentschieden",IF(AK32&gt;AL32,AK31,AL31))</f>
        <v>Niederlande</v>
      </c>
      <c r="AL33" s="95"/>
      <c r="AM33" s="4"/>
      <c r="AN33" s="4"/>
      <c r="AO33" s="4"/>
      <c r="AP33" s="4"/>
    </row>
    <row r="34" spans="1:42" x14ac:dyDescent="0.45">
      <c r="A34" s="4"/>
      <c r="B34" s="1">
        <f>IF(B32=C32,1,IF(B32&gt;C32,3,0))</f>
        <v>0</v>
      </c>
      <c r="C34" s="1">
        <f>IF(C32=B32,1,IF(C32&gt;B32,3,0))</f>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9</v>
      </c>
      <c r="D37" s="1">
        <f>B5+B21+C32</f>
        <v>6</v>
      </c>
      <c r="E37" s="1">
        <f>C5+C21+B32</f>
        <v>2</v>
      </c>
      <c r="F37" s="1">
        <f>D37-E37</f>
        <v>4</v>
      </c>
      <c r="G37" s="4"/>
      <c r="H37" s="7"/>
      <c r="I37" s="2" t="s">
        <v>27</v>
      </c>
      <c r="J37" s="1">
        <f>I7+I23+J34</f>
        <v>7</v>
      </c>
      <c r="K37" s="1">
        <f>I5+I21+J32</f>
        <v>6</v>
      </c>
      <c r="L37" s="1">
        <f>J5+J21+I32</f>
        <v>2</v>
      </c>
      <c r="M37" s="1">
        <f>K37-L37</f>
        <v>4</v>
      </c>
      <c r="N37" s="4"/>
      <c r="O37" s="13"/>
      <c r="P37" s="2" t="s">
        <v>29</v>
      </c>
      <c r="Q37" s="1">
        <f>P7+P23+Q34</f>
        <v>9</v>
      </c>
      <c r="R37" s="1">
        <f>P5+P21+Q32</f>
        <v>8</v>
      </c>
      <c r="S37" s="1">
        <f>Q5+Q21+P32</f>
        <v>1</v>
      </c>
      <c r="T37" s="1">
        <f>R37-S37</f>
        <v>7</v>
      </c>
      <c r="U37" s="4"/>
      <c r="V37" s="13"/>
      <c r="W37" s="2" t="s">
        <v>31</v>
      </c>
      <c r="X37" s="1">
        <f>W7+W23+X34</f>
        <v>9</v>
      </c>
      <c r="Y37" s="1">
        <f>W5+W21+X32</f>
        <v>6</v>
      </c>
      <c r="Z37" s="1">
        <f>X5+X21+W32</f>
        <v>2</v>
      </c>
      <c r="AA37" s="1">
        <f>Y37-Z37</f>
        <v>4</v>
      </c>
      <c r="AB37" s="4"/>
      <c r="AC37" s="13"/>
      <c r="AD37" s="2" t="s">
        <v>33</v>
      </c>
      <c r="AE37" s="1">
        <f>AD7+AD23+AE34</f>
        <v>9</v>
      </c>
      <c r="AF37" s="1">
        <f>AD5+AD21+AE32</f>
        <v>8</v>
      </c>
      <c r="AG37" s="1">
        <f>AE5+AE21+AD32</f>
        <v>1</v>
      </c>
      <c r="AH37" s="1">
        <f>AF37-AG37</f>
        <v>7</v>
      </c>
      <c r="AI37" s="4"/>
      <c r="AJ37" s="4"/>
      <c r="AK37" s="2" t="s">
        <v>35</v>
      </c>
      <c r="AL37" s="1">
        <f>AK7+AK23+AL34</f>
        <v>9</v>
      </c>
      <c r="AM37" s="1">
        <f>AK5+AK21+AL32</f>
        <v>7</v>
      </c>
      <c r="AN37" s="1">
        <f>AL5+AL21+AK32</f>
        <v>1</v>
      </c>
      <c r="AO37" s="1">
        <f>AM37-AN37</f>
        <v>6</v>
      </c>
      <c r="AP37" s="4"/>
    </row>
    <row r="38" spans="1:42" x14ac:dyDescent="0.45">
      <c r="A38" s="7"/>
      <c r="B38" s="2" t="s">
        <v>26</v>
      </c>
      <c r="C38" s="1">
        <f>C7+C18+B29</f>
        <v>0</v>
      </c>
      <c r="D38" s="1">
        <f>C5+C16+B27</f>
        <v>1</v>
      </c>
      <c r="E38" s="1">
        <f>B5+B16+C27</f>
        <v>6</v>
      </c>
      <c r="F38" s="1">
        <f>D38-E38</f>
        <v>-5</v>
      </c>
      <c r="G38" s="4"/>
      <c r="H38" s="7"/>
      <c r="I38" s="2" t="s">
        <v>28</v>
      </c>
      <c r="J38" s="1">
        <f>J7+J18+I29</f>
        <v>3</v>
      </c>
      <c r="K38" s="1">
        <f>J5+J16+I27</f>
        <v>3</v>
      </c>
      <c r="L38" s="1">
        <f>I5+I16+J27</f>
        <v>4</v>
      </c>
      <c r="M38" s="1">
        <f>K38-L38</f>
        <v>-1</v>
      </c>
      <c r="N38" s="4"/>
      <c r="O38" s="13"/>
      <c r="P38" s="2" t="s">
        <v>30</v>
      </c>
      <c r="Q38" s="1">
        <f>Q7+Q18+P29</f>
        <v>6</v>
      </c>
      <c r="R38" s="1">
        <f>Q5+Q16+P27</f>
        <v>6</v>
      </c>
      <c r="S38" s="1">
        <f>P5+P16+Q27</f>
        <v>3</v>
      </c>
      <c r="T38" s="1">
        <f>R38-S38</f>
        <v>3</v>
      </c>
      <c r="U38" s="4"/>
      <c r="V38" s="13"/>
      <c r="W38" s="2" t="s">
        <v>32</v>
      </c>
      <c r="X38" s="1">
        <f>X7+X18+W29</f>
        <v>4</v>
      </c>
      <c r="Y38" s="1">
        <f>X5+X16+W27</f>
        <v>2</v>
      </c>
      <c r="Z38" s="1">
        <f>W5+W16+X27</f>
        <v>3</v>
      </c>
      <c r="AA38" s="1">
        <f>Y38-Z38</f>
        <v>-1</v>
      </c>
      <c r="AB38" s="4"/>
      <c r="AC38" s="13"/>
      <c r="AD38" s="2" t="s">
        <v>34</v>
      </c>
      <c r="AE38" s="1">
        <f>AE7+AE18+AD29</f>
        <v>0</v>
      </c>
      <c r="AF38" s="1">
        <f>AE5+AE16+AD27</f>
        <v>0</v>
      </c>
      <c r="AG38" s="1">
        <f>AD5+AD16+AE27</f>
        <v>9</v>
      </c>
      <c r="AH38" s="1">
        <f>AF38-AG38</f>
        <v>-9</v>
      </c>
      <c r="AI38" s="4"/>
      <c r="AJ38" s="4"/>
      <c r="AK38" s="2" t="s">
        <v>36</v>
      </c>
      <c r="AL38" s="1">
        <f>AL7+AL18+AK29</f>
        <v>6</v>
      </c>
      <c r="AM38" s="1">
        <f>AL5+AL16+AK27</f>
        <v>5</v>
      </c>
      <c r="AN38" s="1">
        <f>AK5+AK16+AL27</f>
        <v>3</v>
      </c>
      <c r="AO38" s="1">
        <f>AM38-AN38</f>
        <v>2</v>
      </c>
      <c r="AP38" s="4"/>
    </row>
    <row r="39" spans="1:42" x14ac:dyDescent="0.45">
      <c r="A39" s="8"/>
      <c r="B39" s="2" t="s">
        <v>37</v>
      </c>
      <c r="C39" s="1">
        <f>B12+C23+C29</f>
        <v>4</v>
      </c>
      <c r="D39" s="1">
        <f>B10+C21+C27</f>
        <v>4</v>
      </c>
      <c r="E39" s="1">
        <f>C10+B21+B27</f>
        <v>3</v>
      </c>
      <c r="F39" s="1">
        <f>D39-E39</f>
        <v>1</v>
      </c>
      <c r="G39" s="4"/>
      <c r="H39" s="8"/>
      <c r="I39" s="2" t="s">
        <v>39</v>
      </c>
      <c r="J39" s="1">
        <f>I12+J23+J29</f>
        <v>0</v>
      </c>
      <c r="K39" s="1">
        <f>I10+J21+J27</f>
        <v>0</v>
      </c>
      <c r="L39" s="1">
        <f>J10+I21+I27</f>
        <v>8</v>
      </c>
      <c r="M39" s="1">
        <f>K39-L39</f>
        <v>-8</v>
      </c>
      <c r="N39" s="4"/>
      <c r="O39" s="13"/>
      <c r="P39" s="2" t="s">
        <v>41</v>
      </c>
      <c r="Q39" s="1">
        <f>P12+Q23+Q29</f>
        <v>0</v>
      </c>
      <c r="R39" s="1">
        <f>P10+Q21+Q27</f>
        <v>0</v>
      </c>
      <c r="S39" s="1">
        <f>Q10+P21+P27</f>
        <v>9</v>
      </c>
      <c r="T39" s="1">
        <f>R39-S39</f>
        <v>-9</v>
      </c>
      <c r="U39" s="4"/>
      <c r="V39" s="13"/>
      <c r="W39" s="2" t="s">
        <v>43</v>
      </c>
      <c r="X39" s="1">
        <f>W12+X23+X29</f>
        <v>0</v>
      </c>
      <c r="Y39" s="1">
        <f>W10+X21+X27</f>
        <v>2</v>
      </c>
      <c r="Z39" s="1">
        <f>X10+W21+W27</f>
        <v>5</v>
      </c>
      <c r="AA39" s="1">
        <f>Y39-Z39</f>
        <v>-3</v>
      </c>
      <c r="AB39" s="4"/>
      <c r="AC39" s="13"/>
      <c r="AD39" s="2" t="s">
        <v>45</v>
      </c>
      <c r="AE39" s="1">
        <f>AD12+AE23+AE29</f>
        <v>4</v>
      </c>
      <c r="AF39" s="1">
        <f>AD10+AE21+AE27</f>
        <v>3</v>
      </c>
      <c r="AG39" s="1">
        <f>AE10+AD21+AD27</f>
        <v>3</v>
      </c>
      <c r="AH39" s="1">
        <f>AF39-AG39</f>
        <v>0</v>
      </c>
      <c r="AI39" s="4"/>
      <c r="AJ39" s="4"/>
      <c r="AK39" s="2" t="s">
        <v>47</v>
      </c>
      <c r="AL39" s="1">
        <f>AK12+AL23+AL29</f>
        <v>3</v>
      </c>
      <c r="AM39" s="1">
        <f>AK10+AL21+AL27</f>
        <v>3</v>
      </c>
      <c r="AN39" s="1">
        <f>AL10+AK21+AK27</f>
        <v>4</v>
      </c>
      <c r="AO39" s="1">
        <f>AM39-AN39</f>
        <v>-1</v>
      </c>
      <c r="AP39" s="4"/>
    </row>
    <row r="40" spans="1:42" x14ac:dyDescent="0.45">
      <c r="A40" s="9"/>
      <c r="B40" s="2" t="s">
        <v>38</v>
      </c>
      <c r="C40" s="1">
        <f>C12+B18+B34</f>
        <v>4</v>
      </c>
      <c r="D40" s="1">
        <f>C10+B16+B32</f>
        <v>4</v>
      </c>
      <c r="E40" s="1">
        <f>B10+C16+C32</f>
        <v>4</v>
      </c>
      <c r="F40" s="1">
        <f>D40-E40</f>
        <v>0</v>
      </c>
      <c r="G40" s="4"/>
      <c r="H40" s="9"/>
      <c r="I40" s="2" t="s">
        <v>40</v>
      </c>
      <c r="J40" s="1">
        <f>J12+I18+I34</f>
        <v>7</v>
      </c>
      <c r="K40" s="1">
        <f>J10+I16+I32</f>
        <v>6</v>
      </c>
      <c r="L40" s="1">
        <f>I10+J16+J32</f>
        <v>1</v>
      </c>
      <c r="M40" s="1">
        <f>K40-L40</f>
        <v>5</v>
      </c>
      <c r="N40" s="4"/>
      <c r="O40" s="13"/>
      <c r="P40" s="2" t="s">
        <v>42</v>
      </c>
      <c r="Q40" s="1">
        <f>Q12+P18+P34</f>
        <v>3</v>
      </c>
      <c r="R40" s="1">
        <f>Q10+P16+P32</f>
        <v>3</v>
      </c>
      <c r="S40" s="1">
        <f>P10+Q16+Q32</f>
        <v>4</v>
      </c>
      <c r="T40" s="1">
        <f>R40-S40</f>
        <v>-1</v>
      </c>
      <c r="U40" s="4"/>
      <c r="V40" s="13"/>
      <c r="W40" s="2" t="s">
        <v>44</v>
      </c>
      <c r="X40" s="1">
        <f>X12+W18+W34</f>
        <v>4</v>
      </c>
      <c r="Y40" s="1">
        <f>X10+W16+W32</f>
        <v>4</v>
      </c>
      <c r="Z40" s="1">
        <f>W10+X16+X32</f>
        <v>4</v>
      </c>
      <c r="AA40" s="1">
        <f>Y40-Z40</f>
        <v>0</v>
      </c>
      <c r="AB40" s="4"/>
      <c r="AC40" s="13"/>
      <c r="AD40" s="2" t="s">
        <v>46</v>
      </c>
      <c r="AE40" s="1">
        <f>AE12+AD18+AD34</f>
        <v>4</v>
      </c>
      <c r="AF40" s="1">
        <f>AE10+AD16+AD32</f>
        <v>5</v>
      </c>
      <c r="AG40" s="1">
        <f>AD10+AE16+AE32</f>
        <v>3</v>
      </c>
      <c r="AH40" s="1">
        <f>AF40-AG40</f>
        <v>2</v>
      </c>
      <c r="AI40" s="4"/>
      <c r="AJ40" s="4"/>
      <c r="AK40" s="2" t="s">
        <v>48</v>
      </c>
      <c r="AL40" s="1">
        <f>AL12+AK18+AK34</f>
        <v>0</v>
      </c>
      <c r="AM40" s="1">
        <f>AL10+AK16+AK32</f>
        <v>0</v>
      </c>
      <c r="AN40" s="1">
        <f>AK10+AL16+AL32</f>
        <v>7</v>
      </c>
      <c r="AO40" s="1">
        <f>AM40-AN40</f>
        <v>-7</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81" t="s">
        <v>56</v>
      </c>
      <c r="C42" s="83"/>
      <c r="D42" s="1"/>
      <c r="E42" s="1"/>
      <c r="F42" s="1"/>
      <c r="G42" s="4"/>
      <c r="H42" s="4"/>
      <c r="I42" s="81" t="s">
        <v>56</v>
      </c>
      <c r="J42" s="83"/>
      <c r="K42" s="1"/>
      <c r="L42" s="1"/>
      <c r="M42" s="1"/>
      <c r="N42" s="4"/>
      <c r="O42" s="4"/>
      <c r="P42" s="81" t="s">
        <v>56</v>
      </c>
      <c r="Q42" s="83"/>
      <c r="U42" s="4"/>
      <c r="V42" s="4"/>
      <c r="W42" s="81" t="s">
        <v>56</v>
      </c>
      <c r="X42" s="83"/>
      <c r="AB42" s="4"/>
      <c r="AC42" s="4"/>
      <c r="AD42" s="81" t="s">
        <v>56</v>
      </c>
      <c r="AE42" s="83"/>
      <c r="AI42" s="4"/>
      <c r="AJ42" s="4"/>
      <c r="AK42" s="81" t="s">
        <v>56</v>
      </c>
      <c r="AL42" s="83"/>
      <c r="AP42" s="4"/>
    </row>
    <row r="43" spans="1:42" x14ac:dyDescent="0.45">
      <c r="A43" s="10">
        <v>1</v>
      </c>
      <c r="B43" s="2" t="str">
        <f t="array" ref="B43:B46">_xlfn.SORTBY(B37:B40,C37:C40,-1,F37:F40,-1,D37:D40,-1)</f>
        <v>Mexiko</v>
      </c>
      <c r="C43" s="1">
        <f t="array" ref="C43:C46">_xlfn.SORTBY(C37:C40,C37:C40,-1,F37:F40,-1,D37:D40,-1)</f>
        <v>9</v>
      </c>
      <c r="D43" s="1">
        <f t="array" ref="D43:D46">_xlfn.SORTBY(D37:D40,C37:C40,-1,F37:F40,-1,D37:D40,-1)</f>
        <v>6</v>
      </c>
      <c r="E43" s="1">
        <f t="array" ref="E43:E46">_xlfn.SORTBY(E37:E40,C37:C40,-1,F37:F40,-1,D37:D40,-1)</f>
        <v>2</v>
      </c>
      <c r="F43" s="1">
        <f t="array" ref="F43:F46">_xlfn.SORTBY(F37:F40,C37:C40,-1,F37:F40,-1,D37:D40,-1)</f>
        <v>4</v>
      </c>
      <c r="G43" s="4"/>
      <c r="H43" s="10">
        <v>1</v>
      </c>
      <c r="I43" s="2" t="str">
        <f t="array" ref="I43:I46">_xlfn.SORTBY(I37:I40,J37:J40,-1,M37:M40,-1,K37:K40,-1)</f>
        <v>Schweiz</v>
      </c>
      <c r="J43" s="1">
        <f t="array" ref="J43:J46">_xlfn.SORTBY(J37:J40,J37:J40,-1,M37:M40,-1,K37:K40,-1)</f>
        <v>7</v>
      </c>
      <c r="K43" s="1">
        <f t="array" ref="K43:K46">_xlfn.SORTBY(K37:K40,J37:J40,-1,M37:M40,-1,K37:K40,-1)</f>
        <v>6</v>
      </c>
      <c r="L43" s="1">
        <f t="array" ref="L43:L46">_xlfn.SORTBY(L37:L40,J37:J40,-1,M37:M40,-1,K37:K40,-1)</f>
        <v>1</v>
      </c>
      <c r="M43" s="1">
        <f t="array" ref="M43:M46">_xlfn.SORTBY(M37:M40,J37:J40,-1,M37:M40,-1,K37:K40,-1)</f>
        <v>5</v>
      </c>
      <c r="N43" s="4"/>
      <c r="O43" s="10">
        <v>1</v>
      </c>
      <c r="P43" s="2" t="str">
        <f t="array" ref="P43:P46">_xlfn.SORTBY(P37:P40,Q37:Q40,-1,T37:T40,-1,R37:R40,-1)</f>
        <v>Brasilien</v>
      </c>
      <c r="Q43" s="1">
        <f t="array" ref="Q43:Q46">_xlfn.SORTBY(Q37:Q40,Q37:Q40,-1,T37:T40,-1,R37:R40,-1)</f>
        <v>9</v>
      </c>
      <c r="R43" s="1">
        <f t="array" ref="R43:R46">_xlfn.SORTBY(R37:R40,Q37:Q40,-1,T37:T40,-1,R37:R40,-1)</f>
        <v>8</v>
      </c>
      <c r="S43" s="1">
        <f t="array" ref="S43:S46">_xlfn.SORTBY(S37:S40,Q37:Q40,-1,T37:T40,-1,R37:R40,-1)</f>
        <v>1</v>
      </c>
      <c r="T43" s="1">
        <f t="array" ref="T43:T46">_xlfn.SORTBY(T37:T40,Q37:Q40,-1,T37:T40,-1,R37:R40,-1)</f>
        <v>7</v>
      </c>
      <c r="U43" s="4"/>
      <c r="V43" s="10">
        <v>1</v>
      </c>
      <c r="W43" s="2" t="str">
        <f t="array" ref="W43:W46">_xlfn.SORTBY(W37:W40,X37:X40,-1,AA37:AA40,-1,Y37:Y40,-1)</f>
        <v>USA</v>
      </c>
      <c r="X43" s="1">
        <f t="array" ref="X43:X46">_xlfn.SORTBY(X37:X40,X37:X40,-1,AA37:AA40,-1,Y37:Y40,-1)</f>
        <v>9</v>
      </c>
      <c r="Y43" s="1">
        <f t="array" ref="Y43:Y46">_xlfn.SORTBY(Y37:Y40,X37:X40,-1,AA37:AA40,-1,Y37:Y40,-1)</f>
        <v>6</v>
      </c>
      <c r="Z43" s="1">
        <f t="array" ref="Z43:Z46">_xlfn.SORTBY(Z37:Z40,X37:X40,-1,AA37:AA40,-1,Y37:Y40,-1)</f>
        <v>2</v>
      </c>
      <c r="AA43" s="1">
        <f t="array" ref="AA43:AA46">_xlfn.SORTBY(AA37:AA40,X37:X40,-1,AA37:AA40,-1,Y37:Y40,-1)</f>
        <v>4</v>
      </c>
      <c r="AB43" s="4"/>
      <c r="AC43" s="10">
        <v>1</v>
      </c>
      <c r="AD43" s="2" t="str">
        <f t="array" ref="AD43:AD46">_xlfn.SORTBY(AD37:AD40,AE37:AE40,-1,AH37:AH40,-1,AF37:AF40,-1)</f>
        <v>Deutschland</v>
      </c>
      <c r="AE43" s="1">
        <f t="array" ref="AE43:AE46">_xlfn.SORTBY(AE37:AE40,AE37:AE40,-1,AH37:AH40,-1,AF37:AF40,-1)</f>
        <v>9</v>
      </c>
      <c r="AF43" s="1">
        <f t="array" ref="AF43:AF46">_xlfn.SORTBY(AF37:AF40,AE37:AE40,-1,AH37:AH40,-1,AF37:AF40,-1)</f>
        <v>8</v>
      </c>
      <c r="AG43" s="1">
        <f t="array" ref="AG43:AG46">_xlfn.SORTBY(AG37:AG40,AE37:AE40,-1,AH37:AH40,-1,AF37:AF40,-1)</f>
        <v>1</v>
      </c>
      <c r="AH43" s="1">
        <f t="array" ref="AH43:AH46">_xlfn.SORTBY(AH37:AH40,AE37:AE40,-1,AH37:AH40,-1,AF37:AF40,-1)</f>
        <v>7</v>
      </c>
      <c r="AI43" s="4"/>
      <c r="AJ43" s="10">
        <v>1</v>
      </c>
      <c r="AK43" s="2" t="str">
        <f t="array" ref="AK43:AK46">_xlfn.SORTBY(AK37:AK40,AL37:AL40,-1,AO37:AO40,-1,AM37:AM40,-1)</f>
        <v>Niederlande</v>
      </c>
      <c r="AL43" s="1">
        <f t="array" ref="AL43:AL46">_xlfn.SORTBY(AL37:AL40,AL37:AL40,-1,AO37:AO40,-1,AM37:AM40,-1)</f>
        <v>9</v>
      </c>
      <c r="AM43" s="1">
        <f t="array" ref="AM43:AM46">_xlfn.SORTBY(AM37:AM40,AL37:AL40,-1,AO37:AO40,-1,AM37:AM40,-1)</f>
        <v>7</v>
      </c>
      <c r="AN43" s="1">
        <f t="array" ref="AN43:AN46">_xlfn.SORTBY(AN37:AN40,AL37:AL40,-1,AO37:AO40,-1,AM37:AM40,-1)</f>
        <v>1</v>
      </c>
      <c r="AO43" s="1">
        <f t="array" ref="AO43:AO46">_xlfn.SORTBY(AO37:AO40,AL37:AL40,-1,AO37:AO40,-1,AM37:AM40,-1)</f>
        <v>6</v>
      </c>
      <c r="AP43" s="4"/>
    </row>
    <row r="44" spans="1:42" x14ac:dyDescent="0.45">
      <c r="A44" s="10">
        <v>2</v>
      </c>
      <c r="B44" s="2" t="str">
        <v>Südkorea</v>
      </c>
      <c r="C44" s="1">
        <v>4</v>
      </c>
      <c r="D44" s="1">
        <v>4</v>
      </c>
      <c r="E44" s="1">
        <v>3</v>
      </c>
      <c r="F44" s="1">
        <v>1</v>
      </c>
      <c r="G44" s="4"/>
      <c r="H44" s="10">
        <v>2</v>
      </c>
      <c r="I44" s="2" t="str">
        <v>Kanada</v>
      </c>
      <c r="J44" s="1">
        <v>7</v>
      </c>
      <c r="K44" s="1">
        <v>6</v>
      </c>
      <c r="L44" s="1">
        <v>2</v>
      </c>
      <c r="M44" s="1">
        <v>4</v>
      </c>
      <c r="N44" s="4"/>
      <c r="O44" s="10">
        <v>2</v>
      </c>
      <c r="P44" s="2" t="str">
        <v>Marokko</v>
      </c>
      <c r="Q44" s="1">
        <v>6</v>
      </c>
      <c r="R44" s="1">
        <v>6</v>
      </c>
      <c r="S44" s="1">
        <v>3</v>
      </c>
      <c r="T44" s="1">
        <v>3</v>
      </c>
      <c r="U44" s="4"/>
      <c r="V44" s="10">
        <v>2</v>
      </c>
      <c r="W44" s="2" t="str">
        <v>Türkei</v>
      </c>
      <c r="X44" s="1">
        <v>4</v>
      </c>
      <c r="Y44" s="1">
        <v>4</v>
      </c>
      <c r="Z44" s="1">
        <v>4</v>
      </c>
      <c r="AA44" s="1">
        <v>0</v>
      </c>
      <c r="AB44" s="4"/>
      <c r="AC44" s="10">
        <v>2</v>
      </c>
      <c r="AD44" s="2" t="str">
        <v>Ecuador</v>
      </c>
      <c r="AE44" s="1">
        <v>4</v>
      </c>
      <c r="AF44" s="1">
        <v>5</v>
      </c>
      <c r="AG44" s="1">
        <v>3</v>
      </c>
      <c r="AH44" s="1">
        <v>2</v>
      </c>
      <c r="AI44" s="4"/>
      <c r="AJ44" s="10">
        <v>2</v>
      </c>
      <c r="AK44" s="2" t="str">
        <v>Japan</v>
      </c>
      <c r="AL44" s="1">
        <v>6</v>
      </c>
      <c r="AM44" s="1">
        <v>5</v>
      </c>
      <c r="AN44" s="1">
        <v>3</v>
      </c>
      <c r="AO44" s="1">
        <v>2</v>
      </c>
      <c r="AP44" s="4"/>
    </row>
    <row r="45" spans="1:42" x14ac:dyDescent="0.45">
      <c r="A45" s="11">
        <v>3</v>
      </c>
      <c r="B45" s="2" t="str">
        <v>Tschechien</v>
      </c>
      <c r="C45" s="1">
        <v>4</v>
      </c>
      <c r="D45" s="1">
        <v>4</v>
      </c>
      <c r="E45" s="1">
        <v>4</v>
      </c>
      <c r="F45" s="1">
        <v>0</v>
      </c>
      <c r="G45" s="4"/>
      <c r="H45" s="11">
        <v>3</v>
      </c>
      <c r="I45" s="2" t="str">
        <v>Bosnien-Herz.</v>
      </c>
      <c r="J45" s="1">
        <v>3</v>
      </c>
      <c r="K45" s="1">
        <v>3</v>
      </c>
      <c r="L45" s="1">
        <v>4</v>
      </c>
      <c r="M45" s="1">
        <v>-1</v>
      </c>
      <c r="N45" s="4"/>
      <c r="O45" s="11">
        <v>3</v>
      </c>
      <c r="P45" s="2" t="str">
        <v>Schottland</v>
      </c>
      <c r="Q45" s="1">
        <v>3</v>
      </c>
      <c r="R45" s="1">
        <v>3</v>
      </c>
      <c r="S45" s="1">
        <v>4</v>
      </c>
      <c r="T45" s="1">
        <v>-1</v>
      </c>
      <c r="U45" s="4"/>
      <c r="V45" s="11">
        <v>3</v>
      </c>
      <c r="W45" s="2" t="str">
        <v>Paraguay</v>
      </c>
      <c r="X45" s="1">
        <v>4</v>
      </c>
      <c r="Y45" s="1">
        <v>2</v>
      </c>
      <c r="Z45" s="1">
        <v>3</v>
      </c>
      <c r="AA45" s="1">
        <v>-1</v>
      </c>
      <c r="AB45" s="4"/>
      <c r="AC45" s="11">
        <v>3</v>
      </c>
      <c r="AD45" s="2" t="str">
        <v>Elfenbeinküste</v>
      </c>
      <c r="AE45" s="1">
        <v>4</v>
      </c>
      <c r="AF45" s="1">
        <v>3</v>
      </c>
      <c r="AG45" s="1">
        <v>3</v>
      </c>
      <c r="AH45" s="1">
        <v>0</v>
      </c>
      <c r="AI45" s="4"/>
      <c r="AJ45" s="11">
        <v>3</v>
      </c>
      <c r="AK45" s="2" t="str">
        <v>Schweden</v>
      </c>
      <c r="AL45" s="1">
        <v>3</v>
      </c>
      <c r="AM45" s="1">
        <v>3</v>
      </c>
      <c r="AN45" s="1">
        <v>4</v>
      </c>
      <c r="AO45" s="1">
        <v>-1</v>
      </c>
      <c r="AP45" s="4"/>
    </row>
    <row r="46" spans="1:42" x14ac:dyDescent="0.45">
      <c r="A46" s="12">
        <v>4</v>
      </c>
      <c r="B46" s="2" t="str">
        <v>Südafrika</v>
      </c>
      <c r="C46" s="1">
        <v>0</v>
      </c>
      <c r="D46" s="1">
        <v>1</v>
      </c>
      <c r="E46" s="1">
        <v>6</v>
      </c>
      <c r="F46" s="1">
        <v>-5</v>
      </c>
      <c r="G46" s="4"/>
      <c r="H46" s="12">
        <v>4</v>
      </c>
      <c r="I46" s="2" t="str">
        <v>Katar</v>
      </c>
      <c r="J46" s="1">
        <v>0</v>
      </c>
      <c r="K46" s="1">
        <v>0</v>
      </c>
      <c r="L46" s="1">
        <v>8</v>
      </c>
      <c r="M46" s="1">
        <v>-8</v>
      </c>
      <c r="N46" s="4"/>
      <c r="O46" s="12">
        <v>4</v>
      </c>
      <c r="P46" s="2" t="str">
        <v>Haiti</v>
      </c>
      <c r="Q46" s="1">
        <v>0</v>
      </c>
      <c r="R46" s="1">
        <v>0</v>
      </c>
      <c r="S46" s="1">
        <v>9</v>
      </c>
      <c r="T46" s="1">
        <v>-9</v>
      </c>
      <c r="U46" s="4"/>
      <c r="V46" s="12">
        <v>4</v>
      </c>
      <c r="W46" s="2" t="str">
        <v>Australien</v>
      </c>
      <c r="X46" s="1">
        <v>0</v>
      </c>
      <c r="Y46" s="1">
        <v>2</v>
      </c>
      <c r="Z46" s="1">
        <v>5</v>
      </c>
      <c r="AA46" s="1">
        <v>-3</v>
      </c>
      <c r="AB46" s="4"/>
      <c r="AC46" s="12">
        <v>4</v>
      </c>
      <c r="AD46" s="2" t="str">
        <v>Curacao</v>
      </c>
      <c r="AE46" s="1">
        <v>0</v>
      </c>
      <c r="AF46" s="1">
        <v>0</v>
      </c>
      <c r="AG46" s="1">
        <v>9</v>
      </c>
      <c r="AH46" s="1">
        <v>-9</v>
      </c>
      <c r="AI46" s="4"/>
      <c r="AJ46" s="12">
        <v>4</v>
      </c>
      <c r="AK46" s="2" t="str">
        <v>Tunesien</v>
      </c>
      <c r="AL46" s="1">
        <v>0</v>
      </c>
      <c r="AM46" s="1">
        <v>0</v>
      </c>
      <c r="AN46" s="1">
        <v>7</v>
      </c>
      <c r="AO46" s="1">
        <v>-7</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79" t="s">
        <v>57</v>
      </c>
      <c r="B48" s="83"/>
      <c r="C48" s="83"/>
      <c r="D48" s="83"/>
      <c r="E48" s="6"/>
      <c r="F48" s="6"/>
      <c r="G48" s="4"/>
      <c r="H48" s="79" t="s">
        <v>58</v>
      </c>
      <c r="I48" s="83"/>
      <c r="J48" s="83"/>
      <c r="K48" s="83"/>
      <c r="L48" s="6"/>
      <c r="M48" s="6"/>
      <c r="N48" s="4"/>
      <c r="O48" s="79" t="s">
        <v>59</v>
      </c>
      <c r="P48" s="83"/>
      <c r="Q48" s="83"/>
      <c r="R48" s="83"/>
      <c r="S48" s="6"/>
      <c r="T48" s="6"/>
      <c r="U48" s="4"/>
      <c r="V48" s="79" t="s">
        <v>60</v>
      </c>
      <c r="W48" s="83"/>
      <c r="X48" s="83"/>
      <c r="Y48" s="83"/>
      <c r="Z48" s="6"/>
      <c r="AA48" s="6"/>
      <c r="AB48" s="4"/>
      <c r="AC48" s="79" t="s">
        <v>61</v>
      </c>
      <c r="AD48" s="83"/>
      <c r="AE48" s="83"/>
      <c r="AF48" s="83"/>
      <c r="AG48" s="6"/>
      <c r="AH48" s="6"/>
      <c r="AI48" s="4"/>
      <c r="AJ48" s="79" t="s">
        <v>62</v>
      </c>
      <c r="AK48" s="83"/>
      <c r="AL48" s="83"/>
      <c r="AM48" s="83"/>
      <c r="AN48" s="6"/>
      <c r="AO48" s="6"/>
      <c r="AP48" s="4"/>
    </row>
    <row r="49" spans="1:42" ht="17.399999999999999" customHeight="1" x14ac:dyDescent="0.45">
      <c r="A49" s="83"/>
      <c r="B49" s="83"/>
      <c r="C49" s="83"/>
      <c r="D49" s="83"/>
      <c r="E49" s="6"/>
      <c r="F49" s="6"/>
      <c r="G49" s="4"/>
      <c r="H49" s="83"/>
      <c r="I49" s="83"/>
      <c r="J49" s="83"/>
      <c r="K49" s="83"/>
      <c r="L49" s="6"/>
      <c r="M49" s="6"/>
      <c r="N49" s="4"/>
      <c r="O49" s="83"/>
      <c r="P49" s="83"/>
      <c r="Q49" s="83"/>
      <c r="R49" s="83"/>
      <c r="S49" s="6"/>
      <c r="T49" s="6"/>
      <c r="U49" s="4"/>
      <c r="V49" s="83"/>
      <c r="W49" s="83"/>
      <c r="X49" s="83"/>
      <c r="Y49" s="83"/>
      <c r="Z49" s="6"/>
      <c r="AA49" s="6"/>
      <c r="AB49" s="4"/>
      <c r="AC49" s="83"/>
      <c r="AD49" s="83"/>
      <c r="AE49" s="83"/>
      <c r="AF49" s="83"/>
      <c r="AG49" s="6"/>
      <c r="AH49" s="6"/>
      <c r="AI49" s="4"/>
      <c r="AJ49" s="83"/>
      <c r="AK49" s="83"/>
      <c r="AL49" s="83"/>
      <c r="AM49" s="83"/>
      <c r="AN49" s="6"/>
      <c r="AO49" s="6"/>
      <c r="AP49" s="4"/>
    </row>
    <row r="50" spans="1:42" x14ac:dyDescent="0.45">
      <c r="A50" s="4"/>
      <c r="B50" s="81" t="s">
        <v>24</v>
      </c>
      <c r="C50" s="83"/>
      <c r="D50" s="4"/>
      <c r="E50" s="4"/>
      <c r="F50" s="4"/>
      <c r="G50" s="4"/>
      <c r="H50" s="4"/>
      <c r="I50" s="81" t="s">
        <v>24</v>
      </c>
      <c r="J50" s="83"/>
      <c r="K50" s="4"/>
      <c r="L50" s="4"/>
      <c r="M50" s="4"/>
      <c r="N50" s="4"/>
      <c r="O50" s="4"/>
      <c r="P50" s="81" t="s">
        <v>24</v>
      </c>
      <c r="Q50" s="83"/>
      <c r="R50" s="4"/>
      <c r="S50" s="4"/>
      <c r="T50" s="4"/>
      <c r="U50" s="4"/>
      <c r="V50" s="4"/>
      <c r="W50" s="81" t="s">
        <v>24</v>
      </c>
      <c r="X50" s="83"/>
      <c r="Y50" s="4"/>
      <c r="Z50" s="4"/>
      <c r="AA50" s="4"/>
      <c r="AB50" s="4"/>
      <c r="AC50" s="4"/>
      <c r="AD50" s="81" t="s">
        <v>24</v>
      </c>
      <c r="AE50" s="83"/>
      <c r="AF50" s="4"/>
      <c r="AG50" s="4"/>
      <c r="AH50" s="4"/>
      <c r="AI50" s="4"/>
      <c r="AJ50" s="4"/>
      <c r="AK50" s="81" t="s">
        <v>24</v>
      </c>
      <c r="AL50" s="83"/>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v>2</v>
      </c>
      <c r="C52" s="3">
        <v>0</v>
      </c>
      <c r="D52" s="4"/>
      <c r="E52" s="4"/>
      <c r="F52" s="4"/>
      <c r="G52" s="4"/>
      <c r="H52" s="4"/>
      <c r="I52" s="3">
        <v>4</v>
      </c>
      <c r="J52" s="3">
        <v>0</v>
      </c>
      <c r="K52" s="4"/>
      <c r="L52" s="4"/>
      <c r="M52" s="4"/>
      <c r="N52" s="4"/>
      <c r="O52" s="4"/>
      <c r="P52" s="3">
        <v>2</v>
      </c>
      <c r="Q52" s="3">
        <v>1</v>
      </c>
      <c r="R52" s="4"/>
      <c r="S52" s="4"/>
      <c r="T52" s="4"/>
      <c r="U52" s="4"/>
      <c r="V52" s="4"/>
      <c r="W52" s="3">
        <v>2</v>
      </c>
      <c r="X52" s="3">
        <v>0</v>
      </c>
      <c r="Y52" s="4"/>
      <c r="Z52" s="4"/>
      <c r="AA52" s="4"/>
      <c r="AB52" s="4"/>
      <c r="AC52" s="4"/>
      <c r="AD52" s="3">
        <v>3</v>
      </c>
      <c r="AE52" s="3">
        <v>0</v>
      </c>
      <c r="AF52" s="4"/>
      <c r="AG52" s="4"/>
      <c r="AH52" s="4"/>
      <c r="AI52" s="4"/>
      <c r="AJ52" s="4"/>
      <c r="AK52" s="3">
        <v>2</v>
      </c>
      <c r="AL52" s="3">
        <v>1</v>
      </c>
      <c r="AM52" s="4"/>
      <c r="AN52" s="4"/>
      <c r="AO52" s="4"/>
      <c r="AP52" s="4"/>
    </row>
    <row r="53" spans="1:42" x14ac:dyDescent="0.45">
      <c r="A53" s="4"/>
      <c r="B53" s="80" t="str">
        <f>IF(B52=C52,"Unentschieden",IF(B52&gt;C52,B51,C51))</f>
        <v>Belgien</v>
      </c>
      <c r="C53" s="95"/>
      <c r="D53" s="4"/>
      <c r="E53" s="4"/>
      <c r="F53" s="4"/>
      <c r="G53" s="4"/>
      <c r="H53" s="4"/>
      <c r="I53" s="80" t="str">
        <f>IF(I52=J52,"Unentschieden",IF(I52&gt;J52,I51,J51))</f>
        <v>Spanien</v>
      </c>
      <c r="J53" s="95"/>
      <c r="K53" s="4"/>
      <c r="L53" s="4"/>
      <c r="M53" s="4"/>
      <c r="N53" s="4"/>
      <c r="O53" s="4"/>
      <c r="P53" s="80" t="str">
        <f>IF(P52=Q52,"Unentschieden",IF(P52&gt;Q52,P51,Q51))</f>
        <v>Frankreich</v>
      </c>
      <c r="Q53" s="95"/>
      <c r="R53" s="4"/>
      <c r="S53" s="4"/>
      <c r="T53" s="4"/>
      <c r="U53" s="4"/>
      <c r="V53" s="4"/>
      <c r="W53" s="80" t="str">
        <f>IF(W52=X52,"Unentschieden",IF(W52&gt;X52,W51,X51))</f>
        <v>Argentinien</v>
      </c>
      <c r="X53" s="95"/>
      <c r="Y53" s="4"/>
      <c r="Z53" s="4"/>
      <c r="AA53" s="4"/>
      <c r="AB53" s="4"/>
      <c r="AC53" s="4"/>
      <c r="AD53" s="80" t="str">
        <f>IF(AD52=AE52,"Unentschieden",IF(AD52&gt;AE52,AD51,AE51))</f>
        <v>Portugal</v>
      </c>
      <c r="AE53" s="95"/>
      <c r="AF53" s="4"/>
      <c r="AG53" s="4"/>
      <c r="AH53" s="4"/>
      <c r="AI53" s="4"/>
      <c r="AJ53" s="4"/>
      <c r="AK53" s="80" t="str">
        <f>IF(AK52=AL52,"Unentschieden",IF(AK52&gt;AL52,AK51,AL51))</f>
        <v>England</v>
      </c>
      <c r="AL53" s="95"/>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v>2</v>
      </c>
      <c r="C57" s="3">
        <v>0</v>
      </c>
      <c r="D57" s="4"/>
      <c r="E57" s="4"/>
      <c r="F57" s="4"/>
      <c r="G57" s="4"/>
      <c r="H57" s="4"/>
      <c r="I57" s="3">
        <v>0</v>
      </c>
      <c r="J57" s="3">
        <v>2</v>
      </c>
      <c r="K57" s="4"/>
      <c r="L57" s="4"/>
      <c r="M57" s="4"/>
      <c r="N57" s="4"/>
      <c r="O57" s="4"/>
      <c r="P57" s="3">
        <v>0</v>
      </c>
      <c r="Q57" s="3">
        <v>3</v>
      </c>
      <c r="R57" s="4"/>
      <c r="S57" s="4"/>
      <c r="T57" s="4"/>
      <c r="U57" s="4"/>
      <c r="V57" s="4"/>
      <c r="W57" s="3">
        <v>2</v>
      </c>
      <c r="X57" s="3">
        <v>0</v>
      </c>
      <c r="Y57" s="4"/>
      <c r="Z57" s="4"/>
      <c r="AA57" s="4"/>
      <c r="AB57" s="4"/>
      <c r="AC57" s="4"/>
      <c r="AD57" s="3">
        <v>0</v>
      </c>
      <c r="AE57" s="3">
        <v>2</v>
      </c>
      <c r="AF57" s="4"/>
      <c r="AG57" s="4"/>
      <c r="AH57" s="4"/>
      <c r="AI57" s="4"/>
      <c r="AJ57" s="4"/>
      <c r="AK57" s="3">
        <v>2</v>
      </c>
      <c r="AL57" s="3">
        <v>1</v>
      </c>
      <c r="AM57" s="4"/>
      <c r="AN57" s="4"/>
      <c r="AO57" s="4"/>
      <c r="AP57" s="4"/>
    </row>
    <row r="58" spans="1:42" x14ac:dyDescent="0.45">
      <c r="A58" s="4"/>
      <c r="B58" s="80" t="str">
        <f>IF(B57=C57,"Unentschieden",IF(B57&gt;C57,B56,C56))</f>
        <v>Iran</v>
      </c>
      <c r="C58" s="95"/>
      <c r="D58" s="4"/>
      <c r="E58" s="4"/>
      <c r="F58" s="4"/>
      <c r="G58" s="4"/>
      <c r="H58" s="4"/>
      <c r="I58" s="80" t="str">
        <f>IF(I57=J57,"Unentschieden",IF(I57&gt;J57,I56,J56))</f>
        <v>Uruguay</v>
      </c>
      <c r="J58" s="95"/>
      <c r="K58" s="4"/>
      <c r="L58" s="4"/>
      <c r="M58" s="4"/>
      <c r="N58" s="4"/>
      <c r="O58" s="4"/>
      <c r="P58" s="80" t="str">
        <f>IF(P57=Q57,"Unentschieden",IF(P57&gt;Q57,P56,Q56))</f>
        <v>Norwegen</v>
      </c>
      <c r="Q58" s="95"/>
      <c r="R58" s="4"/>
      <c r="S58" s="4"/>
      <c r="T58" s="4"/>
      <c r="U58" s="4"/>
      <c r="V58" s="4"/>
      <c r="W58" s="80" t="str">
        <f>IF(W57=X57,"Unentschieden",IF(W57&gt;X57,W56,X56))</f>
        <v>Österreich</v>
      </c>
      <c r="X58" s="95"/>
      <c r="Y58" s="4"/>
      <c r="Z58" s="4"/>
      <c r="AA58" s="4"/>
      <c r="AB58" s="4"/>
      <c r="AC58" s="4"/>
      <c r="AD58" s="80" t="str">
        <f>IF(AD57=AE57,"Unentschieden",IF(AD57&gt;AE57,AD56,AE56))</f>
        <v>Kolumbien</v>
      </c>
      <c r="AE58" s="95"/>
      <c r="AF58" s="4"/>
      <c r="AG58" s="4"/>
      <c r="AH58" s="4"/>
      <c r="AI58" s="4"/>
      <c r="AJ58" s="4"/>
      <c r="AK58" s="80" t="str">
        <f>IF(AK57=AL57,"Unentschieden",IF(AK57&gt;AL57,AK56,AL56))</f>
        <v>Ghana</v>
      </c>
      <c r="AL58" s="95"/>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81" t="s">
        <v>49</v>
      </c>
      <c r="C61" s="83"/>
      <c r="D61" s="4"/>
      <c r="E61" s="4"/>
      <c r="F61" s="4"/>
      <c r="G61" s="4"/>
      <c r="H61" s="4"/>
      <c r="I61" s="81" t="s">
        <v>49</v>
      </c>
      <c r="J61" s="83"/>
      <c r="K61" s="4"/>
      <c r="L61" s="4"/>
      <c r="M61" s="4"/>
      <c r="N61" s="4"/>
      <c r="O61" s="4"/>
      <c r="P61" s="81" t="s">
        <v>49</v>
      </c>
      <c r="Q61" s="83"/>
      <c r="R61" s="4"/>
      <c r="S61" s="4"/>
      <c r="T61" s="4"/>
      <c r="U61" s="4"/>
      <c r="V61" s="4"/>
      <c r="W61" s="81" t="s">
        <v>49</v>
      </c>
      <c r="X61" s="83"/>
      <c r="Y61" s="4"/>
      <c r="Z61" s="4"/>
      <c r="AA61" s="4"/>
      <c r="AB61" s="4"/>
      <c r="AC61" s="4"/>
      <c r="AD61" s="81" t="s">
        <v>49</v>
      </c>
      <c r="AE61" s="83"/>
      <c r="AF61" s="4"/>
      <c r="AG61" s="4"/>
      <c r="AH61" s="4"/>
      <c r="AI61" s="4"/>
      <c r="AJ61" s="4"/>
      <c r="AK61" s="81" t="s">
        <v>49</v>
      </c>
      <c r="AL61" s="83"/>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v>2</v>
      </c>
      <c r="C63" s="3">
        <v>0</v>
      </c>
      <c r="D63" s="4"/>
      <c r="E63" s="4"/>
      <c r="F63" s="4"/>
      <c r="G63" s="4"/>
      <c r="H63" s="4"/>
      <c r="I63" s="3">
        <v>3</v>
      </c>
      <c r="J63" s="3">
        <v>0</v>
      </c>
      <c r="K63" s="4"/>
      <c r="L63" s="4"/>
      <c r="M63" s="4"/>
      <c r="N63" s="4"/>
      <c r="O63" s="4"/>
      <c r="P63" s="3">
        <v>3</v>
      </c>
      <c r="Q63" s="3">
        <v>0</v>
      </c>
      <c r="R63" s="4"/>
      <c r="S63" s="4"/>
      <c r="T63" s="4"/>
      <c r="U63" s="4"/>
      <c r="V63" s="4"/>
      <c r="W63" s="3">
        <v>2</v>
      </c>
      <c r="X63" s="3">
        <v>1</v>
      </c>
      <c r="Y63" s="4"/>
      <c r="Z63" s="4"/>
      <c r="AA63" s="4"/>
      <c r="AB63" s="4"/>
      <c r="AC63" s="4"/>
      <c r="AD63" s="3">
        <v>2</v>
      </c>
      <c r="AE63" s="3">
        <v>0</v>
      </c>
      <c r="AF63" s="4"/>
      <c r="AG63" s="4"/>
      <c r="AH63" s="4"/>
      <c r="AI63" s="4"/>
      <c r="AJ63" s="4"/>
      <c r="AK63" s="3">
        <v>2</v>
      </c>
      <c r="AL63" s="3">
        <v>0</v>
      </c>
      <c r="AM63" s="4"/>
      <c r="AN63" s="4"/>
      <c r="AO63" s="4"/>
      <c r="AP63" s="4"/>
    </row>
    <row r="64" spans="1:42" x14ac:dyDescent="0.45">
      <c r="A64" s="4"/>
      <c r="B64" s="80" t="str">
        <f>IF(B63=C63,"Unentschieden",IF(B63&gt;C63,B62,C62))</f>
        <v>Belgien</v>
      </c>
      <c r="C64" s="95"/>
      <c r="D64" s="4"/>
      <c r="E64" s="4"/>
      <c r="F64" s="4"/>
      <c r="G64" s="4"/>
      <c r="H64" s="4"/>
      <c r="I64" s="80" t="str">
        <f>IF(I63=J63,"Unentschieden",IF(I63&gt;J63,I62,J62))</f>
        <v>Spanien</v>
      </c>
      <c r="J64" s="95"/>
      <c r="K64" s="4"/>
      <c r="L64" s="4"/>
      <c r="M64" s="4"/>
      <c r="N64" s="4"/>
      <c r="O64" s="4"/>
      <c r="P64" s="80" t="str">
        <f>IF(P63=Q63,"Unentschieden",IF(P63&gt;Q63,P62,Q62))</f>
        <v>Frankreich</v>
      </c>
      <c r="Q64" s="95"/>
      <c r="R64" s="4"/>
      <c r="S64" s="4"/>
      <c r="T64" s="4"/>
      <c r="U64" s="4"/>
      <c r="V64" s="4"/>
      <c r="W64" s="80" t="str">
        <f>IF(W63=X63,"Unentschieden",IF(W63&gt;X63,W62,X62))</f>
        <v>Argentinien</v>
      </c>
      <c r="X64" s="95"/>
      <c r="Y64" s="4"/>
      <c r="Z64" s="4"/>
      <c r="AA64" s="4"/>
      <c r="AB64" s="4"/>
      <c r="AC64" s="4"/>
      <c r="AD64" s="80" t="str">
        <f>IF(AD63=AE63,"Unentschieden",IF(AD63&gt;AE63,AD62,AE62))</f>
        <v>Portugal</v>
      </c>
      <c r="AE64" s="95"/>
      <c r="AF64" s="4"/>
      <c r="AG64" s="4"/>
      <c r="AH64" s="4"/>
      <c r="AI64" s="4"/>
      <c r="AJ64" s="4"/>
      <c r="AK64" s="80" t="str">
        <f>IF(AK63=AL63,"Unentschieden",IF(AK63&gt;AL63,AK62,AL62))</f>
        <v>England</v>
      </c>
      <c r="AL64" s="95"/>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v>0</v>
      </c>
      <c r="C68" s="3">
        <v>2</v>
      </c>
      <c r="D68" s="4"/>
      <c r="E68" s="4"/>
      <c r="F68" s="4"/>
      <c r="G68" s="4"/>
      <c r="H68" s="4"/>
      <c r="I68" s="3">
        <v>3</v>
      </c>
      <c r="J68" s="3">
        <v>0</v>
      </c>
      <c r="K68" s="4"/>
      <c r="L68" s="4"/>
      <c r="M68" s="4"/>
      <c r="N68" s="4"/>
      <c r="O68" s="4"/>
      <c r="P68" s="3">
        <v>2</v>
      </c>
      <c r="Q68" s="3">
        <v>1</v>
      </c>
      <c r="R68" s="4"/>
      <c r="S68" s="4"/>
      <c r="T68" s="4"/>
      <c r="U68" s="4"/>
      <c r="V68" s="4"/>
      <c r="W68" s="3">
        <v>0</v>
      </c>
      <c r="X68" s="3">
        <v>1</v>
      </c>
      <c r="Y68" s="4"/>
      <c r="Z68" s="4"/>
      <c r="AA68" s="4"/>
      <c r="AB68" s="4"/>
      <c r="AC68" s="4"/>
      <c r="AD68" s="3">
        <v>2</v>
      </c>
      <c r="AE68" s="3">
        <v>0</v>
      </c>
      <c r="AF68" s="4"/>
      <c r="AG68" s="4"/>
      <c r="AH68" s="4"/>
      <c r="AI68" s="4"/>
      <c r="AJ68" s="4"/>
      <c r="AK68" s="3">
        <v>0</v>
      </c>
      <c r="AL68" s="3">
        <v>2</v>
      </c>
      <c r="AM68" s="4"/>
      <c r="AN68" s="4"/>
      <c r="AO68" s="4"/>
      <c r="AP68" s="4"/>
    </row>
    <row r="69" spans="1:42" x14ac:dyDescent="0.45">
      <c r="A69" s="4"/>
      <c r="B69" s="80" t="str">
        <f>IF(B68=C68,"Unentschieden",IF(B68&gt;C68,B67,C67))</f>
        <v>Ägypten</v>
      </c>
      <c r="C69" s="95"/>
      <c r="D69" s="4"/>
      <c r="E69" s="4"/>
      <c r="F69" s="4"/>
      <c r="G69" s="4"/>
      <c r="H69" s="4"/>
      <c r="I69" s="80" t="str">
        <f>IF(I68=J68,"Unentschieden",IF(I68&gt;J68,I67,J67))</f>
        <v>Uruguay</v>
      </c>
      <c r="J69" s="95"/>
      <c r="K69" s="4"/>
      <c r="L69" s="4"/>
      <c r="M69" s="4"/>
      <c r="N69" s="4"/>
      <c r="O69" s="4"/>
      <c r="P69" s="80" t="str">
        <f>IF(P68=Q68,"Unentschieden",IF(P68&gt;Q68,P67,Q67))</f>
        <v>Norwegen</v>
      </c>
      <c r="Q69" s="95"/>
      <c r="R69" s="4"/>
      <c r="S69" s="4"/>
      <c r="T69" s="4"/>
      <c r="U69" s="4"/>
      <c r="V69" s="4"/>
      <c r="W69" s="80" t="str">
        <f>IF(W68=X68,"Unentschieden",IF(W68&gt;X68,W67,X67))</f>
        <v>Algerien</v>
      </c>
      <c r="X69" s="95"/>
      <c r="Y69" s="4"/>
      <c r="Z69" s="4"/>
      <c r="AA69" s="4"/>
      <c r="AB69" s="4"/>
      <c r="AC69" s="4"/>
      <c r="AD69" s="80" t="str">
        <f>IF(AD68=AE68,"Unentschieden",IF(AD68&gt;AE68,AD67,AE67))</f>
        <v>Kolumbien</v>
      </c>
      <c r="AE69" s="95"/>
      <c r="AF69" s="4"/>
      <c r="AG69" s="4"/>
      <c r="AH69" s="4"/>
      <c r="AI69" s="4"/>
      <c r="AJ69" s="4"/>
      <c r="AK69" s="80" t="str">
        <f>IF(AK68=AL68,"Unentschieden",IF(AK68&gt;AL68,AK67,AL67))</f>
        <v>Kroatien</v>
      </c>
      <c r="AL69" s="95"/>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81" t="s">
        <v>50</v>
      </c>
      <c r="C72" s="83"/>
      <c r="D72" s="4"/>
      <c r="E72" s="4"/>
      <c r="F72" s="4"/>
      <c r="G72" s="4"/>
      <c r="H72" s="4"/>
      <c r="I72" s="81" t="s">
        <v>50</v>
      </c>
      <c r="J72" s="83"/>
      <c r="K72" s="4"/>
      <c r="L72" s="4"/>
      <c r="M72" s="4"/>
      <c r="N72" s="4"/>
      <c r="O72" s="4"/>
      <c r="P72" s="81" t="s">
        <v>50</v>
      </c>
      <c r="Q72" s="83"/>
      <c r="R72" s="4"/>
      <c r="S72" s="4"/>
      <c r="T72" s="4"/>
      <c r="U72" s="4"/>
      <c r="V72" s="4"/>
      <c r="W72" s="81" t="s">
        <v>50</v>
      </c>
      <c r="X72" s="83"/>
      <c r="Y72" s="4"/>
      <c r="Z72" s="4"/>
      <c r="AA72" s="4"/>
      <c r="AB72" s="4"/>
      <c r="AC72" s="4"/>
      <c r="AD72" s="81" t="s">
        <v>50</v>
      </c>
      <c r="AE72" s="83"/>
      <c r="AF72" s="4"/>
      <c r="AG72" s="4"/>
      <c r="AH72" s="4"/>
      <c r="AI72" s="4"/>
      <c r="AJ72" s="4"/>
      <c r="AK72" s="81" t="s">
        <v>50</v>
      </c>
      <c r="AL72" s="83"/>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
        <v>0</v>
      </c>
      <c r="C74" s="3">
        <v>3</v>
      </c>
      <c r="D74" s="4"/>
      <c r="E74" s="4"/>
      <c r="F74" s="4"/>
      <c r="G74" s="4"/>
      <c r="H74" s="4"/>
      <c r="I74" s="3">
        <v>0</v>
      </c>
      <c r="J74" s="3">
        <v>2</v>
      </c>
      <c r="K74" s="4"/>
      <c r="L74" s="4"/>
      <c r="M74" s="4"/>
      <c r="N74" s="4"/>
      <c r="O74" s="4"/>
      <c r="P74" s="3">
        <v>1</v>
      </c>
      <c r="Q74" s="3">
        <v>2</v>
      </c>
      <c r="R74" s="4"/>
      <c r="S74" s="4"/>
      <c r="T74" s="4"/>
      <c r="U74" s="4"/>
      <c r="V74" s="4"/>
      <c r="W74" s="3">
        <v>0</v>
      </c>
      <c r="X74" s="3">
        <v>3</v>
      </c>
      <c r="Y74" s="4"/>
      <c r="Z74" s="4"/>
      <c r="AA74" s="4"/>
      <c r="AB74" s="4"/>
      <c r="AC74" s="4"/>
      <c r="AD74" s="3">
        <v>1</v>
      </c>
      <c r="AE74" s="3">
        <v>2</v>
      </c>
      <c r="AF74" s="4"/>
      <c r="AG74" s="4"/>
      <c r="AH74" s="4"/>
      <c r="AI74" s="4"/>
      <c r="AJ74" s="4"/>
      <c r="AK74" s="3">
        <v>0</v>
      </c>
      <c r="AL74" s="3">
        <v>3</v>
      </c>
      <c r="AM74" s="4"/>
      <c r="AN74" s="4"/>
      <c r="AO74" s="4"/>
      <c r="AP74" s="4"/>
    </row>
    <row r="75" spans="1:42" ht="17.399999999999999" customHeight="1" x14ac:dyDescent="0.45">
      <c r="A75" s="4"/>
      <c r="B75" s="80" t="str">
        <f>IF(B74=C74,"Unentschieden",IF(B74&gt;C74,B73,C73))</f>
        <v>Belgien</v>
      </c>
      <c r="C75" s="95"/>
      <c r="D75" s="4"/>
      <c r="E75" s="4"/>
      <c r="F75" s="4"/>
      <c r="G75" s="4"/>
      <c r="H75" s="4"/>
      <c r="I75" s="80" t="str">
        <f>IF(I74=J74,"Unentschieden",IF(I74&gt;J74,I73,J73))</f>
        <v>Spanien</v>
      </c>
      <c r="J75" s="95"/>
      <c r="K75" s="4"/>
      <c r="L75" s="4"/>
      <c r="M75" s="4"/>
      <c r="N75" s="4"/>
      <c r="O75" s="4"/>
      <c r="P75" s="80" t="str">
        <f>IF(P74=Q74,"Unentschieden",IF(P74&gt;Q74,P73,Q73))</f>
        <v>Frankreich</v>
      </c>
      <c r="Q75" s="95"/>
      <c r="R75" s="4"/>
      <c r="S75" s="4"/>
      <c r="T75" s="4"/>
      <c r="U75" s="4"/>
      <c r="V75" s="4"/>
      <c r="W75" s="80" t="str">
        <f>IF(W74=X74,"Unentschieden",IF(W74&gt;X74,W73,X73))</f>
        <v>Argentinien</v>
      </c>
      <c r="X75" s="95"/>
      <c r="Y75" s="4"/>
      <c r="Z75" s="4"/>
      <c r="AA75" s="4"/>
      <c r="AB75" s="4"/>
      <c r="AC75" s="4"/>
      <c r="AD75" s="80" t="str">
        <f>IF(AD74=AE74,"Unentschieden",IF(AD74&gt;AE74,AD73,AE73))</f>
        <v>Portugal</v>
      </c>
      <c r="AE75" s="95"/>
      <c r="AF75" s="4"/>
      <c r="AG75" s="4"/>
      <c r="AH75" s="4"/>
      <c r="AI75" s="4"/>
      <c r="AJ75" s="4"/>
      <c r="AK75" s="80" t="str">
        <f>IF(AK74=AL74,"Unentschieden",IF(AK74&gt;AL74,AK73,AL73))</f>
        <v>England</v>
      </c>
      <c r="AL75" s="95"/>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
        <v>1</v>
      </c>
      <c r="C79" s="3">
        <v>0</v>
      </c>
      <c r="D79" s="4"/>
      <c r="E79" s="4"/>
      <c r="F79" s="4"/>
      <c r="G79" s="4"/>
      <c r="H79" s="4"/>
      <c r="I79" s="3">
        <v>1</v>
      </c>
      <c r="J79" s="3">
        <v>1</v>
      </c>
      <c r="K79" s="4"/>
      <c r="L79" s="4"/>
      <c r="M79" s="4"/>
      <c r="N79" s="4"/>
      <c r="O79" s="4"/>
      <c r="P79" s="3">
        <v>2</v>
      </c>
      <c r="Q79" s="3">
        <v>0</v>
      </c>
      <c r="R79" s="4"/>
      <c r="S79" s="4"/>
      <c r="T79" s="4"/>
      <c r="U79" s="4"/>
      <c r="V79" s="4"/>
      <c r="W79" s="3">
        <v>1</v>
      </c>
      <c r="X79" s="3">
        <v>2</v>
      </c>
      <c r="Y79" s="4"/>
      <c r="Z79" s="4"/>
      <c r="AA79" s="4"/>
      <c r="AB79" s="4"/>
      <c r="AC79" s="4"/>
      <c r="AD79" s="3">
        <v>1</v>
      </c>
      <c r="AE79" s="3">
        <v>1</v>
      </c>
      <c r="AF79" s="4"/>
      <c r="AG79" s="4"/>
      <c r="AH79" s="4"/>
      <c r="AI79" s="4"/>
      <c r="AJ79" s="4"/>
      <c r="AK79" s="3">
        <v>2</v>
      </c>
      <c r="AL79" s="3">
        <v>1</v>
      </c>
      <c r="AM79" s="4"/>
      <c r="AN79" s="4"/>
      <c r="AO79" s="4"/>
      <c r="AP79" s="4"/>
    </row>
    <row r="80" spans="1:42" ht="17.399999999999999" customHeight="1" x14ac:dyDescent="0.45">
      <c r="A80" s="4"/>
      <c r="B80" s="80" t="str">
        <f>IF(B79=C79,"Unentschieden",IF(B79&gt;C79,B78,C78))</f>
        <v>Ägypten</v>
      </c>
      <c r="C80" s="95"/>
      <c r="D80" s="4"/>
      <c r="E80" s="4"/>
      <c r="F80" s="4"/>
      <c r="G80" s="4"/>
      <c r="H80" s="4"/>
      <c r="I80" s="80" t="str">
        <f>IF(I79=J79,"Unentschieden",IF(I79&gt;J79,I78,J78))</f>
        <v>Unentschieden</v>
      </c>
      <c r="J80" s="95"/>
      <c r="K80" s="4"/>
      <c r="L80" s="4"/>
      <c r="M80" s="4"/>
      <c r="N80" s="4"/>
      <c r="O80" s="4"/>
      <c r="P80" s="80" t="str">
        <f>IF(P79=Q79,"Unentschieden",IF(P79&gt;Q79,P78,Q78))</f>
        <v>Senegal</v>
      </c>
      <c r="Q80" s="95"/>
      <c r="R80" s="4"/>
      <c r="S80" s="4"/>
      <c r="T80" s="4"/>
      <c r="U80" s="4"/>
      <c r="V80" s="4"/>
      <c r="W80" s="80" t="str">
        <f>IF(W79=X79,"Unentschieden",IF(W79&gt;X79,W78,X78))</f>
        <v>Österreich</v>
      </c>
      <c r="X80" s="95"/>
      <c r="Y80" s="4"/>
      <c r="Z80" s="4"/>
      <c r="AA80" s="4"/>
      <c r="AB80" s="4"/>
      <c r="AC80" s="4"/>
      <c r="AD80" s="80" t="str">
        <f>IF(AD79=AE79,"Unentschieden",IF(AD79&gt;AE79,AD78,AE78))</f>
        <v>Unentschieden</v>
      </c>
      <c r="AE80" s="95"/>
      <c r="AF80" s="4"/>
      <c r="AG80" s="4"/>
      <c r="AH80" s="4"/>
      <c r="AI80" s="4"/>
      <c r="AJ80" s="4"/>
      <c r="AK80" s="80" t="str">
        <f>IF(AK79=AL79,"Unentschieden",IF(AK79&gt;AL79,AK78,AL78))</f>
        <v>Kroatien</v>
      </c>
      <c r="AL80" s="95"/>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7"/>
      <c r="B84" s="2" t="s">
        <v>63</v>
      </c>
      <c r="C84" s="1">
        <f>B54+B65+C76</f>
        <v>9</v>
      </c>
      <c r="D84" s="1">
        <f>B52+B63+C74</f>
        <v>7</v>
      </c>
      <c r="E84" s="1">
        <f>C52+C63+B74</f>
        <v>0</v>
      </c>
      <c r="F84" s="1">
        <f>D84-E84</f>
        <v>7</v>
      </c>
      <c r="G84" s="4"/>
      <c r="H84" s="7"/>
      <c r="I84" s="2" t="s">
        <v>65</v>
      </c>
      <c r="J84" s="1">
        <f>I54+I65+J76</f>
        <v>9</v>
      </c>
      <c r="K84" s="1">
        <f>I52+I63+J74</f>
        <v>9</v>
      </c>
      <c r="L84" s="1">
        <f>J52+J63+I74</f>
        <v>0</v>
      </c>
      <c r="M84" s="1">
        <f>K84-L84</f>
        <v>9</v>
      </c>
      <c r="N84" s="4"/>
      <c r="O84" s="13"/>
      <c r="P84" s="2" t="s">
        <v>67</v>
      </c>
      <c r="Q84" s="1">
        <f>P54+P65+Q76</f>
        <v>9</v>
      </c>
      <c r="R84" s="1">
        <f>P52+P63+Q74</f>
        <v>7</v>
      </c>
      <c r="S84" s="1">
        <f>Q52+Q63+P74</f>
        <v>2</v>
      </c>
      <c r="T84" s="1">
        <f>R84-S84</f>
        <v>5</v>
      </c>
      <c r="U84" s="4"/>
      <c r="V84" s="13"/>
      <c r="W84" s="2" t="s">
        <v>69</v>
      </c>
      <c r="X84" s="1">
        <f>W54+W65+X76</f>
        <v>9</v>
      </c>
      <c r="Y84" s="1">
        <f>W52+W63+X74</f>
        <v>7</v>
      </c>
      <c r="Z84" s="1">
        <f>X52+X63+W74</f>
        <v>1</v>
      </c>
      <c r="AA84" s="1">
        <f>Y84-Z84</f>
        <v>6</v>
      </c>
      <c r="AB84" s="4"/>
      <c r="AC84" s="13"/>
      <c r="AD84" s="2" t="s">
        <v>71</v>
      </c>
      <c r="AE84" s="1">
        <f>AD54+AD65+AE76</f>
        <v>9</v>
      </c>
      <c r="AF84" s="1">
        <f>AD52+AD63+AE74</f>
        <v>7</v>
      </c>
      <c r="AG84" s="1">
        <f>AE52+AE63+AD74</f>
        <v>1</v>
      </c>
      <c r="AH84" s="1">
        <f>AF84-AG84</f>
        <v>6</v>
      </c>
      <c r="AI84" s="4"/>
      <c r="AJ84" s="4"/>
      <c r="AK84" s="2" t="s">
        <v>73</v>
      </c>
      <c r="AL84" s="1">
        <f>AK54+AK65+AL76</f>
        <v>9</v>
      </c>
      <c r="AM84" s="1">
        <f>AK52+AK63+AL74</f>
        <v>7</v>
      </c>
      <c r="AN84" s="1">
        <f>AL52+AL63+AK74</f>
        <v>1</v>
      </c>
      <c r="AO84" s="1">
        <f>AM84-AN84</f>
        <v>6</v>
      </c>
      <c r="AP84" s="4"/>
    </row>
    <row r="85" spans="1:42" ht="17.399999999999999" customHeight="1" x14ac:dyDescent="0.45">
      <c r="A85" s="7"/>
      <c r="B85" s="2" t="s">
        <v>64</v>
      </c>
      <c r="C85" s="1">
        <f>C54+C70+B81</f>
        <v>6</v>
      </c>
      <c r="D85" s="1">
        <f>C52+C68+B79</f>
        <v>3</v>
      </c>
      <c r="E85" s="1">
        <f>B52+B68+C79</f>
        <v>2</v>
      </c>
      <c r="F85" s="1">
        <f>D85-E85</f>
        <v>1</v>
      </c>
      <c r="G85" s="4"/>
      <c r="H85" s="7"/>
      <c r="I85" s="2" t="s">
        <v>66</v>
      </c>
      <c r="J85" s="1">
        <f>J54+J70+I81</f>
        <v>1</v>
      </c>
      <c r="K85" s="1">
        <f>J52+J68+I79</f>
        <v>1</v>
      </c>
      <c r="L85" s="1">
        <f>I52+I68+J79</f>
        <v>8</v>
      </c>
      <c r="M85" s="1">
        <f>K85-L85</f>
        <v>-7</v>
      </c>
      <c r="N85" s="4"/>
      <c r="O85" s="13"/>
      <c r="P85" s="2" t="s">
        <v>68</v>
      </c>
      <c r="Q85" s="1">
        <f>Q54+Q70+P81</f>
        <v>3</v>
      </c>
      <c r="R85" s="1">
        <f>Q52+Q68+P79</f>
        <v>4</v>
      </c>
      <c r="S85" s="1">
        <f>P52+P68+Q79</f>
        <v>4</v>
      </c>
      <c r="T85" s="1">
        <f>R85-S85</f>
        <v>0</v>
      </c>
      <c r="U85" s="4"/>
      <c r="V85" s="13"/>
      <c r="W85" s="2" t="s">
        <v>70</v>
      </c>
      <c r="X85" s="1">
        <f>X54+X70+W81</f>
        <v>3</v>
      </c>
      <c r="Y85" s="1">
        <f>X52+X68+W79</f>
        <v>2</v>
      </c>
      <c r="Z85" s="1">
        <f>W52+W68+X79</f>
        <v>4</v>
      </c>
      <c r="AA85" s="1">
        <f>Y85-Z85</f>
        <v>-2</v>
      </c>
      <c r="AB85" s="4"/>
      <c r="AC85" s="13"/>
      <c r="AD85" s="2" t="s">
        <v>72</v>
      </c>
      <c r="AE85" s="1">
        <f>AE54+AE70+AD81</f>
        <v>1</v>
      </c>
      <c r="AF85" s="1">
        <f>AE52+AE68+AD79</f>
        <v>1</v>
      </c>
      <c r="AG85" s="1">
        <f>AD52+AD68+AE79</f>
        <v>6</v>
      </c>
      <c r="AH85" s="1">
        <f>AF85-AG85</f>
        <v>-5</v>
      </c>
      <c r="AI85" s="4"/>
      <c r="AJ85" s="4"/>
      <c r="AK85" s="2" t="s">
        <v>74</v>
      </c>
      <c r="AL85" s="1">
        <f>AL54+AL70+AK81</f>
        <v>6</v>
      </c>
      <c r="AM85" s="1">
        <f>AL52+AL68+AK79</f>
        <v>5</v>
      </c>
      <c r="AN85" s="1">
        <f>AK52+AK68+AL79</f>
        <v>3</v>
      </c>
      <c r="AO85" s="1">
        <f>AM85-AN85</f>
        <v>2</v>
      </c>
      <c r="AP85" s="4"/>
    </row>
    <row r="86" spans="1:42" ht="17.399999999999999" customHeight="1" x14ac:dyDescent="0.45">
      <c r="A86" s="8"/>
      <c r="B86" s="2" t="s">
        <v>75</v>
      </c>
      <c r="C86" s="1">
        <f>B59+C65+C81</f>
        <v>3</v>
      </c>
      <c r="D86" s="1">
        <f>B57+C63+C79</f>
        <v>2</v>
      </c>
      <c r="E86" s="1">
        <f>C57+B63+B79</f>
        <v>3</v>
      </c>
      <c r="F86" s="1">
        <f>D86-E86</f>
        <v>-1</v>
      </c>
      <c r="G86" s="4"/>
      <c r="H86" s="8"/>
      <c r="I86" s="2" t="s">
        <v>77</v>
      </c>
      <c r="J86" s="1">
        <f>I59+J65+J81</f>
        <v>1</v>
      </c>
      <c r="K86" s="1">
        <f>I57+J63+J79</f>
        <v>1</v>
      </c>
      <c r="L86" s="1">
        <f>J57+I63+I79</f>
        <v>6</v>
      </c>
      <c r="M86" s="1">
        <f>K86-L86</f>
        <v>-5</v>
      </c>
      <c r="N86" s="4"/>
      <c r="O86" s="13"/>
      <c r="P86" s="2" t="s">
        <v>79</v>
      </c>
      <c r="Q86" s="1">
        <f>P59+Q65+Q81</f>
        <v>0</v>
      </c>
      <c r="R86" s="1">
        <f>P57+Q63+Q79</f>
        <v>0</v>
      </c>
      <c r="S86" s="1">
        <f>Q57+P63+P79</f>
        <v>8</v>
      </c>
      <c r="T86" s="1">
        <f>R86-S86</f>
        <v>-8</v>
      </c>
      <c r="U86" s="4"/>
      <c r="V86" s="13"/>
      <c r="W86" s="2" t="s">
        <v>81</v>
      </c>
      <c r="X86" s="1">
        <f>W59+X65+X81</f>
        <v>6</v>
      </c>
      <c r="Y86" s="1">
        <f>W57+X63+X79</f>
        <v>5</v>
      </c>
      <c r="Z86" s="1">
        <f>X57+W63+W79</f>
        <v>3</v>
      </c>
      <c r="AA86" s="1">
        <f>Y86-Z86</f>
        <v>2</v>
      </c>
      <c r="AB86" s="4"/>
      <c r="AC86" s="13"/>
      <c r="AD86" s="2" t="s">
        <v>83</v>
      </c>
      <c r="AE86" s="1">
        <f>AD59+AE65+AE81</f>
        <v>1</v>
      </c>
      <c r="AF86" s="1">
        <f>AD57+AE63+AE79</f>
        <v>1</v>
      </c>
      <c r="AG86" s="1">
        <f>AE57+AD63+AD79</f>
        <v>5</v>
      </c>
      <c r="AH86" s="1">
        <f>AF86-AG86</f>
        <v>-4</v>
      </c>
      <c r="AI86" s="4"/>
      <c r="AJ86" s="4"/>
      <c r="AK86" s="2" t="s">
        <v>85</v>
      </c>
      <c r="AL86" s="1">
        <f>AK59+AL65+AL81</f>
        <v>3</v>
      </c>
      <c r="AM86" s="1">
        <f>AK57+AL63+AL79</f>
        <v>3</v>
      </c>
      <c r="AN86" s="1">
        <f>AL57+AK63+AK79</f>
        <v>5</v>
      </c>
      <c r="AO86" s="1">
        <f>AM86-AN86</f>
        <v>-2</v>
      </c>
      <c r="AP86" s="4"/>
    </row>
    <row r="87" spans="1:42" x14ac:dyDescent="0.45">
      <c r="A87" s="9"/>
      <c r="B87" s="2" t="s">
        <v>76</v>
      </c>
      <c r="C87" s="1">
        <f>C59+B70+B76</f>
        <v>0</v>
      </c>
      <c r="D87" s="1">
        <f>C57+B68+B74</f>
        <v>0</v>
      </c>
      <c r="E87" s="1">
        <f>B57+C68+C74</f>
        <v>7</v>
      </c>
      <c r="F87" s="1">
        <f>D87-E87</f>
        <v>-7</v>
      </c>
      <c r="G87" s="4"/>
      <c r="H87" s="9"/>
      <c r="I87" s="2" t="s">
        <v>78</v>
      </c>
      <c r="J87" s="1">
        <f>J59+I70+I76</f>
        <v>6</v>
      </c>
      <c r="K87" s="1">
        <f>J57+I68+I74</f>
        <v>5</v>
      </c>
      <c r="L87" s="1">
        <f>I57+J68+J74</f>
        <v>2</v>
      </c>
      <c r="M87" s="1">
        <f>K87-L87</f>
        <v>3</v>
      </c>
      <c r="N87" s="4"/>
      <c r="O87" s="13"/>
      <c r="P87" s="2" t="s">
        <v>80</v>
      </c>
      <c r="Q87" s="1">
        <f>Q59+P70+P76</f>
        <v>6</v>
      </c>
      <c r="R87" s="1">
        <f>Q57+P68+P74</f>
        <v>6</v>
      </c>
      <c r="S87" s="1">
        <f>P57+Q68+Q74</f>
        <v>3</v>
      </c>
      <c r="T87" s="1">
        <f>R87-S87</f>
        <v>3</v>
      </c>
      <c r="U87" s="4"/>
      <c r="V87" s="13"/>
      <c r="W87" s="2" t="s">
        <v>82</v>
      </c>
      <c r="X87" s="1">
        <f>X59+W70+W76</f>
        <v>0</v>
      </c>
      <c r="Y87" s="1">
        <f>X57+W68+W74</f>
        <v>0</v>
      </c>
      <c r="Z87" s="1">
        <f>W57+X68+X74</f>
        <v>6</v>
      </c>
      <c r="AA87" s="1">
        <f>Y87-Z87</f>
        <v>-6</v>
      </c>
      <c r="AB87" s="4"/>
      <c r="AC87" s="13"/>
      <c r="AD87" s="2" t="s">
        <v>84</v>
      </c>
      <c r="AE87" s="1">
        <f>AE59+AD70+AD76</f>
        <v>6</v>
      </c>
      <c r="AF87" s="1">
        <f>AE57+AD68+AD74</f>
        <v>5</v>
      </c>
      <c r="AG87" s="1">
        <f>AD57+AE68+AE74</f>
        <v>2</v>
      </c>
      <c r="AH87" s="1">
        <f>AF87-AG87</f>
        <v>3</v>
      </c>
      <c r="AI87" s="4"/>
      <c r="AJ87" s="4"/>
      <c r="AK87" s="2" t="s">
        <v>86</v>
      </c>
      <c r="AL87" s="1">
        <f>AL59+AK70+AK76</f>
        <v>0</v>
      </c>
      <c r="AM87" s="1">
        <f>AL57+AK68+AK74</f>
        <v>1</v>
      </c>
      <c r="AN87" s="1">
        <f>AK57+AL68+AL74</f>
        <v>7</v>
      </c>
      <c r="AO87" s="1">
        <f>AM87-AN87</f>
        <v>-6</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81" t="s">
        <v>56</v>
      </c>
      <c r="C89" s="83"/>
      <c r="G89" s="4"/>
      <c r="H89" s="4"/>
      <c r="I89" s="81" t="s">
        <v>56</v>
      </c>
      <c r="J89" s="83"/>
      <c r="K89" s="1"/>
      <c r="L89" s="1"/>
      <c r="M89" s="1"/>
      <c r="N89" s="4"/>
      <c r="O89" s="4"/>
      <c r="P89" s="81" t="s">
        <v>56</v>
      </c>
      <c r="Q89" s="83"/>
      <c r="R89" s="1"/>
      <c r="S89" s="1"/>
      <c r="T89" s="1"/>
      <c r="U89" s="4"/>
      <c r="V89" s="4"/>
      <c r="W89" s="81" t="s">
        <v>56</v>
      </c>
      <c r="X89" s="83"/>
      <c r="Y89" s="1"/>
      <c r="Z89" s="1"/>
      <c r="AA89" s="1"/>
      <c r="AB89" s="4"/>
      <c r="AC89" s="4"/>
      <c r="AD89" s="81" t="s">
        <v>56</v>
      </c>
      <c r="AE89" s="83"/>
      <c r="AI89" s="4"/>
      <c r="AJ89" s="4"/>
      <c r="AK89" s="81" t="s">
        <v>56</v>
      </c>
      <c r="AL89" s="83"/>
      <c r="AP89" s="4"/>
    </row>
    <row r="90" spans="1:42" x14ac:dyDescent="0.45">
      <c r="A90" s="10">
        <v>1</v>
      </c>
      <c r="B90" s="2" t="str">
        <f t="array" ref="B90:B93">_xlfn.SORTBY(B84:B87,C84:C87,-1,F84:F87,-1,D84:D87,-1)</f>
        <v>Belgien</v>
      </c>
      <c r="C90" s="1">
        <f t="array" ref="C90:C93">_xlfn.SORTBY(C84:C87,C84:C87,-1,F84:F87,-1,D84:D87,-1)</f>
        <v>9</v>
      </c>
      <c r="D90" s="1">
        <f t="array" ref="D90:D93">_xlfn.SORTBY(D84:D87,C84:C87,-1,F84:F87,-1,D84:D87,-1)</f>
        <v>7</v>
      </c>
      <c r="E90" s="1">
        <f t="array" ref="E90:E93">_xlfn.SORTBY(E84:E87,C84:C87,-1,F84:F87,-1,D84:D87,-1)</f>
        <v>0</v>
      </c>
      <c r="F90" s="1">
        <f t="array" ref="F90:F93">_xlfn.SORTBY(F84:F87,C84:C87,-1,F84:F87,-1,D84:D87,-1)</f>
        <v>7</v>
      </c>
      <c r="G90" s="4"/>
      <c r="H90" s="10">
        <v>1</v>
      </c>
      <c r="I90" s="2" t="str">
        <f t="array" ref="I90:I93">_xlfn.SORTBY(I84:I87,J84:J87,-1,M84:M87,-1,K84:K87,-1)</f>
        <v>Spanien</v>
      </c>
      <c r="J90" s="1">
        <f t="array" ref="J90:J93">_xlfn.SORTBY(J84:J87,J84:J87,-1,M84:M87,-1,K84:K87,-1)</f>
        <v>9</v>
      </c>
      <c r="K90" s="1">
        <f t="array" ref="K90:K93">_xlfn.SORTBY(K84:K87,J84:J87,-1,M84:M87,-1,K84:K87,-1)</f>
        <v>9</v>
      </c>
      <c r="L90" s="1">
        <f t="array" ref="L90:L93">_xlfn.SORTBY(L84:L87,J84:J87,-1,M84:M87,-1,K84:K87,-1)</f>
        <v>0</v>
      </c>
      <c r="M90" s="1">
        <f t="array" ref="M90:M93">_xlfn.SORTBY(M84:M87,J84:J87,-1,M84:M87,-1,K84:K87,-1)</f>
        <v>9</v>
      </c>
      <c r="N90" s="4"/>
      <c r="O90" s="10">
        <v>1</v>
      </c>
      <c r="P90" s="2" t="str">
        <f t="array" ref="P90:P93">_xlfn.SORTBY(P84:P87,Q84:Q87,-1,T84:T87,-1,R84:R87,-1)</f>
        <v>Frankreich</v>
      </c>
      <c r="Q90" s="1">
        <f t="array" ref="Q90:Q93">_xlfn.SORTBY(Q84:Q87,Q84:Q87,-1,T84:T87,-1,R84:R87,-1)</f>
        <v>9</v>
      </c>
      <c r="R90" s="1">
        <f t="array" ref="R90:R93">_xlfn.SORTBY(R84:R87,Q84:Q87,-1,T84:T87,-1,R84:R87,-1)</f>
        <v>7</v>
      </c>
      <c r="S90" s="1">
        <f t="array" ref="S90:S93">_xlfn.SORTBY(S84:S87,Q84:Q87,-1,T84:T87,-1,R84:R87,-1)</f>
        <v>2</v>
      </c>
      <c r="T90" s="1">
        <f t="array" ref="T90:T93">_xlfn.SORTBY(T84:T87,Q84:Q87,-1,T84:T87,-1,R84:R87,-1)</f>
        <v>5</v>
      </c>
      <c r="U90" s="4"/>
      <c r="V90" s="10">
        <v>1</v>
      </c>
      <c r="W90" s="2" t="str">
        <f t="array" ref="W90:W93">_xlfn.SORTBY(W84:W87,X84:X87,-1,AA84:AA87,-1,Y84:Y87,-1)</f>
        <v>Argentinien</v>
      </c>
      <c r="X90" s="1">
        <f t="array" ref="X90:X93">_xlfn.SORTBY(X84:X87,X84:X87,-1,AA84:AA87,-1,Y84:Y87,-1)</f>
        <v>9</v>
      </c>
      <c r="Y90" s="1">
        <f t="array" ref="Y90:Y93">_xlfn.SORTBY(Y84:Y87,X84:X87,-1,AA84:AA87,-1,Y84:Y87,-1)</f>
        <v>7</v>
      </c>
      <c r="Z90" s="1">
        <f t="array" ref="Z90:Z93">_xlfn.SORTBY(Z84:Z87,X84:X87,-1,AA84:AA87,-1,Y84:Y87,-1)</f>
        <v>1</v>
      </c>
      <c r="AA90" s="1">
        <f t="array" ref="AA90:AA93">_xlfn.SORTBY(AA84:AA87,X84:X87,-1,AA84:AA87,-1,Y84:Y87,-1)</f>
        <v>6</v>
      </c>
      <c r="AB90" s="4"/>
      <c r="AC90" s="10">
        <v>1</v>
      </c>
      <c r="AD90" s="2" t="str">
        <f t="array" ref="AD90:AD93">_xlfn.SORTBY(AD84:AD87,AE84:AE87,-1,AH84:AH87,-1,AF84:AF87,-1)</f>
        <v>Portugal</v>
      </c>
      <c r="AE90" s="1">
        <f t="array" ref="AE90:AE93">_xlfn.SORTBY(AE84:AE87,AE84:AE87,-1,AH84:AH87,-1,AF84:AF87,-1)</f>
        <v>9</v>
      </c>
      <c r="AF90" s="1">
        <f t="array" ref="AF90:AF93">_xlfn.SORTBY(AF84:AF87,AE84:AE87,-1,AH84:AH87,-1,AF84:AF87,-1)</f>
        <v>7</v>
      </c>
      <c r="AG90" s="1">
        <f t="array" ref="AG90:AG93">_xlfn.SORTBY(AG84:AG87,AE84:AE87,-1,AH84:AH87,-1,AF84:AF87,-1)</f>
        <v>1</v>
      </c>
      <c r="AH90" s="1">
        <f t="array" ref="AH90:AH93">_xlfn.SORTBY(AH84:AH87,AE84:AE87,-1,AH84:AH87,-1,AF84:AF87,-1)</f>
        <v>6</v>
      </c>
      <c r="AI90" s="4"/>
      <c r="AJ90" s="10">
        <v>1</v>
      </c>
      <c r="AK90" s="2" t="str">
        <f t="array" ref="AK90:AK93">_xlfn.SORTBY(AK84:AK87,AL84:AL87,-1,AO84:AO87,-1,AM84:AM87,-1)</f>
        <v>England</v>
      </c>
      <c r="AL90" s="1">
        <f t="array" ref="AL90:AL93">_xlfn.SORTBY(AL84:AL87,AL84:AL87,-1,AO84:AO87,-1,AM84:AM87,-1)</f>
        <v>9</v>
      </c>
      <c r="AM90" s="1">
        <f t="array" ref="AM90:AM93">_xlfn.SORTBY(AM84:AM87,AL84:AL87,-1,AO84:AO87,-1,AM84:AM87,-1)</f>
        <v>7</v>
      </c>
      <c r="AN90" s="1">
        <f t="array" ref="AN90:AN93">_xlfn.SORTBY(AN84:AN87,AL84:AL87,-1,AO84:AO87,-1,AM84:AM87,-1)</f>
        <v>1</v>
      </c>
      <c r="AO90" s="1">
        <f t="array" ref="AO90:AO93">_xlfn.SORTBY(AO84:AO87,AL84:AL87,-1,AO84:AO87,-1,AM84:AM87,-1)</f>
        <v>6</v>
      </c>
      <c r="AP90" s="4"/>
    </row>
    <row r="91" spans="1:42" x14ac:dyDescent="0.45">
      <c r="A91" s="10">
        <v>2</v>
      </c>
      <c r="B91" s="2" t="str">
        <v>Ägypten</v>
      </c>
      <c r="C91" s="1">
        <v>6</v>
      </c>
      <c r="D91" s="1">
        <v>3</v>
      </c>
      <c r="E91" s="1">
        <v>2</v>
      </c>
      <c r="F91" s="1">
        <v>1</v>
      </c>
      <c r="G91" s="4"/>
      <c r="H91" s="10">
        <v>2</v>
      </c>
      <c r="I91" s="2" t="str">
        <v>Uruguay</v>
      </c>
      <c r="J91" s="1">
        <v>6</v>
      </c>
      <c r="K91" s="1">
        <v>5</v>
      </c>
      <c r="L91" s="1">
        <v>2</v>
      </c>
      <c r="M91" s="1">
        <v>3</v>
      </c>
      <c r="N91" s="4"/>
      <c r="O91" s="10">
        <v>2</v>
      </c>
      <c r="P91" s="2" t="str">
        <v>Norwegen</v>
      </c>
      <c r="Q91" s="1">
        <v>6</v>
      </c>
      <c r="R91" s="1">
        <v>6</v>
      </c>
      <c r="S91" s="1">
        <v>3</v>
      </c>
      <c r="T91" s="1">
        <v>3</v>
      </c>
      <c r="U91" s="4"/>
      <c r="V91" s="10">
        <v>2</v>
      </c>
      <c r="W91" s="2" t="str">
        <v>Österreich</v>
      </c>
      <c r="X91" s="1">
        <v>6</v>
      </c>
      <c r="Y91" s="1">
        <v>5</v>
      </c>
      <c r="Z91" s="1">
        <v>3</v>
      </c>
      <c r="AA91" s="1">
        <v>2</v>
      </c>
      <c r="AB91" s="4"/>
      <c r="AC91" s="10">
        <v>2</v>
      </c>
      <c r="AD91" s="2" t="str">
        <v>Kolumbien</v>
      </c>
      <c r="AE91" s="1">
        <v>6</v>
      </c>
      <c r="AF91" s="1">
        <v>5</v>
      </c>
      <c r="AG91" s="1">
        <v>2</v>
      </c>
      <c r="AH91" s="1">
        <v>3</v>
      </c>
      <c r="AI91" s="4"/>
      <c r="AJ91" s="10">
        <v>2</v>
      </c>
      <c r="AK91" s="2" t="str">
        <v>Kroatien</v>
      </c>
      <c r="AL91" s="1">
        <v>6</v>
      </c>
      <c r="AM91" s="1">
        <v>5</v>
      </c>
      <c r="AN91" s="1">
        <v>3</v>
      </c>
      <c r="AO91" s="1">
        <v>2</v>
      </c>
      <c r="AP91" s="4"/>
    </row>
    <row r="92" spans="1:42" x14ac:dyDescent="0.45">
      <c r="A92" s="11">
        <v>3</v>
      </c>
      <c r="B92" s="2" t="str">
        <v>Iran</v>
      </c>
      <c r="C92" s="1">
        <v>3</v>
      </c>
      <c r="D92" s="1">
        <v>2</v>
      </c>
      <c r="E92" s="1">
        <v>3</v>
      </c>
      <c r="F92" s="1">
        <v>-1</v>
      </c>
      <c r="G92" s="4"/>
      <c r="H92" s="11">
        <v>3</v>
      </c>
      <c r="I92" s="2" t="str">
        <v>Saudi-Arabien</v>
      </c>
      <c r="J92" s="1">
        <v>1</v>
      </c>
      <c r="K92" s="1">
        <v>1</v>
      </c>
      <c r="L92" s="1">
        <v>6</v>
      </c>
      <c r="M92" s="1">
        <v>-5</v>
      </c>
      <c r="N92" s="4"/>
      <c r="O92" s="11">
        <v>3</v>
      </c>
      <c r="P92" s="2" t="str">
        <v>Senegal</v>
      </c>
      <c r="Q92" s="1">
        <v>3</v>
      </c>
      <c r="R92" s="1">
        <v>4</v>
      </c>
      <c r="S92" s="1">
        <v>4</v>
      </c>
      <c r="T92" s="1">
        <v>0</v>
      </c>
      <c r="U92" s="4"/>
      <c r="V92" s="11">
        <v>3</v>
      </c>
      <c r="W92" s="2" t="str">
        <v>Algerien</v>
      </c>
      <c r="X92" s="1">
        <v>3</v>
      </c>
      <c r="Y92" s="1">
        <v>2</v>
      </c>
      <c r="Z92" s="1">
        <v>4</v>
      </c>
      <c r="AA92" s="1">
        <v>-2</v>
      </c>
      <c r="AB92" s="4"/>
      <c r="AC92" s="11">
        <v>3</v>
      </c>
      <c r="AD92" s="2" t="str">
        <v>Usbekistan</v>
      </c>
      <c r="AE92" s="1">
        <v>1</v>
      </c>
      <c r="AF92" s="1">
        <v>1</v>
      </c>
      <c r="AG92" s="1">
        <v>5</v>
      </c>
      <c r="AH92" s="1">
        <v>-4</v>
      </c>
      <c r="AI92" s="4"/>
      <c r="AJ92" s="11">
        <v>3</v>
      </c>
      <c r="AK92" s="2" t="str">
        <v>Ghana</v>
      </c>
      <c r="AL92" s="1">
        <v>3</v>
      </c>
      <c r="AM92" s="1">
        <v>3</v>
      </c>
      <c r="AN92" s="1">
        <v>5</v>
      </c>
      <c r="AO92" s="1">
        <v>-2</v>
      </c>
      <c r="AP92" s="4"/>
    </row>
    <row r="93" spans="1:42" x14ac:dyDescent="0.45">
      <c r="A93" s="12">
        <v>4</v>
      </c>
      <c r="B93" s="2" t="str">
        <v>Neuseeland</v>
      </c>
      <c r="C93" s="1">
        <v>0</v>
      </c>
      <c r="D93" s="1">
        <v>0</v>
      </c>
      <c r="E93" s="1">
        <v>7</v>
      </c>
      <c r="F93" s="1">
        <v>-7</v>
      </c>
      <c r="G93" s="4"/>
      <c r="H93" s="12">
        <v>4</v>
      </c>
      <c r="I93" s="2" t="str">
        <v>Kap Verde</v>
      </c>
      <c r="J93" s="1">
        <v>1</v>
      </c>
      <c r="K93" s="1">
        <v>1</v>
      </c>
      <c r="L93" s="1">
        <v>8</v>
      </c>
      <c r="M93" s="1">
        <v>-7</v>
      </c>
      <c r="N93" s="4"/>
      <c r="O93" s="12">
        <v>4</v>
      </c>
      <c r="P93" s="2" t="str">
        <v>Irak</v>
      </c>
      <c r="Q93" s="1">
        <v>0</v>
      </c>
      <c r="R93" s="1">
        <v>0</v>
      </c>
      <c r="S93" s="1">
        <v>8</v>
      </c>
      <c r="T93" s="1">
        <v>-8</v>
      </c>
      <c r="U93" s="4"/>
      <c r="V93" s="12">
        <v>4</v>
      </c>
      <c r="W93" s="2" t="str">
        <v>Jordanien</v>
      </c>
      <c r="X93" s="1">
        <v>0</v>
      </c>
      <c r="Y93" s="1">
        <v>0</v>
      </c>
      <c r="Z93" s="1">
        <v>6</v>
      </c>
      <c r="AA93" s="1">
        <v>-6</v>
      </c>
      <c r="AB93" s="4"/>
      <c r="AC93" s="12">
        <v>4</v>
      </c>
      <c r="AD93" s="2" t="str">
        <v>DR Kongo</v>
      </c>
      <c r="AE93" s="1">
        <v>1</v>
      </c>
      <c r="AF93" s="1">
        <v>1</v>
      </c>
      <c r="AG93" s="1">
        <v>6</v>
      </c>
      <c r="AH93" s="1">
        <v>-5</v>
      </c>
      <c r="AI93" s="4"/>
      <c r="AJ93" s="12">
        <v>4</v>
      </c>
      <c r="AK93" s="2" t="str">
        <v>Panama</v>
      </c>
      <c r="AL93" s="1">
        <v>0</v>
      </c>
      <c r="AM93" s="1">
        <v>1</v>
      </c>
      <c r="AN93" s="1">
        <v>7</v>
      </c>
      <c r="AO93" s="1">
        <v>-6</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customHeight="1" x14ac:dyDescent="0.7">
      <c r="R95" s="14"/>
      <c r="S95" s="14"/>
      <c r="T95" s="14"/>
      <c r="U95" s="14" t="s">
        <v>87</v>
      </c>
      <c r="V95" s="14"/>
      <c r="W95" s="14"/>
    </row>
    <row r="96" spans="1:42" ht="30" customHeight="1" x14ac:dyDescent="0.7">
      <c r="Q96" s="14"/>
      <c r="R96" s="14"/>
      <c r="S96" s="14"/>
      <c r="T96" s="14"/>
      <c r="U96" s="14"/>
      <c r="V96" s="14"/>
      <c r="W96" s="14"/>
    </row>
    <row r="97" spans="17:24" x14ac:dyDescent="0.45">
      <c r="R97" s="82" t="s">
        <v>51</v>
      </c>
      <c r="S97" s="83"/>
      <c r="T97" s="83"/>
      <c r="U97" s="2" t="s">
        <v>52</v>
      </c>
      <c r="V97" s="2" t="s">
        <v>88</v>
      </c>
      <c r="W97" s="2" t="s">
        <v>89</v>
      </c>
      <c r="X97" s="2" t="s">
        <v>90</v>
      </c>
    </row>
    <row r="98" spans="17:24" x14ac:dyDescent="0.45">
      <c r="R98" s="82" t="str">
        <f>B92</f>
        <v>Iran</v>
      </c>
      <c r="S98" s="83"/>
      <c r="T98" s="83"/>
      <c r="U98" s="2">
        <f>C92</f>
        <v>3</v>
      </c>
      <c r="V98" s="2">
        <f>D92</f>
        <v>2</v>
      </c>
      <c r="W98" s="2">
        <f>E92</f>
        <v>3</v>
      </c>
      <c r="X98" s="2">
        <f>F92</f>
        <v>-1</v>
      </c>
    </row>
    <row r="99" spans="17:24" x14ac:dyDescent="0.45">
      <c r="R99" s="82" t="str">
        <f>I92</f>
        <v>Saudi-Arabien</v>
      </c>
      <c r="S99" s="83"/>
      <c r="T99" s="83"/>
      <c r="U99" s="2">
        <f>J92</f>
        <v>1</v>
      </c>
      <c r="V99" s="2">
        <f>K92</f>
        <v>1</v>
      </c>
      <c r="W99" s="2">
        <f>L92</f>
        <v>6</v>
      </c>
      <c r="X99" s="2">
        <f>M92</f>
        <v>-5</v>
      </c>
    </row>
    <row r="100" spans="17:24" x14ac:dyDescent="0.45">
      <c r="R100" s="82" t="str">
        <f>P92</f>
        <v>Senegal</v>
      </c>
      <c r="S100" s="83"/>
      <c r="T100" s="83"/>
      <c r="U100" s="2">
        <f>Q92</f>
        <v>3</v>
      </c>
      <c r="V100" s="2">
        <f>R92</f>
        <v>4</v>
      </c>
      <c r="W100" s="2">
        <f>S92</f>
        <v>4</v>
      </c>
      <c r="X100" s="2">
        <f>T92</f>
        <v>0</v>
      </c>
    </row>
    <row r="101" spans="17:24" x14ac:dyDescent="0.45">
      <c r="R101" s="82" t="str">
        <f>W92</f>
        <v>Algerien</v>
      </c>
      <c r="S101" s="83"/>
      <c r="T101" s="83"/>
      <c r="U101" s="2">
        <f>X92</f>
        <v>3</v>
      </c>
      <c r="V101" s="2">
        <f>Y92</f>
        <v>2</v>
      </c>
      <c r="W101" s="2">
        <f>Z92</f>
        <v>4</v>
      </c>
      <c r="X101" s="2">
        <f>AA92</f>
        <v>-2</v>
      </c>
    </row>
    <row r="102" spans="17:24" x14ac:dyDescent="0.45">
      <c r="R102" s="82" t="str">
        <f>AD92</f>
        <v>Usbekistan</v>
      </c>
      <c r="S102" s="83"/>
      <c r="T102" s="83"/>
      <c r="U102" s="2">
        <f>AE92</f>
        <v>1</v>
      </c>
      <c r="V102" s="2">
        <f>AF92</f>
        <v>1</v>
      </c>
      <c r="W102" s="2">
        <f>AG92</f>
        <v>5</v>
      </c>
      <c r="X102" s="2">
        <f>AH92</f>
        <v>-4</v>
      </c>
    </row>
    <row r="103" spans="17:24" x14ac:dyDescent="0.45">
      <c r="R103" s="82" t="str">
        <f>AK92</f>
        <v>Ghana</v>
      </c>
      <c r="S103" s="83"/>
      <c r="T103" s="83"/>
      <c r="U103" s="2">
        <f>AL92</f>
        <v>3</v>
      </c>
      <c r="V103" s="2">
        <f>AM92</f>
        <v>3</v>
      </c>
      <c r="W103" s="2">
        <f>AN92</f>
        <v>5</v>
      </c>
      <c r="X103" s="2">
        <f>AO92</f>
        <v>-2</v>
      </c>
    </row>
    <row r="104" spans="17:24" x14ac:dyDescent="0.45">
      <c r="R104" s="82" t="str">
        <f>B45</f>
        <v>Tschechien</v>
      </c>
      <c r="S104" s="83"/>
      <c r="T104" s="83"/>
      <c r="U104" s="2">
        <f>C45</f>
        <v>4</v>
      </c>
      <c r="V104" s="2">
        <f>D45</f>
        <v>4</v>
      </c>
      <c r="W104" s="2">
        <f>E45</f>
        <v>4</v>
      </c>
      <c r="X104" s="2">
        <f>F45</f>
        <v>0</v>
      </c>
    </row>
    <row r="105" spans="17:24" x14ac:dyDescent="0.45">
      <c r="R105" s="82" t="str">
        <f>I45</f>
        <v>Bosnien-Herz.</v>
      </c>
      <c r="S105" s="83"/>
      <c r="T105" s="83"/>
      <c r="U105" s="2">
        <f>J45</f>
        <v>3</v>
      </c>
      <c r="V105" s="2">
        <f>K45</f>
        <v>3</v>
      </c>
      <c r="W105" s="2">
        <f>L45</f>
        <v>4</v>
      </c>
      <c r="X105" s="2">
        <f>M45</f>
        <v>-1</v>
      </c>
    </row>
    <row r="106" spans="17:24" x14ac:dyDescent="0.45">
      <c r="R106" s="82" t="str">
        <f>P45</f>
        <v>Schottland</v>
      </c>
      <c r="S106" s="83"/>
      <c r="T106" s="83"/>
      <c r="U106" s="2">
        <f>Q45</f>
        <v>3</v>
      </c>
      <c r="V106" s="2">
        <f>R45</f>
        <v>3</v>
      </c>
      <c r="W106" s="2">
        <f>S45</f>
        <v>4</v>
      </c>
      <c r="X106" s="2">
        <f>T45</f>
        <v>-1</v>
      </c>
    </row>
    <row r="107" spans="17:24" x14ac:dyDescent="0.45">
      <c r="R107" s="82" t="str">
        <f>W45</f>
        <v>Paraguay</v>
      </c>
      <c r="S107" s="83"/>
      <c r="T107" s="83"/>
      <c r="U107" s="2">
        <f>X45</f>
        <v>4</v>
      </c>
      <c r="V107" s="2">
        <f>Y45</f>
        <v>2</v>
      </c>
      <c r="W107" s="2">
        <f>Z45</f>
        <v>3</v>
      </c>
      <c r="X107" s="2">
        <f>AA45</f>
        <v>-1</v>
      </c>
    </row>
    <row r="108" spans="17:24" x14ac:dyDescent="0.45">
      <c r="R108" s="82" t="str">
        <f>AD45</f>
        <v>Elfenbeinküste</v>
      </c>
      <c r="S108" s="83"/>
      <c r="T108" s="83"/>
      <c r="U108" s="2">
        <f>AE45</f>
        <v>4</v>
      </c>
      <c r="V108" s="2">
        <f>AF45</f>
        <v>3</v>
      </c>
      <c r="W108" s="2">
        <f>AG45</f>
        <v>3</v>
      </c>
      <c r="X108" s="2">
        <f>AH45</f>
        <v>0</v>
      </c>
    </row>
    <row r="109" spans="17:24" x14ac:dyDescent="0.45">
      <c r="R109" s="82" t="str">
        <f>AK45</f>
        <v>Schweden</v>
      </c>
      <c r="S109" s="83"/>
      <c r="T109" s="83"/>
      <c r="U109" s="2">
        <f>AL45</f>
        <v>3</v>
      </c>
      <c r="V109" s="2">
        <f>AM45</f>
        <v>3</v>
      </c>
      <c r="W109" s="2">
        <f>AN45</f>
        <v>4</v>
      </c>
      <c r="X109" s="2">
        <f>AO45</f>
        <v>-1</v>
      </c>
    </row>
    <row r="112" spans="17:24" x14ac:dyDescent="0.45">
      <c r="Q112" s="10">
        <v>1</v>
      </c>
      <c r="R112" s="2" t="str">
        <f t="array" ref="R112:R123">_xlfn.SORTBY(R98:R109,U98:U109,-1,X98:X109,-1,V98:V109,-1)</f>
        <v>Tschechien</v>
      </c>
      <c r="U112" s="2">
        <f t="array" ref="U112:U123">_xlfn.SORTBY(U98:U109,U98:U109,-1,X98:X109,-1,V98:V109,-1)</f>
        <v>4</v>
      </c>
      <c r="V112" s="2">
        <f t="array" ref="V112:V123">_xlfn.SORTBY(V98:V109,U98:U109,-1,X98:X109,-1,V98:V109,-1)</f>
        <v>4</v>
      </c>
      <c r="W112" s="2">
        <f t="array" ref="W112:W123">_xlfn.SORTBY(W98:W109,U98:U109,-1,X98:X109,-1,V98:V109,-1)</f>
        <v>4</v>
      </c>
      <c r="X112" s="2">
        <f t="array" ref="X112:X123">_xlfn.SORTBY(X98:X109,U98:U109,-1,X98:X109,-1,V98:V109,-1)</f>
        <v>0</v>
      </c>
    </row>
    <row r="113" spans="17:24" x14ac:dyDescent="0.45">
      <c r="Q113" s="10">
        <v>2</v>
      </c>
      <c r="R113" s="2" t="str">
        <v>Elfenbeinküste</v>
      </c>
      <c r="U113" s="2">
        <v>4</v>
      </c>
      <c r="V113" s="2">
        <v>3</v>
      </c>
      <c r="W113" s="2">
        <v>3</v>
      </c>
      <c r="X113" s="2">
        <v>0</v>
      </c>
    </row>
    <row r="114" spans="17:24" x14ac:dyDescent="0.45">
      <c r="Q114" s="10">
        <v>3</v>
      </c>
      <c r="R114" s="2" t="str">
        <v>Paraguay</v>
      </c>
      <c r="U114" s="2">
        <v>4</v>
      </c>
      <c r="V114" s="2">
        <v>2</v>
      </c>
      <c r="W114" s="2">
        <v>3</v>
      </c>
      <c r="X114" s="2">
        <v>-1</v>
      </c>
    </row>
    <row r="115" spans="17:24" x14ac:dyDescent="0.45">
      <c r="Q115" s="10">
        <v>4</v>
      </c>
      <c r="R115" s="2" t="str">
        <v>Senegal</v>
      </c>
      <c r="U115" s="2">
        <v>3</v>
      </c>
      <c r="V115" s="2">
        <v>4</v>
      </c>
      <c r="W115" s="2">
        <v>4</v>
      </c>
      <c r="X115" s="2">
        <v>0</v>
      </c>
    </row>
    <row r="116" spans="17:24" x14ac:dyDescent="0.45">
      <c r="Q116" s="10">
        <v>5</v>
      </c>
      <c r="R116" s="2" t="str">
        <v>Bosnien-Herz.</v>
      </c>
      <c r="U116" s="2">
        <v>3</v>
      </c>
      <c r="V116" s="2">
        <v>3</v>
      </c>
      <c r="W116" s="2">
        <v>4</v>
      </c>
      <c r="X116" s="2">
        <v>-1</v>
      </c>
    </row>
    <row r="117" spans="17:24" x14ac:dyDescent="0.45">
      <c r="Q117" s="10">
        <v>6</v>
      </c>
      <c r="R117" s="2" t="str">
        <v>Schottland</v>
      </c>
      <c r="U117" s="2">
        <v>3</v>
      </c>
      <c r="V117" s="2">
        <v>3</v>
      </c>
      <c r="W117" s="2">
        <v>4</v>
      </c>
      <c r="X117" s="2">
        <v>-1</v>
      </c>
    </row>
    <row r="118" spans="17:24" x14ac:dyDescent="0.45">
      <c r="Q118" s="10">
        <v>7</v>
      </c>
      <c r="R118" s="2" t="str">
        <v>Schweden</v>
      </c>
      <c r="U118" s="2">
        <v>3</v>
      </c>
      <c r="V118" s="2">
        <v>3</v>
      </c>
      <c r="W118" s="2">
        <v>4</v>
      </c>
      <c r="X118" s="2">
        <v>-1</v>
      </c>
    </row>
    <row r="119" spans="17:24" x14ac:dyDescent="0.45">
      <c r="Q119" s="10">
        <v>8</v>
      </c>
      <c r="R119" s="2" t="str">
        <v>Iran</v>
      </c>
      <c r="U119" s="2">
        <v>3</v>
      </c>
      <c r="V119" s="2">
        <v>2</v>
      </c>
      <c r="W119" s="2">
        <v>3</v>
      </c>
      <c r="X119" s="2">
        <v>-1</v>
      </c>
    </row>
    <row r="120" spans="17:24" x14ac:dyDescent="0.45">
      <c r="Q120" s="12">
        <v>9</v>
      </c>
      <c r="R120" s="2" t="str">
        <v>Ghana</v>
      </c>
      <c r="U120" s="2">
        <v>3</v>
      </c>
      <c r="V120" s="2">
        <v>3</v>
      </c>
      <c r="W120" s="2">
        <v>5</v>
      </c>
      <c r="X120" s="2">
        <v>-2</v>
      </c>
    </row>
    <row r="121" spans="17:24" x14ac:dyDescent="0.45">
      <c r="Q121" s="12">
        <v>10</v>
      </c>
      <c r="R121" s="2" t="str">
        <v>Algerien</v>
      </c>
      <c r="U121" s="2">
        <v>3</v>
      </c>
      <c r="V121" s="2">
        <v>2</v>
      </c>
      <c r="W121" s="2">
        <v>4</v>
      </c>
      <c r="X121" s="2">
        <v>-2</v>
      </c>
    </row>
    <row r="122" spans="17:24" x14ac:dyDescent="0.45">
      <c r="Q122" s="12">
        <v>11</v>
      </c>
      <c r="R122" s="2" t="str">
        <v>Usbekistan</v>
      </c>
      <c r="U122" s="2">
        <v>1</v>
      </c>
      <c r="V122" s="2">
        <v>1</v>
      </c>
      <c r="W122" s="2">
        <v>5</v>
      </c>
      <c r="X122" s="2">
        <v>-4</v>
      </c>
    </row>
    <row r="123" spans="17:24" x14ac:dyDescent="0.45">
      <c r="Q123" s="12">
        <v>12</v>
      </c>
      <c r="R123" s="2" t="str">
        <v>Saudi-Arabien</v>
      </c>
      <c r="U123" s="2">
        <v>1</v>
      </c>
      <c r="V123" s="2">
        <v>1</v>
      </c>
      <c r="W123" s="2">
        <v>6</v>
      </c>
      <c r="X123" s="2">
        <v>-5</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5" t="s">
        <v>101</v>
      </c>
      <c r="B152" s="83"/>
      <c r="C152" s="83"/>
      <c r="D152" s="83"/>
      <c r="E152" s="83"/>
      <c r="F152" s="83"/>
      <c r="G152" s="83"/>
      <c r="H152" s="83"/>
    </row>
    <row r="154" spans="1:23" x14ac:dyDescent="0.45">
      <c r="A154" s="23" t="s">
        <v>102</v>
      </c>
      <c r="B154" s="24">
        <f>SUM(G160:G231)</f>
        <v>220</v>
      </c>
    </row>
    <row r="155" spans="1:23" x14ac:dyDescent="0.45">
      <c r="A155" s="23" t="s">
        <v>103</v>
      </c>
      <c r="B155" s="24">
        <f>SUM(H160:H231)</f>
        <v>226</v>
      </c>
    </row>
    <row r="156" spans="1:23" x14ac:dyDescent="0.45">
      <c r="A156" s="23" t="s">
        <v>104</v>
      </c>
      <c r="B156" s="24">
        <f>SUM(E234:E265)</f>
        <v>130</v>
      </c>
    </row>
    <row r="157" spans="1:23" x14ac:dyDescent="0.45">
      <c r="A157" s="25" t="s">
        <v>105</v>
      </c>
      <c r="B157" s="26">
        <f>B154+B155+B156</f>
        <v>576</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2</v>
      </c>
      <c r="F161" s="28">
        <f>Realität!C10</f>
        <v>1</v>
      </c>
      <c r="G161" s="28">
        <f>IF(OR(B10="",Realität!B10=""),0,IF(SIGN(B10-C10)=SIGN(Realität!B10-Realität!C10),5,0))</f>
        <v>0</v>
      </c>
      <c r="H161" s="28">
        <f>IF(OR(B10="",Realität!B10=""),0,MAX(0,5-ABS(B10-Realität!B10)-ABS(C10-Realität!C10)))</f>
        <v>4</v>
      </c>
    </row>
    <row r="162" spans="1:8" x14ac:dyDescent="0.45">
      <c r="A162" s="28">
        <v>3</v>
      </c>
      <c r="B162" s="29" t="s">
        <v>119</v>
      </c>
      <c r="C162" s="30" t="s">
        <v>120</v>
      </c>
      <c r="D162" s="30" t="s">
        <v>121</v>
      </c>
      <c r="E162" s="28">
        <f>Realität!B16</f>
        <v>1</v>
      </c>
      <c r="F162" s="28">
        <f>Realität!C16</f>
        <v>1</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1</v>
      </c>
      <c r="F163" s="28">
        <f>Realität!C21</f>
        <v>0</v>
      </c>
      <c r="G163" s="28">
        <f>IF(OR(B21="",Realität!B21=""),0,IF(SIGN(B21-C21)=SIGN(Realität!B21-Realität!C21),5,0))</f>
        <v>5</v>
      </c>
      <c r="H163" s="28">
        <f>IF(OR(B21="",Realität!B21=""),0,MAX(0,5-ABS(B21-Realität!B21)-ABS(C21-Realität!C21)))</f>
        <v>3</v>
      </c>
    </row>
    <row r="164" spans="1:8" x14ac:dyDescent="0.45">
      <c r="A164" s="28">
        <v>5</v>
      </c>
      <c r="B164" s="29" t="s">
        <v>125</v>
      </c>
      <c r="C164" s="30" t="s">
        <v>126</v>
      </c>
      <c r="D164" s="30" t="s">
        <v>127</v>
      </c>
      <c r="E164" s="28">
        <f>Realität!B27</f>
        <v>1</v>
      </c>
      <c r="F164" s="28">
        <f>Realität!C27</f>
        <v>0</v>
      </c>
      <c r="G164" s="28">
        <f>IF(OR(B27="",Realität!B27=""),0,IF(SIGN(B27-C27)=SIGN(Realität!B27-Realität!C27),5,0))</f>
        <v>0</v>
      </c>
      <c r="H164" s="28">
        <f>IF(OR(B27="",Realität!B27=""),0,MAX(0,5-ABS(B27-Realität!B27)-ABS(C27-Realität!C27)))</f>
        <v>2</v>
      </c>
    </row>
    <row r="165" spans="1:8" x14ac:dyDescent="0.45">
      <c r="A165" s="28">
        <v>6</v>
      </c>
      <c r="B165" s="29" t="s">
        <v>128</v>
      </c>
      <c r="C165" s="30" t="s">
        <v>129</v>
      </c>
      <c r="D165" s="30" t="s">
        <v>130</v>
      </c>
      <c r="E165" s="28">
        <f>Realität!B32</f>
        <v>0</v>
      </c>
      <c r="F165" s="28">
        <f>Realität!C32</f>
        <v>3</v>
      </c>
      <c r="G165" s="28">
        <f>IF(OR(B32="",Realität!B32=""),0,IF(SIGN(B32-C32)=SIGN(Realität!B32-Realität!C32),5,0))</f>
        <v>5</v>
      </c>
      <c r="H165" s="28">
        <f>IF(OR(B32="",Realität!B32=""),0,MAX(0,5-ABS(B32-Realität!B32)-ABS(C32-Realität!C32)))</f>
        <v>3</v>
      </c>
    </row>
    <row r="166" spans="1:8" x14ac:dyDescent="0.45">
      <c r="A166" s="28">
        <v>7</v>
      </c>
      <c r="B166" s="29" t="s">
        <v>131</v>
      </c>
      <c r="C166" s="30" t="s">
        <v>132</v>
      </c>
      <c r="D166" s="30" t="s">
        <v>133</v>
      </c>
      <c r="E166" s="28">
        <f>Realität!I5</f>
        <v>1</v>
      </c>
      <c r="F166" s="28">
        <f>Realität!J5</f>
        <v>1</v>
      </c>
      <c r="G166" s="28">
        <f>IF(OR(I5="",Realität!I5=""),0,IF(SIGN(I5-J5)=SIGN(Realität!I5-Realität!J5),5,0))</f>
        <v>0</v>
      </c>
      <c r="H166" s="28">
        <f>IF(OR(I5="",Realität!I5=""),0,MAX(0,5-ABS(I5-Realität!I5)-ABS(J5-Realität!J5)))</f>
        <v>4</v>
      </c>
    </row>
    <row r="167" spans="1:8" x14ac:dyDescent="0.45">
      <c r="A167" s="28">
        <v>8</v>
      </c>
      <c r="B167" s="29" t="s">
        <v>134</v>
      </c>
      <c r="C167" s="30" t="s">
        <v>135</v>
      </c>
      <c r="D167" s="30" t="s">
        <v>136</v>
      </c>
      <c r="E167" s="28">
        <f>Realität!I10</f>
        <v>1</v>
      </c>
      <c r="F167" s="28">
        <f>Realität!J10</f>
        <v>1</v>
      </c>
      <c r="G167" s="28">
        <f>IF(OR(I10="",Realität!I10=""),0,IF(SIGN(I10-J10)=SIGN(Realität!I10-Realität!J10),5,0))</f>
        <v>0</v>
      </c>
      <c r="H167" s="28">
        <f>IF(OR(I10="",Realität!I10=""),0,MAX(0,5-ABS(I10-Realität!I10)-ABS(J10-Realität!J10)))</f>
        <v>2</v>
      </c>
    </row>
    <row r="168" spans="1:8" x14ac:dyDescent="0.45">
      <c r="A168" s="28">
        <v>9</v>
      </c>
      <c r="B168" s="29" t="s">
        <v>137</v>
      </c>
      <c r="C168" s="30" t="s">
        <v>138</v>
      </c>
      <c r="D168" s="30" t="s">
        <v>139</v>
      </c>
      <c r="E168" s="28">
        <f>Realität!I16</f>
        <v>4</v>
      </c>
      <c r="F168" s="28">
        <f>Realität!J16</f>
        <v>1</v>
      </c>
      <c r="G168" s="28">
        <f>IF(OR(I16="",Realität!I16=""),0,IF(SIGN(I16-J16)=SIGN(Realität!I16-Realität!J16),5,0))</f>
        <v>5</v>
      </c>
      <c r="H168" s="28">
        <f>IF(OR(I16="",Realität!I16=""),0,MAX(0,5-ABS(I16-Realität!I16)-ABS(J16-Realität!J16)))</f>
        <v>2</v>
      </c>
    </row>
    <row r="169" spans="1:8" x14ac:dyDescent="0.45">
      <c r="A169" s="28">
        <v>10</v>
      </c>
      <c r="B169" s="29" t="s">
        <v>140</v>
      </c>
      <c r="C169" s="30" t="s">
        <v>141</v>
      </c>
      <c r="D169" s="30" t="s">
        <v>142</v>
      </c>
      <c r="E169" s="28">
        <f>Realität!I21</f>
        <v>6</v>
      </c>
      <c r="F169" s="28">
        <f>Realität!J21</f>
        <v>0</v>
      </c>
      <c r="G169" s="28">
        <f>IF(OR(I21="",Realität!I21=""),0,IF(SIGN(I21-J21)=SIGN(Realität!I21-Realität!J21),5,0))</f>
        <v>5</v>
      </c>
      <c r="H169" s="28">
        <f>IF(OR(I21="",Realität!I21=""),0,MAX(0,5-ABS(I21-Realität!I21)-ABS(J21-Realität!J21)))</f>
        <v>2</v>
      </c>
    </row>
    <row r="170" spans="1:8" x14ac:dyDescent="0.45">
      <c r="A170" s="28">
        <v>11</v>
      </c>
      <c r="B170" s="29" t="s">
        <v>143</v>
      </c>
      <c r="C170" s="30" t="s">
        <v>144</v>
      </c>
      <c r="D170" s="30" t="s">
        <v>145</v>
      </c>
      <c r="E170" s="28">
        <f>Realität!I27</f>
        <v>3</v>
      </c>
      <c r="F170" s="28">
        <f>Realität!J27</f>
        <v>1</v>
      </c>
      <c r="G170" s="28">
        <f>IF(OR(I27="",Realität!I27=""),0,IF(SIGN(I27-J27)=SIGN(Realität!I27-Realität!J27),5,0))</f>
        <v>5</v>
      </c>
      <c r="H170" s="28">
        <f>IF(OR(I27="",Realität!I27=""),0,MAX(0,5-ABS(I27-Realität!I27)-ABS(J27-Realität!J27)))</f>
        <v>3</v>
      </c>
    </row>
    <row r="171" spans="1:8" x14ac:dyDescent="0.45">
      <c r="A171" s="28">
        <v>12</v>
      </c>
      <c r="B171" s="29" t="s">
        <v>146</v>
      </c>
      <c r="C171" s="30" t="s">
        <v>147</v>
      </c>
      <c r="D171" s="30" t="s">
        <v>148</v>
      </c>
      <c r="E171" s="28">
        <f>Realität!I32</f>
        <v>2</v>
      </c>
      <c r="F171" s="28">
        <f>Realität!J32</f>
        <v>1</v>
      </c>
      <c r="G171" s="28">
        <f>IF(OR(I32="",Realität!I32=""),0,IF(SIGN(I32-J32)=SIGN(Realität!I32-Realität!J32),5,0))</f>
        <v>0</v>
      </c>
      <c r="H171" s="28">
        <f>IF(OR(I32="",Realität!I32=""),0,MAX(0,5-ABS(I32-Realität!I32)-ABS(J32-Realität!J32)))</f>
        <v>4</v>
      </c>
    </row>
    <row r="172" spans="1:8" x14ac:dyDescent="0.45">
      <c r="A172" s="28">
        <v>13</v>
      </c>
      <c r="B172" s="29" t="s">
        <v>149</v>
      </c>
      <c r="C172" s="30" t="s">
        <v>150</v>
      </c>
      <c r="D172" s="30" t="s">
        <v>151</v>
      </c>
      <c r="E172" s="28">
        <f>Realität!P5</f>
        <v>1</v>
      </c>
      <c r="F172" s="28">
        <f>Realität!Q5</f>
        <v>1</v>
      </c>
      <c r="G172" s="28">
        <f>IF(OR(P5="",Realität!P5=""),0,IF(SIGN(P5-Q5)=SIGN(Realität!P5-Realität!Q5),5,0))</f>
        <v>0</v>
      </c>
      <c r="H172" s="28">
        <f>IF(OR(P5="",Realität!P5=""),0,MAX(0,5-ABS(P5-Realität!P5)-ABS(Q5-Realität!Q5)))</f>
        <v>4</v>
      </c>
    </row>
    <row r="173" spans="1:8" x14ac:dyDescent="0.45">
      <c r="A173" s="28">
        <v>14</v>
      </c>
      <c r="B173" s="29" t="s">
        <v>152</v>
      </c>
      <c r="C173" s="30" t="s">
        <v>153</v>
      </c>
      <c r="D173" s="30" t="s">
        <v>154</v>
      </c>
      <c r="E173" s="28">
        <f>Realität!P10</f>
        <v>0</v>
      </c>
      <c r="F173" s="28">
        <f>Realität!Q10</f>
        <v>1</v>
      </c>
      <c r="G173" s="28">
        <f>IF(OR(P10="",Realität!P10=""),0,IF(SIGN(P10-Q10)=SIGN(Realität!P10-Realität!Q10),5,0))</f>
        <v>5</v>
      </c>
      <c r="H173" s="28">
        <f>IF(OR(P10="",Realität!P10=""),0,MAX(0,5-ABS(P10-Realität!P10)-ABS(Q10-Realität!Q10)))</f>
        <v>4</v>
      </c>
    </row>
    <row r="174" spans="1:8" x14ac:dyDescent="0.45">
      <c r="A174" s="28">
        <v>15</v>
      </c>
      <c r="B174" s="29" t="s">
        <v>155</v>
      </c>
      <c r="C174" s="30" t="s">
        <v>156</v>
      </c>
      <c r="D174" s="30" t="s">
        <v>157</v>
      </c>
      <c r="E174" s="28">
        <f>Realität!P16</f>
        <v>0</v>
      </c>
      <c r="F174" s="28">
        <f>Realität!Q16</f>
        <v>1</v>
      </c>
      <c r="G174" s="28">
        <f>IF(OR(P16="",Realität!P16=""),0,IF(SIGN(P16-Q16)=SIGN(Realität!P16-Realität!Q16),5,0))</f>
        <v>5</v>
      </c>
      <c r="H174" s="28">
        <f>IF(OR(P16="",Realität!P16=""),0,MAX(0,5-ABS(P16-Realität!P16)-ABS(Q16-Realität!Q16)))</f>
        <v>3</v>
      </c>
    </row>
    <row r="175" spans="1:8" x14ac:dyDescent="0.45">
      <c r="A175" s="28">
        <v>16</v>
      </c>
      <c r="B175" s="29" t="s">
        <v>158</v>
      </c>
      <c r="C175" s="30" t="s">
        <v>159</v>
      </c>
      <c r="D175" s="30" t="s">
        <v>160</v>
      </c>
      <c r="E175" s="28">
        <f>Realität!P21</f>
        <v>3</v>
      </c>
      <c r="F175" s="28">
        <f>Realität!Q21</f>
        <v>0</v>
      </c>
      <c r="G175" s="28">
        <f>IF(OR(P21="",Realität!P21=""),0,IF(SIGN(P21-Q21)=SIGN(Realität!P21-Realität!Q21),5,0))</f>
        <v>5</v>
      </c>
      <c r="H175" s="28">
        <f>IF(OR(P21="",Realität!P21=""),0,MAX(0,5-ABS(P21-Realität!P21)-ABS(Q21-Realität!Q21)))</f>
        <v>4</v>
      </c>
    </row>
    <row r="176" spans="1:8" x14ac:dyDescent="0.45">
      <c r="A176" s="28">
        <v>17</v>
      </c>
      <c r="B176" s="29" t="s">
        <v>161</v>
      </c>
      <c r="C176" s="30" t="s">
        <v>162</v>
      </c>
      <c r="D176" s="30" t="s">
        <v>163</v>
      </c>
      <c r="E176" s="28">
        <f>Realität!P27</f>
        <v>4</v>
      </c>
      <c r="F176" s="28">
        <f>Realität!Q27</f>
        <v>2</v>
      </c>
      <c r="G176" s="28">
        <f>IF(OR(P27="",Realität!P27=""),0,IF(SIGN(P27-Q27)=SIGN(Realität!P27-Realität!Q27),5,0))</f>
        <v>5</v>
      </c>
      <c r="H176" s="28">
        <f>IF(OR(P27="",Realität!P27=""),0,MAX(0,5-ABS(P27-Realität!P27)-ABS(Q27-Realität!Q27)))</f>
        <v>2</v>
      </c>
    </row>
    <row r="177" spans="1:8" x14ac:dyDescent="0.45">
      <c r="A177" s="28">
        <v>18</v>
      </c>
      <c r="B177" s="29" t="s">
        <v>164</v>
      </c>
      <c r="C177" s="30" t="s">
        <v>165</v>
      </c>
      <c r="D177" s="30" t="s">
        <v>166</v>
      </c>
      <c r="E177" s="28">
        <f>Realität!P32</f>
        <v>0</v>
      </c>
      <c r="F177" s="28">
        <f>Realität!Q32</f>
        <v>3</v>
      </c>
      <c r="G177" s="28">
        <f>IF(OR(P32="",Realität!P32=""),0,IF(SIGN(P32-Q32)=SIGN(Realität!P32-Realität!Q32),5,0))</f>
        <v>5</v>
      </c>
      <c r="H177" s="28">
        <f>IF(OR(P32="",Realität!P32=""),0,MAX(0,5-ABS(P32-Realität!P32)-ABS(Q32-Realität!Q32)))</f>
        <v>4</v>
      </c>
    </row>
    <row r="178" spans="1:8" x14ac:dyDescent="0.45">
      <c r="A178" s="28">
        <v>19</v>
      </c>
      <c r="B178" s="29" t="s">
        <v>167</v>
      </c>
      <c r="C178" s="30" t="s">
        <v>168</v>
      </c>
      <c r="D178" s="30" t="s">
        <v>169</v>
      </c>
      <c r="E178" s="28">
        <f>Realität!W5</f>
        <v>4</v>
      </c>
      <c r="F178" s="28">
        <f>Realität!X5</f>
        <v>1</v>
      </c>
      <c r="G178" s="28">
        <f>IF(OR(W5="",Realität!W5=""),0,IF(SIGN(W5-X5)=SIGN(Realität!W5-Realität!X5),5,0))</f>
        <v>5</v>
      </c>
      <c r="H178" s="28">
        <f>IF(OR(W5="",Realität!W5=""),0,MAX(0,5-ABS(W5-Realität!W5)-ABS(X5-Realität!X5)))</f>
        <v>2</v>
      </c>
    </row>
    <row r="179" spans="1:8" x14ac:dyDescent="0.45">
      <c r="A179" s="28">
        <v>20</v>
      </c>
      <c r="B179" s="29" t="s">
        <v>170</v>
      </c>
      <c r="C179" s="30" t="s">
        <v>171</v>
      </c>
      <c r="D179" s="30" t="s">
        <v>172</v>
      </c>
      <c r="E179" s="28">
        <f>Realität!W10</f>
        <v>2</v>
      </c>
      <c r="F179" s="28">
        <f>Realität!X10</f>
        <v>0</v>
      </c>
      <c r="G179" s="28">
        <f>IF(OR(W10="",Realität!W10=""),0,IF(SIGN(W10-X10)=SIGN(Realität!W10-Realität!X10),5,0))</f>
        <v>0</v>
      </c>
      <c r="H179" s="28">
        <f>IF(OR(W10="",Realität!W10=""),0,MAX(0,5-ABS(W10-Realität!W10)-ABS(X10-Realität!X10)))</f>
        <v>2</v>
      </c>
    </row>
    <row r="180" spans="1:8" x14ac:dyDescent="0.45">
      <c r="A180" s="28">
        <v>21</v>
      </c>
      <c r="B180" s="29" t="s">
        <v>173</v>
      </c>
      <c r="C180" s="30" t="s">
        <v>174</v>
      </c>
      <c r="D180" s="30" t="s">
        <v>175</v>
      </c>
      <c r="E180" s="28">
        <f>Realität!W16</f>
        <v>0</v>
      </c>
      <c r="F180" s="28">
        <f>Realität!X16</f>
        <v>1</v>
      </c>
      <c r="G180" s="28">
        <f>IF(OR(W16="",Realität!W16=""),0,IF(SIGN(W16-X16)=SIGN(Realität!W16-Realität!X16),5,0))</f>
        <v>0</v>
      </c>
      <c r="H180" s="28">
        <f>IF(OR(W16="",Realität!W16=""),0,MAX(0,5-ABS(W16-Realität!W16)-ABS(X16-Realität!X16)))</f>
        <v>4</v>
      </c>
    </row>
    <row r="181" spans="1:8" x14ac:dyDescent="0.45">
      <c r="A181" s="28">
        <v>22</v>
      </c>
      <c r="B181" s="29" t="s">
        <v>176</v>
      </c>
      <c r="C181" s="30" t="s">
        <v>177</v>
      </c>
      <c r="D181" s="30" t="s">
        <v>178</v>
      </c>
      <c r="E181" s="28">
        <f>Realität!W21</f>
        <v>2</v>
      </c>
      <c r="F181" s="28">
        <f>Realität!X21</f>
        <v>0</v>
      </c>
      <c r="G181" s="28">
        <f>IF(OR(W21="",Realität!W21=""),0,IF(SIGN(W21-X21)=SIGN(Realität!W21-Realität!X21),5,0))</f>
        <v>5</v>
      </c>
      <c r="H181" s="28">
        <f>IF(OR(W21="",Realität!W21=""),0,MAX(0,5-ABS(W21-Realität!W21)-ABS(X21-Realität!X21)))</f>
        <v>4</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4</v>
      </c>
    </row>
    <row r="183" spans="1:8" x14ac:dyDescent="0.45">
      <c r="A183" s="28">
        <v>24</v>
      </c>
      <c r="B183" s="29" t="s">
        <v>182</v>
      </c>
      <c r="C183" s="30" t="s">
        <v>183</v>
      </c>
      <c r="D183" s="30" t="s">
        <v>184</v>
      </c>
      <c r="E183" s="28">
        <f>Realität!W32</f>
        <v>3</v>
      </c>
      <c r="F183" s="28">
        <f>Realität!X32</f>
        <v>2</v>
      </c>
      <c r="G183" s="28">
        <f>IF(OR(W32="",Realität!W32=""),0,IF(SIGN(W32-X32)=SIGN(Realität!W32-Realität!X32),5,0))</f>
        <v>0</v>
      </c>
      <c r="H183" s="28">
        <f>IF(OR(W32="",Realität!W32=""),0,MAX(0,5-ABS(W32-Realität!W32)-ABS(X32-Realität!X32)))</f>
        <v>3</v>
      </c>
    </row>
    <row r="184" spans="1:8" x14ac:dyDescent="0.45">
      <c r="A184" s="28">
        <v>25</v>
      </c>
      <c r="B184" s="29" t="s">
        <v>185</v>
      </c>
      <c r="C184" s="30" t="s">
        <v>186</v>
      </c>
      <c r="D184" s="30" t="s">
        <v>187</v>
      </c>
      <c r="E184" s="28">
        <f>Realität!AD5</f>
        <v>7</v>
      </c>
      <c r="F184" s="28">
        <f>Realität!AE5</f>
        <v>1</v>
      </c>
      <c r="G184" s="28">
        <f>IF(OR(AD5="",Realität!AD5=""),0,IF(SIGN(AD5-AE5)=SIGN(Realität!AD5-Realität!AE5),5,0))</f>
        <v>5</v>
      </c>
      <c r="H184" s="28">
        <f>IF(OR(AD5="",Realität!AD5=""),0,MAX(0,5-ABS(AD5-Realität!AD5)-ABS(AE5-Realität!AE5)))</f>
        <v>1</v>
      </c>
    </row>
    <row r="185" spans="1:8" x14ac:dyDescent="0.45">
      <c r="A185" s="28">
        <v>26</v>
      </c>
      <c r="B185" s="29" t="s">
        <v>188</v>
      </c>
      <c r="C185" s="30" t="s">
        <v>189</v>
      </c>
      <c r="D185" s="30" t="s">
        <v>190</v>
      </c>
      <c r="E185" s="28">
        <f>Realität!AD10</f>
        <v>1</v>
      </c>
      <c r="F185" s="28">
        <f>Realität!AE10</f>
        <v>0</v>
      </c>
      <c r="G185" s="28">
        <f>IF(OR(AD10="",Realität!AD10=""),0,IF(SIGN(AD10-AE10)=SIGN(Realität!AD10-Realität!AE10),5,0))</f>
        <v>0</v>
      </c>
      <c r="H185" s="28">
        <f>IF(OR(AD10="",Realität!AD10=""),0,MAX(0,5-ABS(AD10-Realität!AD10)-ABS(AE10-Realität!AE10)))</f>
        <v>4</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2</v>
      </c>
    </row>
    <row r="187" spans="1:8" x14ac:dyDescent="0.45">
      <c r="A187" s="28">
        <v>28</v>
      </c>
      <c r="B187" s="29" t="s">
        <v>194</v>
      </c>
      <c r="C187" s="30" t="s">
        <v>195</v>
      </c>
      <c r="D187" s="30" t="s">
        <v>196</v>
      </c>
      <c r="E187" s="28">
        <f>Realität!AD21</f>
        <v>2</v>
      </c>
      <c r="F187" s="28">
        <f>Realität!AE21</f>
        <v>1</v>
      </c>
      <c r="G187" s="28">
        <f>IF(OR(AD21="",Realität!AD21=""),0,IF(SIGN(AD21-AE21)=SIGN(Realität!AD21-Realität!AE21),5,0))</f>
        <v>5</v>
      </c>
      <c r="H187" s="28">
        <f>IF(OR(AD21="",Realität!AD21=""),0,MAX(0,5-ABS(AD21-Realität!AD21)-ABS(AE21-Realität!AE21)))</f>
        <v>4</v>
      </c>
    </row>
    <row r="188" spans="1:8" x14ac:dyDescent="0.45">
      <c r="A188" s="28">
        <v>29</v>
      </c>
      <c r="B188" s="29" t="s">
        <v>197</v>
      </c>
      <c r="C188" s="30" t="s">
        <v>198</v>
      </c>
      <c r="D188" s="30" t="s">
        <v>199</v>
      </c>
      <c r="E188" s="28">
        <f>Realität!AD27</f>
        <v>0</v>
      </c>
      <c r="F188" s="28">
        <f>Realität!AE27</f>
        <v>2</v>
      </c>
      <c r="G188" s="28">
        <f>IF(OR(AD27="",Realität!AD27=""),0,IF(SIGN(AD27-AE27)=SIGN(Realität!AD27-Realität!AE27),5,0))</f>
        <v>5</v>
      </c>
      <c r="H188" s="28">
        <f>IF(OR(AD27="",Realität!AD27=""),0,MAX(0,5-ABS(AD27-Realität!AD27)-ABS(AE27-Realität!AE27)))</f>
        <v>5</v>
      </c>
    </row>
    <row r="189" spans="1:8" x14ac:dyDescent="0.45">
      <c r="A189" s="28">
        <v>30</v>
      </c>
      <c r="B189" s="29" t="s">
        <v>200</v>
      </c>
      <c r="C189" s="30" t="s">
        <v>201</v>
      </c>
      <c r="D189" s="30" t="s">
        <v>202</v>
      </c>
      <c r="E189" s="28">
        <f>Realität!AD32</f>
        <v>2</v>
      </c>
      <c r="F189" s="28">
        <f>Realität!AE32</f>
        <v>1</v>
      </c>
      <c r="G189" s="28">
        <f>IF(OR(AD32="",Realität!AD32=""),0,IF(SIGN(AD32-AE32)=SIGN(Realität!AD32-Realität!AE32),5,0))</f>
        <v>0</v>
      </c>
      <c r="H189" s="28">
        <f>IF(OR(AD32="",Realität!AD32=""),0,MAX(0,5-ABS(AD32-Realität!AD32)-ABS(AE32-Realität!AE32)))</f>
        <v>3</v>
      </c>
    </row>
    <row r="190" spans="1:8" x14ac:dyDescent="0.45">
      <c r="A190" s="28">
        <v>31</v>
      </c>
      <c r="B190" s="29" t="s">
        <v>203</v>
      </c>
      <c r="C190" s="30" t="s">
        <v>204</v>
      </c>
      <c r="D190" s="30" t="s">
        <v>205</v>
      </c>
      <c r="E190" s="28">
        <f>Realität!AK5</f>
        <v>2</v>
      </c>
      <c r="F190" s="28">
        <f>Realität!AL5</f>
        <v>2</v>
      </c>
      <c r="G190" s="28">
        <f>IF(OR(AK5="",Realität!AK5=""),0,IF(SIGN(AK5-AL5)=SIGN(Realität!AK5-Realität!AL5),5,0))</f>
        <v>0</v>
      </c>
      <c r="H190" s="28">
        <f>IF(OR(AK5="",Realität!AK5=""),0,MAX(0,5-ABS(AK5-Realität!AK5)-ABS(AL5-Realität!AL5)))</f>
        <v>4</v>
      </c>
    </row>
    <row r="191" spans="1:8" x14ac:dyDescent="0.45">
      <c r="A191" s="28">
        <v>32</v>
      </c>
      <c r="B191" s="29" t="s">
        <v>206</v>
      </c>
      <c r="C191" s="30" t="s">
        <v>207</v>
      </c>
      <c r="D191" s="30" t="s">
        <v>208</v>
      </c>
      <c r="E191" s="28">
        <f>Realität!AK10</f>
        <v>5</v>
      </c>
      <c r="F191" s="28">
        <f>Realität!AL10</f>
        <v>1</v>
      </c>
      <c r="G191" s="28">
        <f>IF(OR(AK10="",Realität!AK10=""),0,IF(SIGN(AK10-AL10)=SIGN(Realität!AK10-Realität!AL10),5,0))</f>
        <v>5</v>
      </c>
      <c r="H191" s="28">
        <f>IF(OR(AK10="",Realität!AK10=""),0,MAX(0,5-ABS(AK10-Realität!AK10)-ABS(AL10-Realität!AL10)))</f>
        <v>1</v>
      </c>
    </row>
    <row r="192" spans="1:8" x14ac:dyDescent="0.45">
      <c r="A192" s="28">
        <v>33</v>
      </c>
      <c r="B192" s="29" t="s">
        <v>209</v>
      </c>
      <c r="C192" s="30" t="s">
        <v>210</v>
      </c>
      <c r="D192" s="30" t="s">
        <v>211</v>
      </c>
      <c r="E192" s="28">
        <f>Realität!AK16</f>
        <v>0</v>
      </c>
      <c r="F192" s="28">
        <f>Realität!AL16</f>
        <v>4</v>
      </c>
      <c r="G192" s="28">
        <f>IF(OR(AK16="",Realität!AK16=""),0,IF(SIGN(AK16-AL16)=SIGN(Realität!AK16-Realität!AL16),5,0))</f>
        <v>5</v>
      </c>
      <c r="H192" s="28">
        <f>IF(OR(AK16="",Realität!AK16=""),0,MAX(0,5-ABS(AK16-Realität!AK16)-ABS(AL16-Realität!AL16)))</f>
        <v>3</v>
      </c>
    </row>
    <row r="193" spans="1:8" x14ac:dyDescent="0.45">
      <c r="A193" s="28">
        <v>34</v>
      </c>
      <c r="B193" s="29" t="s">
        <v>212</v>
      </c>
      <c r="C193" s="30" t="s">
        <v>213</v>
      </c>
      <c r="D193" s="30" t="s">
        <v>214</v>
      </c>
      <c r="E193" s="28">
        <f>Realität!AK21</f>
        <v>5</v>
      </c>
      <c r="F193" s="28">
        <f>Realität!AL21</f>
        <v>1</v>
      </c>
      <c r="G193" s="28">
        <f>IF(OR(AK21="",Realität!AK21=""),0,IF(SIGN(AK21-AL21)=SIGN(Realität!AK21-Realität!AL21),5,0))</f>
        <v>5</v>
      </c>
      <c r="H193" s="28">
        <f>IF(OR(AK21="",Realität!AK21=""),0,MAX(0,5-ABS(AK21-Realität!AK21)-ABS(AL21-Realität!AL21)))</f>
        <v>1</v>
      </c>
    </row>
    <row r="194" spans="1:8" x14ac:dyDescent="0.45">
      <c r="A194" s="28">
        <v>35</v>
      </c>
      <c r="B194" s="29" t="s">
        <v>215</v>
      </c>
      <c r="C194" s="30" t="s">
        <v>216</v>
      </c>
      <c r="D194" s="30" t="s">
        <v>217</v>
      </c>
      <c r="E194" s="28">
        <f>Realität!AK27</f>
        <v>1</v>
      </c>
      <c r="F194" s="28">
        <f>Realität!AL27</f>
        <v>1</v>
      </c>
      <c r="G194" s="28">
        <f>IF(OR(AK27="",Realität!AK27=""),0,IF(SIGN(AK27-AL27)=SIGN(Realität!AK27-Realität!AL27),5,0))</f>
        <v>0</v>
      </c>
      <c r="H194" s="28">
        <f>IF(OR(AK27="",Realität!AK27=""),0,MAX(0,5-ABS(AK27-Realität!AK27)-ABS(AL27-Realität!AL27)))</f>
        <v>4</v>
      </c>
    </row>
    <row r="195" spans="1:8" x14ac:dyDescent="0.45">
      <c r="A195" s="28">
        <v>36</v>
      </c>
      <c r="B195" s="29" t="s">
        <v>218</v>
      </c>
      <c r="C195" s="30" t="s">
        <v>219</v>
      </c>
      <c r="D195" s="30" t="s">
        <v>220</v>
      </c>
      <c r="E195" s="28">
        <f>Realität!AK32</f>
        <v>1</v>
      </c>
      <c r="F195" s="28">
        <f>Realität!AL32</f>
        <v>3</v>
      </c>
      <c r="G195" s="28">
        <f>IF(OR(AK32="",Realität!AK32=""),0,IF(SIGN(AK32-AL32)=SIGN(Realität!AK32-Realität!AL32),5,0))</f>
        <v>5</v>
      </c>
      <c r="H195" s="28">
        <f>IF(OR(AK32="",Realität!AK32=""),0,MAX(0,5-ABS(AK32-Realität!AK32)-ABS(AL32-Realität!AL32)))</f>
        <v>4</v>
      </c>
    </row>
    <row r="196" spans="1:8" x14ac:dyDescent="0.45">
      <c r="A196" s="28">
        <v>37</v>
      </c>
      <c r="B196" s="29" t="s">
        <v>221</v>
      </c>
      <c r="C196" s="30" t="s">
        <v>222</v>
      </c>
      <c r="D196" s="30" t="s">
        <v>223</v>
      </c>
      <c r="E196" s="28">
        <f>Realität!B52</f>
        <v>1</v>
      </c>
      <c r="F196" s="28">
        <f>Realität!C52</f>
        <v>1</v>
      </c>
      <c r="G196" s="28">
        <f>IF(OR(B52="",Realität!B52=""),0,IF(SIGN(B52-C52)=SIGN(Realität!B52-Realität!C52),5,0))</f>
        <v>0</v>
      </c>
      <c r="H196" s="28">
        <f>IF(OR(B52="",Realität!B52=""),0,MAX(0,5-ABS(B52-Realität!B52)-ABS(C52-Realität!C52)))</f>
        <v>3</v>
      </c>
    </row>
    <row r="197" spans="1:8" x14ac:dyDescent="0.45">
      <c r="A197" s="28">
        <v>38</v>
      </c>
      <c r="B197" s="29" t="s">
        <v>224</v>
      </c>
      <c r="C197" s="30" t="s">
        <v>225</v>
      </c>
      <c r="D197" s="30" t="s">
        <v>226</v>
      </c>
      <c r="E197" s="28">
        <f>Realität!B57</f>
        <v>2</v>
      </c>
      <c r="F197" s="28">
        <f>Realität!C57</f>
        <v>2</v>
      </c>
      <c r="G197" s="28">
        <f>IF(OR(B57="",Realität!B57=""),0,IF(SIGN(B57-C57)=SIGN(Realität!B57-Realität!C57),5,0))</f>
        <v>0</v>
      </c>
      <c r="H197" s="28">
        <f>IF(OR(B57="",Realität!B57=""),0,MAX(0,5-ABS(B57-Realität!B57)-ABS(C57-Realität!C57)))</f>
        <v>3</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3</v>
      </c>
    </row>
    <row r="199" spans="1:8" x14ac:dyDescent="0.45">
      <c r="A199" s="28">
        <v>40</v>
      </c>
      <c r="B199" s="29" t="s">
        <v>230</v>
      </c>
      <c r="C199" s="30" t="s">
        <v>231</v>
      </c>
      <c r="D199" s="30" t="s">
        <v>232</v>
      </c>
      <c r="E199" s="28">
        <f>Realität!B68</f>
        <v>1</v>
      </c>
      <c r="F199" s="28">
        <f>Realität!C68</f>
        <v>3</v>
      </c>
      <c r="G199" s="28">
        <f>IF(OR(B68="",Realität!B68=""),0,IF(SIGN(B68-C68)=SIGN(Realität!B68-Realität!C68),5,0))</f>
        <v>5</v>
      </c>
      <c r="H199" s="28">
        <f>IF(OR(B68="",Realität!B68=""),0,MAX(0,5-ABS(B68-Realität!B68)-ABS(C68-Realität!C68)))</f>
        <v>3</v>
      </c>
    </row>
    <row r="200" spans="1:8" x14ac:dyDescent="0.45">
      <c r="A200" s="28">
        <v>41</v>
      </c>
      <c r="B200" s="29" t="s">
        <v>233</v>
      </c>
      <c r="C200" s="30" t="s">
        <v>234</v>
      </c>
      <c r="D200" s="30" t="s">
        <v>235</v>
      </c>
      <c r="E200" s="28">
        <f>Realität!B74</f>
        <v>1</v>
      </c>
      <c r="F200" s="28">
        <f>Realität!C74</f>
        <v>5</v>
      </c>
      <c r="G200" s="28">
        <f>IF(OR(B74="",Realität!B74=""),0,IF(SIGN(B74-C74)=SIGN(Realität!B74-Realität!C74),5,0))</f>
        <v>5</v>
      </c>
      <c r="H200" s="28">
        <f>IF(OR(B74="",Realität!B74=""),0,MAX(0,5-ABS(B74-Realität!B74)-ABS(C74-Realität!C74)))</f>
        <v>2</v>
      </c>
    </row>
    <row r="201" spans="1:8" x14ac:dyDescent="0.45">
      <c r="A201" s="28">
        <v>42</v>
      </c>
      <c r="B201" s="29" t="s">
        <v>236</v>
      </c>
      <c r="C201" s="30" t="s">
        <v>237</v>
      </c>
      <c r="D201" s="30" t="s">
        <v>238</v>
      </c>
      <c r="E201" s="28">
        <f>Realität!B79</f>
        <v>1</v>
      </c>
      <c r="F201" s="28">
        <f>Realität!C79</f>
        <v>1</v>
      </c>
      <c r="G201" s="28">
        <f>IF(OR(B79="",Realität!B79=""),0,IF(SIGN(B79-C79)=SIGN(Realität!B79-Realität!C79),5,0))</f>
        <v>0</v>
      </c>
      <c r="H201" s="28">
        <f>IF(OR(B79="",Realität!B79=""),0,MAX(0,5-ABS(B79-Realität!B79)-ABS(C79-Realität!C79)))</f>
        <v>4</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1</v>
      </c>
    </row>
    <row r="203" spans="1:8" x14ac:dyDescent="0.45">
      <c r="A203" s="28">
        <v>44</v>
      </c>
      <c r="B203" s="29" t="s">
        <v>242</v>
      </c>
      <c r="C203" s="30" t="s">
        <v>243</v>
      </c>
      <c r="D203" s="30" t="s">
        <v>244</v>
      </c>
      <c r="E203" s="28">
        <f>Realität!I57</f>
        <v>1</v>
      </c>
      <c r="F203" s="28">
        <f>Realität!J57</f>
        <v>1</v>
      </c>
      <c r="G203" s="28">
        <f>IF(OR(I57="",Realität!I57=""),0,IF(SIGN(I57-J57)=SIGN(Realität!I57-Realität!J57),5,0))</f>
        <v>0</v>
      </c>
      <c r="H203" s="28">
        <f>IF(OR(I57="",Realität!I57=""),0,MAX(0,5-ABS(I57-Realität!I57)-ABS(J57-Realität!J57)))</f>
        <v>3</v>
      </c>
    </row>
    <row r="204" spans="1:8" x14ac:dyDescent="0.45">
      <c r="A204" s="28">
        <v>45</v>
      </c>
      <c r="B204" s="29" t="s">
        <v>245</v>
      </c>
      <c r="C204" s="30" t="s">
        <v>246</v>
      </c>
      <c r="D204" s="30" t="s">
        <v>247</v>
      </c>
      <c r="E204" s="28">
        <f>Realität!I63</f>
        <v>4</v>
      </c>
      <c r="F204" s="28">
        <f>Realität!J63</f>
        <v>0</v>
      </c>
      <c r="G204" s="28">
        <f>IF(OR(I63="",Realität!I63=""),0,IF(SIGN(I63-J63)=SIGN(Realität!I63-Realität!J63),5,0))</f>
        <v>5</v>
      </c>
      <c r="H204" s="28">
        <f>IF(OR(I63="",Realität!I63=""),0,MAX(0,5-ABS(I63-Realität!I63)-ABS(J63-Realität!J63)))</f>
        <v>4</v>
      </c>
    </row>
    <row r="205" spans="1:8" x14ac:dyDescent="0.45">
      <c r="A205" s="28">
        <v>46</v>
      </c>
      <c r="B205" s="29" t="s">
        <v>248</v>
      </c>
      <c r="C205" s="30" t="s">
        <v>249</v>
      </c>
      <c r="D205" s="30" t="s">
        <v>250</v>
      </c>
      <c r="E205" s="28">
        <f>Realität!I68</f>
        <v>2</v>
      </c>
      <c r="F205" s="28">
        <f>Realität!J68</f>
        <v>2</v>
      </c>
      <c r="G205" s="28">
        <f>IF(OR(I68="",Realität!I68=""),0,IF(SIGN(I68-J68)=SIGN(Realität!I68-Realität!J68),5,0))</f>
        <v>0</v>
      </c>
      <c r="H205" s="28">
        <f>IF(OR(I68="",Realität!I68=""),0,MAX(0,5-ABS(I68-Realität!I68)-ABS(J68-Realität!J68)))</f>
        <v>2</v>
      </c>
    </row>
    <row r="206" spans="1:8" x14ac:dyDescent="0.45">
      <c r="A206" s="28">
        <v>47</v>
      </c>
      <c r="B206" s="29" t="s">
        <v>251</v>
      </c>
      <c r="C206" s="30" t="s">
        <v>252</v>
      </c>
      <c r="D206" s="30" t="s">
        <v>253</v>
      </c>
      <c r="E206" s="28">
        <f>Realität!I74</f>
        <v>0</v>
      </c>
      <c r="F206" s="28">
        <f>Realität!J74</f>
        <v>1</v>
      </c>
      <c r="G206" s="28">
        <f>IF(OR(I74="",Realität!I74=""),0,IF(SIGN(I74-J74)=SIGN(Realität!I74-Realität!J74),5,0))</f>
        <v>5</v>
      </c>
      <c r="H206" s="28">
        <f>IF(OR(I74="",Realität!I74=""),0,MAX(0,5-ABS(I74-Realität!I74)-ABS(J74-Realität!J74)))</f>
        <v>4</v>
      </c>
    </row>
    <row r="207" spans="1:8" x14ac:dyDescent="0.45">
      <c r="A207" s="28">
        <v>48</v>
      </c>
      <c r="B207" s="29" t="s">
        <v>254</v>
      </c>
      <c r="C207" s="30" t="s">
        <v>255</v>
      </c>
      <c r="D207" s="30" t="s">
        <v>256</v>
      </c>
      <c r="E207" s="28">
        <f>Realität!I79</f>
        <v>0</v>
      </c>
      <c r="F207" s="28">
        <f>Realität!J79</f>
        <v>0</v>
      </c>
      <c r="G207" s="28">
        <f>IF(OR(I79="",Realität!I79=""),0,IF(SIGN(I79-J79)=SIGN(Realität!I79-Realität!J79),5,0))</f>
        <v>5</v>
      </c>
      <c r="H207" s="28">
        <f>IF(OR(I79="",Realität!I79=""),0,MAX(0,5-ABS(I79-Realität!I79)-ABS(J79-Realität!J79)))</f>
        <v>3</v>
      </c>
    </row>
    <row r="208" spans="1:8" x14ac:dyDescent="0.45">
      <c r="A208" s="28">
        <v>49</v>
      </c>
      <c r="B208" s="29" t="s">
        <v>257</v>
      </c>
      <c r="C208" s="30" t="s">
        <v>258</v>
      </c>
      <c r="D208" s="30" t="s">
        <v>259</v>
      </c>
      <c r="E208" s="28">
        <f>Realität!P52</f>
        <v>3</v>
      </c>
      <c r="F208" s="28">
        <f>Realität!Q52</f>
        <v>1</v>
      </c>
      <c r="G208" s="28">
        <f>IF(OR(P52="",Realität!P52=""),0,IF(SIGN(P52-Q52)=SIGN(Realität!P52-Realität!Q52),5,0))</f>
        <v>5</v>
      </c>
      <c r="H208" s="28">
        <f>IF(OR(P52="",Realität!P52=""),0,MAX(0,5-ABS(P52-Realität!P52)-ABS(Q52-Realität!Q52)))</f>
        <v>4</v>
      </c>
    </row>
    <row r="209" spans="1:8" x14ac:dyDescent="0.45">
      <c r="A209" s="28">
        <v>50</v>
      </c>
      <c r="B209" s="29" t="s">
        <v>260</v>
      </c>
      <c r="C209" s="30" t="s">
        <v>261</v>
      </c>
      <c r="D209" s="30" t="s">
        <v>262</v>
      </c>
      <c r="E209" s="28">
        <f>Realität!P57</f>
        <v>1</v>
      </c>
      <c r="F209" s="28">
        <f>Realität!Q57</f>
        <v>4</v>
      </c>
      <c r="G209" s="28">
        <f>IF(OR(P57="",Realität!P57=""),0,IF(SIGN(P57-Q57)=SIGN(Realität!P57-Realität!Q57),5,0))</f>
        <v>5</v>
      </c>
      <c r="H209" s="28">
        <f>IF(OR(P57="",Realität!P57=""),0,MAX(0,5-ABS(P57-Realität!P57)-ABS(Q57-Realität!Q57)))</f>
        <v>3</v>
      </c>
    </row>
    <row r="210" spans="1:8" x14ac:dyDescent="0.45">
      <c r="A210" s="28">
        <v>51</v>
      </c>
      <c r="B210" s="29" t="s">
        <v>263</v>
      </c>
      <c r="C210" s="30" t="s">
        <v>264</v>
      </c>
      <c r="D210" s="30" t="s">
        <v>265</v>
      </c>
      <c r="E210" s="28">
        <f>Realität!P63</f>
        <v>3</v>
      </c>
      <c r="F210" s="28">
        <f>Realität!Q63</f>
        <v>0</v>
      </c>
      <c r="G210" s="28">
        <f>IF(OR(P63="",Realität!P63=""),0,IF(SIGN(P63-Q63)=SIGN(Realität!P63-Realität!Q63),5,0))</f>
        <v>5</v>
      </c>
      <c r="H210" s="28">
        <f>IF(OR(P63="",Realität!P63=""),0,MAX(0,5-ABS(P63-Realität!P63)-ABS(Q63-Realität!Q63)))</f>
        <v>5</v>
      </c>
    </row>
    <row r="211" spans="1:8" x14ac:dyDescent="0.45">
      <c r="A211" s="28">
        <v>52</v>
      </c>
      <c r="B211" s="29" t="s">
        <v>266</v>
      </c>
      <c r="C211" s="30" t="s">
        <v>267</v>
      </c>
      <c r="D211" s="30" t="s">
        <v>268</v>
      </c>
      <c r="E211" s="28">
        <f>Realität!P68</f>
        <v>3</v>
      </c>
      <c r="F211" s="28">
        <f>Realität!Q68</f>
        <v>2</v>
      </c>
      <c r="G211" s="28">
        <f>IF(OR(P68="",Realität!P68=""),0,IF(SIGN(P68-Q68)=SIGN(Realität!P68-Realität!Q68),5,0))</f>
        <v>5</v>
      </c>
      <c r="H211" s="28">
        <f>IF(OR(P68="",Realität!P68=""),0,MAX(0,5-ABS(P68-Realität!P68)-ABS(Q68-Realität!Q68)))</f>
        <v>3</v>
      </c>
    </row>
    <row r="212" spans="1:8" x14ac:dyDescent="0.45">
      <c r="A212" s="28">
        <v>53</v>
      </c>
      <c r="B212" s="29" t="s">
        <v>269</v>
      </c>
      <c r="C212" s="30" t="s">
        <v>270</v>
      </c>
      <c r="D212" s="30" t="s">
        <v>271</v>
      </c>
      <c r="E212" s="28">
        <f>Realität!P74</f>
        <v>1</v>
      </c>
      <c r="F212" s="28">
        <f>Realität!Q74</f>
        <v>4</v>
      </c>
      <c r="G212" s="28">
        <f>IF(OR(P74="",Realität!P74=""),0,IF(SIGN(P74-Q74)=SIGN(Realität!P74-Realität!Q74),5,0))</f>
        <v>5</v>
      </c>
      <c r="H212" s="28">
        <f>IF(OR(P74="",Realität!P74=""),0,MAX(0,5-ABS(P74-Realität!P74)-ABS(Q74-Realität!Q74)))</f>
        <v>3</v>
      </c>
    </row>
    <row r="213" spans="1:8" x14ac:dyDescent="0.45">
      <c r="A213" s="28">
        <v>54</v>
      </c>
      <c r="B213" s="29" t="s">
        <v>272</v>
      </c>
      <c r="C213" s="30" t="s">
        <v>273</v>
      </c>
      <c r="D213" s="30" t="s">
        <v>274</v>
      </c>
      <c r="E213" s="28">
        <f>Realität!P79</f>
        <v>5</v>
      </c>
      <c r="F213" s="28">
        <f>Realität!Q79</f>
        <v>0</v>
      </c>
      <c r="G213" s="28">
        <f>IF(OR(P79="",Realität!P79=""),0,IF(SIGN(P79-Q79)=SIGN(Realität!P79-Realität!Q79),5,0))</f>
        <v>5</v>
      </c>
      <c r="H213" s="28">
        <f>IF(OR(P79="",Realität!P79=""),0,MAX(0,5-ABS(P79-Realität!P79)-ABS(Q79-Realität!Q79)))</f>
        <v>2</v>
      </c>
    </row>
    <row r="214" spans="1:8" x14ac:dyDescent="0.45">
      <c r="A214" s="28">
        <v>55</v>
      </c>
      <c r="B214" s="29" t="s">
        <v>275</v>
      </c>
      <c r="C214" s="30" t="s">
        <v>276</v>
      </c>
      <c r="D214" s="30" t="s">
        <v>277</v>
      </c>
      <c r="E214" s="28">
        <f>Realität!W52</f>
        <v>3</v>
      </c>
      <c r="F214" s="28">
        <f>Realität!X52</f>
        <v>0</v>
      </c>
      <c r="G214" s="28">
        <f>IF(OR(W52="",Realität!W52=""),0,IF(SIGN(W52-X52)=SIGN(Realität!W52-Realität!X52),5,0))</f>
        <v>5</v>
      </c>
      <c r="H214" s="28">
        <f>IF(OR(W52="",Realität!W52=""),0,MAX(0,5-ABS(W52-Realität!W52)-ABS(X52-Realität!X52)))</f>
        <v>4</v>
      </c>
    </row>
    <row r="215" spans="1:8" x14ac:dyDescent="0.45">
      <c r="A215" s="28">
        <v>56</v>
      </c>
      <c r="B215" s="29" t="s">
        <v>278</v>
      </c>
      <c r="C215" s="30" t="s">
        <v>279</v>
      </c>
      <c r="D215" s="30" t="s">
        <v>280</v>
      </c>
      <c r="E215" s="28">
        <f>Realität!W57</f>
        <v>3</v>
      </c>
      <c r="F215" s="28">
        <f>Realität!X57</f>
        <v>1</v>
      </c>
      <c r="G215" s="28">
        <f>IF(OR(W57="",Realität!W57=""),0,IF(SIGN(W57-X57)=SIGN(Realität!W57-Realität!X57),5,0))</f>
        <v>5</v>
      </c>
      <c r="H215" s="28">
        <f>IF(OR(W57="",Realität!W57=""),0,MAX(0,5-ABS(W57-Realität!W57)-ABS(X57-Realität!X57)))</f>
        <v>3</v>
      </c>
    </row>
    <row r="216" spans="1:8" x14ac:dyDescent="0.45">
      <c r="A216" s="28">
        <v>57</v>
      </c>
      <c r="B216" s="29" t="s">
        <v>281</v>
      </c>
      <c r="C216" s="30" t="s">
        <v>282</v>
      </c>
      <c r="D216" s="30" t="s">
        <v>283</v>
      </c>
      <c r="E216" s="28">
        <f>Realität!W63</f>
        <v>2</v>
      </c>
      <c r="F216" s="28">
        <f>Realität!X63</f>
        <v>0</v>
      </c>
      <c r="G216" s="28">
        <f>IF(OR(W63="",Realität!W63=""),0,IF(SIGN(W63-X63)=SIGN(Realität!W63-Realität!X63),5,0))</f>
        <v>5</v>
      </c>
      <c r="H216" s="28">
        <f>IF(OR(W63="",Realität!W63=""),0,MAX(0,5-ABS(W63-Realität!W63)-ABS(X63-Realität!X63)))</f>
        <v>4</v>
      </c>
    </row>
    <row r="217" spans="1:8" x14ac:dyDescent="0.45">
      <c r="A217" s="28">
        <v>58</v>
      </c>
      <c r="B217" s="29" t="s">
        <v>284</v>
      </c>
      <c r="C217" s="30" t="s">
        <v>285</v>
      </c>
      <c r="D217" s="30" t="s">
        <v>286</v>
      </c>
      <c r="E217" s="28">
        <f>Realität!W68</f>
        <v>1</v>
      </c>
      <c r="F217" s="28">
        <f>Realität!X68</f>
        <v>2</v>
      </c>
      <c r="G217" s="28">
        <f>IF(OR(W68="",Realität!W68=""),0,IF(SIGN(W68-X68)=SIGN(Realität!W68-Realität!X68),5,0))</f>
        <v>5</v>
      </c>
      <c r="H217" s="28">
        <f>IF(OR(W68="",Realität!W68=""),0,MAX(0,5-ABS(W68-Realität!W68)-ABS(X68-Realität!X68)))</f>
        <v>3</v>
      </c>
    </row>
    <row r="218" spans="1:8" x14ac:dyDescent="0.45">
      <c r="A218" s="28">
        <v>59</v>
      </c>
      <c r="B218" s="29" t="s">
        <v>287</v>
      </c>
      <c r="C218" s="30" t="s">
        <v>288</v>
      </c>
      <c r="D218" s="30" t="s">
        <v>289</v>
      </c>
      <c r="E218" s="28">
        <f>Realität!W74</f>
        <v>1</v>
      </c>
      <c r="F218" s="28">
        <f>Realität!X74</f>
        <v>3</v>
      </c>
      <c r="G218" s="28">
        <f>IF(OR(W74="",Realität!W74=""),0,IF(SIGN(W74-X74)=SIGN(Realität!W74-Realität!X74),5,0))</f>
        <v>5</v>
      </c>
      <c r="H218" s="28">
        <f>IF(OR(W74="",Realität!W74=""),0,MAX(0,5-ABS(W74-Realität!W74)-ABS(X74-Realität!X74)))</f>
        <v>4</v>
      </c>
    </row>
    <row r="219" spans="1:8" x14ac:dyDescent="0.45">
      <c r="A219" s="28">
        <v>60</v>
      </c>
      <c r="B219" s="29" t="s">
        <v>290</v>
      </c>
      <c r="C219" s="30" t="s">
        <v>291</v>
      </c>
      <c r="D219" s="30" t="s">
        <v>292</v>
      </c>
      <c r="E219" s="28">
        <f>Realität!W79</f>
        <v>3</v>
      </c>
      <c r="F219" s="28">
        <f>Realität!X79</f>
        <v>3</v>
      </c>
      <c r="G219" s="28">
        <f>IF(OR(W79="",Realität!W79=""),0,IF(SIGN(W79-X79)=SIGN(Realität!W79-Realität!X79),5,0))</f>
        <v>0</v>
      </c>
      <c r="H219" s="28">
        <f>IF(OR(W79="",Realität!W79=""),0,MAX(0,5-ABS(W79-Realität!W79)-ABS(X79-Realität!X79)))</f>
        <v>2</v>
      </c>
    </row>
    <row r="220" spans="1:8" x14ac:dyDescent="0.45">
      <c r="A220" s="28">
        <v>61</v>
      </c>
      <c r="B220" s="29" t="s">
        <v>293</v>
      </c>
      <c r="C220" s="30" t="s">
        <v>294</v>
      </c>
      <c r="D220" s="30" t="s">
        <v>295</v>
      </c>
      <c r="E220" s="28">
        <f>Realität!AD52</f>
        <v>1</v>
      </c>
      <c r="F220" s="28">
        <f>Realität!AE52</f>
        <v>1</v>
      </c>
      <c r="G220" s="28">
        <f>IF(OR(AD52="",Realität!AD52=""),0,IF(SIGN(AD52-AE52)=SIGN(Realität!AD52-Realität!AE52),5,0))</f>
        <v>0</v>
      </c>
      <c r="H220" s="28">
        <f>IF(OR(AD52="",Realität!AD52=""),0,MAX(0,5-ABS(AD52-Realität!AD52)-ABS(AE52-Realität!AE52)))</f>
        <v>2</v>
      </c>
    </row>
    <row r="221" spans="1:8" x14ac:dyDescent="0.45">
      <c r="A221" s="28">
        <v>62</v>
      </c>
      <c r="B221" s="29" t="s">
        <v>296</v>
      </c>
      <c r="C221" s="30" t="s">
        <v>297</v>
      </c>
      <c r="D221" s="30" t="s">
        <v>298</v>
      </c>
      <c r="E221" s="28">
        <f>Realität!AD57</f>
        <v>1</v>
      </c>
      <c r="F221" s="28">
        <f>Realität!AE57</f>
        <v>3</v>
      </c>
      <c r="G221" s="28">
        <f>IF(OR(AD57="",Realität!AD57=""),0,IF(SIGN(AD57-AE57)=SIGN(Realität!AD57-Realität!AE57),5,0))</f>
        <v>5</v>
      </c>
      <c r="H221" s="28">
        <f>IF(OR(AD57="",Realität!AD57=""),0,MAX(0,5-ABS(AD57-Realität!AD57)-ABS(AE57-Realität!AE57)))</f>
        <v>3</v>
      </c>
    </row>
    <row r="222" spans="1:8" x14ac:dyDescent="0.45">
      <c r="A222" s="28">
        <v>63</v>
      </c>
      <c r="B222" s="29" t="s">
        <v>299</v>
      </c>
      <c r="C222" s="30" t="s">
        <v>300</v>
      </c>
      <c r="D222" s="30" t="s">
        <v>301</v>
      </c>
      <c r="E222" s="28">
        <f>Realität!AD63</f>
        <v>5</v>
      </c>
      <c r="F222" s="28">
        <f>Realität!AE63</f>
        <v>0</v>
      </c>
      <c r="G222" s="28">
        <f>IF(OR(AD63="",Realität!AD63=""),0,IF(SIGN(AD63-AE63)=SIGN(Realität!AD63-Realität!AE63),5,0))</f>
        <v>5</v>
      </c>
      <c r="H222" s="28">
        <f>IF(OR(AD63="",Realität!AD63=""),0,MAX(0,5-ABS(AD63-Realität!AD63)-ABS(AE63-Realität!AE63)))</f>
        <v>2</v>
      </c>
    </row>
    <row r="223" spans="1:8" x14ac:dyDescent="0.45">
      <c r="A223" s="28">
        <v>64</v>
      </c>
      <c r="B223" s="29" t="s">
        <v>302</v>
      </c>
      <c r="C223" s="30" t="s">
        <v>303</v>
      </c>
      <c r="D223" s="30" t="s">
        <v>304</v>
      </c>
      <c r="E223" s="28">
        <f>Realität!AD68</f>
        <v>1</v>
      </c>
      <c r="F223" s="28">
        <f>Realität!AE68</f>
        <v>0</v>
      </c>
      <c r="G223" s="28">
        <f>IF(OR(AD68="",Realität!AD68=""),0,IF(SIGN(AD68-AE68)=SIGN(Realität!AD68-Realität!AE68),5,0))</f>
        <v>5</v>
      </c>
      <c r="H223" s="28">
        <f>IF(OR(AD68="",Realität!AD68=""),0,MAX(0,5-ABS(AD68-Realität!AD68)-ABS(AE68-Realität!AE68)))</f>
        <v>4</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2</v>
      </c>
    </row>
    <row r="225" spans="1:8" x14ac:dyDescent="0.45">
      <c r="A225" s="28">
        <v>66</v>
      </c>
      <c r="B225" s="29" t="s">
        <v>308</v>
      </c>
      <c r="C225" s="30" t="s">
        <v>309</v>
      </c>
      <c r="D225" s="30" t="s">
        <v>310</v>
      </c>
      <c r="E225" s="28">
        <f>Realität!AD79</f>
        <v>3</v>
      </c>
      <c r="F225" s="28">
        <f>Realität!AE79</f>
        <v>1</v>
      </c>
      <c r="G225" s="28">
        <f>IF(OR(AD79="",Realität!AD79=""),0,IF(SIGN(AD79-AE79)=SIGN(Realität!AD79-Realität!AE79),5,0))</f>
        <v>0</v>
      </c>
      <c r="H225" s="28">
        <f>IF(OR(AD79="",Realität!AD79=""),0,MAX(0,5-ABS(AD79-Realität!AD79)-ABS(AE79-Realität!AE79)))</f>
        <v>3</v>
      </c>
    </row>
    <row r="226" spans="1:8" x14ac:dyDescent="0.45">
      <c r="A226" s="28">
        <v>67</v>
      </c>
      <c r="B226" s="29" t="s">
        <v>311</v>
      </c>
      <c r="C226" s="30" t="s">
        <v>312</v>
      </c>
      <c r="D226" s="30" t="s">
        <v>313</v>
      </c>
      <c r="E226" s="28">
        <f>Realität!AK52</f>
        <v>4</v>
      </c>
      <c r="F226" s="28">
        <f>Realität!AL52</f>
        <v>2</v>
      </c>
      <c r="G226" s="28">
        <f>IF(OR(AK52="",Realität!AK52=""),0,IF(SIGN(AK52-AL52)=SIGN(Realität!AK52-Realität!AL52),5,0))</f>
        <v>5</v>
      </c>
      <c r="H226" s="28">
        <f>IF(OR(AK52="",Realität!AK52=""),0,MAX(0,5-ABS(AK52-Realität!AK52)-ABS(AL52-Realität!AL52)))</f>
        <v>2</v>
      </c>
    </row>
    <row r="227" spans="1:8" x14ac:dyDescent="0.45">
      <c r="A227" s="28">
        <v>68</v>
      </c>
      <c r="B227" s="29" t="s">
        <v>314</v>
      </c>
      <c r="C227" s="30" t="s">
        <v>315</v>
      </c>
      <c r="D227" s="30" t="s">
        <v>316</v>
      </c>
      <c r="E227" s="28">
        <f>Realität!AK57</f>
        <v>1</v>
      </c>
      <c r="F227" s="28">
        <f>Realität!AL57</f>
        <v>0</v>
      </c>
      <c r="G227" s="28">
        <f>IF(OR(AK57="",Realität!AK57=""),0,IF(SIGN(AK57-AL57)=SIGN(Realität!AK57-Realität!AL57),5,0))</f>
        <v>5</v>
      </c>
      <c r="H227" s="28">
        <f>IF(OR(AK57="",Realität!AK57=""),0,MAX(0,5-ABS(AK57-Realität!AK57)-ABS(AL57-Realität!AL57)))</f>
        <v>3</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3</v>
      </c>
    </row>
    <row r="229" spans="1:8" x14ac:dyDescent="0.45">
      <c r="A229" s="28">
        <v>70</v>
      </c>
      <c r="B229" s="29" t="s">
        <v>320</v>
      </c>
      <c r="C229" s="30" t="s">
        <v>321</v>
      </c>
      <c r="D229" s="30" t="s">
        <v>322</v>
      </c>
      <c r="E229" s="28">
        <f>Realität!AK68</f>
        <v>0</v>
      </c>
      <c r="F229" s="28">
        <f>Realität!AL68</f>
        <v>1</v>
      </c>
      <c r="G229" s="28">
        <f>IF(OR(AK68="",Realität!AK68=""),0,IF(SIGN(AK68-AL68)=SIGN(Realität!AK68-Realität!AL68),5,0))</f>
        <v>5</v>
      </c>
      <c r="H229" s="28">
        <f>IF(OR(AK68="",Realität!AK68=""),0,MAX(0,5-ABS(AK68-Realität!AK68)-ABS(AL68-Realität!AL68)))</f>
        <v>4</v>
      </c>
    </row>
    <row r="230" spans="1:8" x14ac:dyDescent="0.45">
      <c r="A230" s="28">
        <v>71</v>
      </c>
      <c r="B230" s="29" t="s">
        <v>323</v>
      </c>
      <c r="C230" s="30" t="s">
        <v>324</v>
      </c>
      <c r="D230" s="30" t="s">
        <v>325</v>
      </c>
      <c r="E230" s="28">
        <f>Realität!AK74</f>
        <v>0</v>
      </c>
      <c r="F230" s="28">
        <f>Realität!AL74</f>
        <v>2</v>
      </c>
      <c r="G230" s="28">
        <f>IF(OR(AK74="",Realität!AK74=""),0,IF(SIGN(AK74-AL74)=SIGN(Realität!AK74-Realität!AL74),5,0))</f>
        <v>5</v>
      </c>
      <c r="H230" s="28">
        <f>IF(OR(AK74="",Realität!AK74=""),0,MAX(0,5-ABS(AK74-Realität!AK74)-ABS(AL74-Realität!AL74)))</f>
        <v>4</v>
      </c>
    </row>
    <row r="231" spans="1:8" x14ac:dyDescent="0.45">
      <c r="A231" s="28">
        <v>72</v>
      </c>
      <c r="B231" s="29" t="s">
        <v>326</v>
      </c>
      <c r="C231" s="30" t="s">
        <v>327</v>
      </c>
      <c r="D231" s="30" t="s">
        <v>328</v>
      </c>
      <c r="E231" s="28">
        <f>Realität!AK79</f>
        <v>2</v>
      </c>
      <c r="F231" s="28">
        <f>Realität!AL79</f>
        <v>1</v>
      </c>
      <c r="G231" s="28">
        <f>IF(OR(AK79="",Realität!AK79=""),0,IF(SIGN(AK79-AL79)=SIGN(Realität!AK79-Realität!AL79),5,0))</f>
        <v>5</v>
      </c>
      <c r="H231" s="28">
        <f>IF(OR(AK79="",Realität!AK79=""),0,MAX(0,5-ABS(AK79-Realität!AK79)-ABS(AL79-Realität!AL79)))</f>
        <v>5</v>
      </c>
    </row>
    <row r="232" spans="1:8" x14ac:dyDescent="0.45">
      <c r="A232" s="31" t="s">
        <v>329</v>
      </c>
      <c r="F232" s="23" t="s">
        <v>330</v>
      </c>
      <c r="G232" s="24">
        <f>SUM(G160:G231)</f>
        <v>220</v>
      </c>
      <c r="H232" s="24">
        <f>SUM(H160:H231)</f>
        <v>226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Südkorea</v>
      </c>
      <c r="E235" s="28">
        <f t="shared" si="0"/>
        <v>0</v>
      </c>
    </row>
    <row r="236" spans="1:8" x14ac:dyDescent="0.45">
      <c r="A236" s="28">
        <v>3</v>
      </c>
      <c r="B236" s="29" t="s">
        <v>336</v>
      </c>
      <c r="C236" s="29" t="str">
        <f>Realität!I43</f>
        <v>Schweiz</v>
      </c>
      <c r="D236" s="29" t="str">
        <f>I43</f>
        <v>Schweiz</v>
      </c>
      <c r="E236" s="28">
        <f t="shared" si="0"/>
        <v>5</v>
      </c>
    </row>
    <row r="237" spans="1:8" x14ac:dyDescent="0.45">
      <c r="A237" s="28">
        <v>4</v>
      </c>
      <c r="B237" s="29" t="s">
        <v>337</v>
      </c>
      <c r="C237" s="29" t="str">
        <f>Realität!I44</f>
        <v>Kanada</v>
      </c>
      <c r="D237" s="29" t="str">
        <f>I44</f>
        <v>Kanada</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Australien</v>
      </c>
      <c r="D241" s="29" t="str">
        <f>W44</f>
        <v>Türkei</v>
      </c>
      <c r="E241" s="28">
        <f t="shared" si="0"/>
        <v>0</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Elfenbeinküste</v>
      </c>
      <c r="D243" s="29" t="str">
        <f>AD44</f>
        <v>Ecuador</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Norwegen</v>
      </c>
      <c r="D251" s="29" t="str">
        <f>P91</f>
        <v>Norwegen</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Österreich</v>
      </c>
      <c r="D253" s="29" t="str">
        <f>W91</f>
        <v>Österreich</v>
      </c>
      <c r="E253" s="28">
        <f t="shared" si="0"/>
        <v>5</v>
      </c>
    </row>
    <row r="254" spans="1:5" x14ac:dyDescent="0.45">
      <c r="A254" s="28">
        <v>21</v>
      </c>
      <c r="B254" s="29" t="s">
        <v>354</v>
      </c>
      <c r="C254" s="29" t="str">
        <f>Realität!AD90</f>
        <v>Kolumbien</v>
      </c>
      <c r="D254" s="29" t="str">
        <f>AD90</f>
        <v>Portugal</v>
      </c>
      <c r="E254" s="28">
        <f t="shared" si="0"/>
        <v>5</v>
      </c>
    </row>
    <row r="255" spans="1:5" x14ac:dyDescent="0.45">
      <c r="A255" s="28">
        <v>22</v>
      </c>
      <c r="B255" s="29" t="s">
        <v>355</v>
      </c>
      <c r="C255" s="29" t="str">
        <f>Realität!AD91</f>
        <v>Portugal</v>
      </c>
      <c r="D255" s="29" t="str">
        <f>AD91</f>
        <v>Kolumbien</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DR Kongo</v>
      </c>
      <c r="D258" s="29" t="str">
        <f t="shared" ref="D258:D265" si="1">R112</f>
        <v>Tschechien</v>
      </c>
      <c r="E258" s="28">
        <f t="shared" si="0"/>
        <v>0</v>
      </c>
    </row>
    <row r="259" spans="1:5" x14ac:dyDescent="0.45">
      <c r="A259" s="28">
        <v>26</v>
      </c>
      <c r="B259" s="29" t="s">
        <v>359</v>
      </c>
      <c r="C259" s="29" t="str">
        <f>Realität!R113</f>
        <v>Schweden</v>
      </c>
      <c r="D259" s="29" t="str">
        <f t="shared" si="1"/>
        <v>Elfenbeinküste</v>
      </c>
      <c r="E259" s="28">
        <f t="shared" si="0"/>
        <v>5</v>
      </c>
    </row>
    <row r="260" spans="1:5" x14ac:dyDescent="0.45">
      <c r="A260" s="28">
        <v>27</v>
      </c>
      <c r="B260" s="29" t="s">
        <v>360</v>
      </c>
      <c r="C260" s="29" t="str">
        <f>Realität!R114</f>
        <v>Ghana</v>
      </c>
      <c r="D260" s="29" t="str">
        <f t="shared" si="1"/>
        <v>Paraguay</v>
      </c>
      <c r="E260" s="28">
        <f t="shared" si="0"/>
        <v>5</v>
      </c>
    </row>
    <row r="261" spans="1:5" x14ac:dyDescent="0.45">
      <c r="A261" s="28">
        <v>28</v>
      </c>
      <c r="B261" s="29" t="s">
        <v>361</v>
      </c>
      <c r="C261" s="29" t="str">
        <f>Realität!R115</f>
        <v>Ecuador</v>
      </c>
      <c r="D261" s="29" t="str">
        <f t="shared" si="1"/>
        <v>Senegal</v>
      </c>
      <c r="E261" s="28">
        <f t="shared" si="0"/>
        <v>5</v>
      </c>
    </row>
    <row r="262" spans="1:5" x14ac:dyDescent="0.45">
      <c r="A262" s="28">
        <v>29</v>
      </c>
      <c r="B262" s="29" t="s">
        <v>362</v>
      </c>
      <c r="C262" s="29" t="str">
        <f>Realität!R116</f>
        <v>Bosnien-Herz.</v>
      </c>
      <c r="D262" s="29" t="str">
        <f t="shared" si="1"/>
        <v>Bosnien-Herz.</v>
      </c>
      <c r="E262" s="28">
        <f t="shared" si="0"/>
        <v>5</v>
      </c>
    </row>
    <row r="263" spans="1:5" x14ac:dyDescent="0.45">
      <c r="A263" s="28">
        <v>30</v>
      </c>
      <c r="B263" s="29" t="s">
        <v>363</v>
      </c>
      <c r="C263" s="29" t="str">
        <f>Realität!R117</f>
        <v>Algerien</v>
      </c>
      <c r="D263" s="29" t="str">
        <f t="shared" si="1"/>
        <v>Schottland</v>
      </c>
      <c r="E263" s="28">
        <f t="shared" si="0"/>
        <v>0</v>
      </c>
    </row>
    <row r="264" spans="1:5" x14ac:dyDescent="0.45">
      <c r="A264" s="28">
        <v>31</v>
      </c>
      <c r="B264" s="29" t="s">
        <v>364</v>
      </c>
      <c r="C264" s="29" t="str">
        <f>Realität!R118</f>
        <v>Paraguay</v>
      </c>
      <c r="D264" s="29" t="str">
        <f t="shared" si="1"/>
        <v>Schweden</v>
      </c>
      <c r="E264" s="28">
        <f t="shared" si="0"/>
        <v>5</v>
      </c>
    </row>
    <row r="265" spans="1:5" x14ac:dyDescent="0.45">
      <c r="A265" s="28">
        <v>32</v>
      </c>
      <c r="B265" s="29" t="s">
        <v>365</v>
      </c>
      <c r="C265" s="29" t="str">
        <f>Realität!R119</f>
        <v>Senegal</v>
      </c>
      <c r="D265" s="29" t="str">
        <f t="shared" si="1"/>
        <v>Iran</v>
      </c>
      <c r="E265" s="28">
        <f t="shared" si="0"/>
        <v>0</v>
      </c>
    </row>
    <row r="266" spans="1:5" x14ac:dyDescent="0.45">
      <c r="D266" s="23" t="s">
        <v>330</v>
      </c>
      <c r="E266" s="24">
        <f>SUM(E234:E265)</f>
        <v>130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Auswertung</vt:lpstr>
      <vt:lpstr>Realität</vt:lpstr>
      <vt:lpstr>Sebi</vt:lpstr>
      <vt:lpstr>Nick</vt:lpstr>
      <vt:lpstr>Nici</vt:lpstr>
      <vt:lpstr>Mads</vt:lpstr>
      <vt:lpstr>Julius</vt:lpstr>
      <vt:lpstr>Dennis</vt:lpstr>
      <vt:lpstr>Heidi</vt:lpstr>
      <vt:lpstr>Mirco</vt:lpstr>
      <vt:lpstr>Tobe</vt:lpstr>
      <vt:lpstr>Urs</vt:lpstr>
      <vt:lpstr>Max</vt:lpstr>
      <vt:lpstr>Vito+Jonas</vt:lpstr>
      <vt:lpstr>Colin</vt:lpstr>
      <vt:lpstr>Fabian</vt:lpstr>
      <vt:lpstr>Leonard</vt:lpstr>
      <vt:lpstr>Linda</vt:lpstr>
      <vt:lpstr>Claude (out of competition)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Fritschi</dc:creator>
  <cp:lastModifiedBy>Leonard Fritschi</cp:lastModifiedBy>
  <dcterms:created xsi:type="dcterms:W3CDTF">2024-05-21T11:38:27Z</dcterms:created>
  <dcterms:modified xsi:type="dcterms:W3CDTF">2026-06-29T16:09:42Z</dcterms:modified>
</cp:coreProperties>
</file>